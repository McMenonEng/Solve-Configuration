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601" codeName="{009DFEA7-8C9C-09C3-8CAF-802165E75F88}"/>
  <workbookPr codeName="ThisWorkbook"/>
  <mc:AlternateContent xmlns:mc="http://schemas.openxmlformats.org/markup-compatibility/2006">
    <mc:Choice Requires="x15">
      <x15ac:absPath xmlns:x15ac="http://schemas.microsoft.com/office/spreadsheetml/2010/11/ac" url="I:\Dyetech Data\McMenon\WinForms\Solve\Configuration Data\Solve\Planning Spreadsheet\"/>
    </mc:Choice>
  </mc:AlternateContent>
  <xr:revisionPtr revIDLastSave="0" documentId="13_ncr:1_{14D7898F-F901-4351-B661-1A78D5928CC2}" xr6:coauthVersionLast="43" xr6:coauthVersionMax="43" xr10:uidLastSave="{00000000-0000-0000-0000-000000000000}"/>
  <bookViews>
    <workbookView xWindow="390" yWindow="165" windowWidth="28005" windowHeight="15435" tabRatio="805"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CM Tag Plate" sheetId="12" r:id="rId8"/>
    <sheet name="CM MIS Sheet" sheetId="11" r:id="rId9"/>
    <sheet name="CM TX Instruction" sheetId="13" r:id="rId10"/>
    <sheet name="CM TX Info" sheetId="14" r:id="rId11"/>
    <sheet name="CM Pito MIS Data" sheetId="15" r:id="rId12"/>
    <sheet name="CM Tag Plate Info" sheetId="16" r:id="rId13"/>
    <sheet name="TB MIS Sheet" sheetId="17" r:id="rId14"/>
    <sheet name="TB Tag Plate" sheetId="18" r:id="rId15"/>
    <sheet name="TB PED Data" sheetId="19" r:id="rId16"/>
    <sheet name="TB Model Data" sheetId="20" r:id="rId17"/>
    <sheet name="TB Model Data 100" sheetId="21" r:id="rId18"/>
    <sheet name="TB Calculation Data" sheetId="22" r:id="rId19"/>
    <sheet name="Conversions" sheetId="9" r:id="rId20"/>
    <sheet name="SolveDPData" sheetId="10" r:id="rId21"/>
  </sheets>
  <functionGroups builtInGroupCount="19"/>
  <definedNames>
    <definedName name="AppTitle">'Front Page'!$F$2</definedName>
    <definedName name="CM_A_Length">'CM MIS Sheet'!$B$25</definedName>
    <definedName name="CM_AverageNRT">'CM Pito MIS Data'!$L$5</definedName>
    <definedName name="CM_B_Dim">'CM MIS Sheet'!$E$30</definedName>
    <definedName name="CM_C_Dim">'CM MIS Sheet'!$E$31</definedName>
    <definedName name="CM_D_Dim">'CM MIS Sheet'!$E$32</definedName>
    <definedName name="CM_E_dim">'CM MIS Sheet'!$E$33</definedName>
    <definedName name="CM_EC">'CM MIS Sheet'!$E$19</definedName>
    <definedName name="CM_EC_lookup">'CM Pito MIS Data'!$D$20</definedName>
    <definedName name="CM_ES_Length">'CM MIS Sheet'!$E$22</definedName>
    <definedName name="CM_ES_lookup">'CM Pito MIS Data'!$E$20</definedName>
    <definedName name="CM_ES_select">'CM Pito MIS Data'!$H$20</definedName>
    <definedName name="CM_Fin_TW">'CM MIS Sheet'!$B$31</definedName>
    <definedName name="CM_FS">'CM MIS Sheet'!$E$21</definedName>
    <definedName name="CM_FS_lookup">'CM Pito MIS Data'!$K$20</definedName>
    <definedName name="CM_FS_select">'CM Pito MIS Data'!$G$20</definedName>
    <definedName name="CM_G_Dim">'CM MIS Sheet'!$E$34</definedName>
    <definedName name="CM_GT">'CM MIS Sheet'!$E$20</definedName>
    <definedName name="CM_GT_lookup">'CM Pito MIS Data'!$L$20</definedName>
    <definedName name="CM_H_Dim">'CM MIS Sheet'!$E$35</definedName>
    <definedName name="CM_I_dim">'CM MIS Sheet'!$E$38</definedName>
    <definedName name="CM_ID_RATIOOFDIA">'CM TX Info'!$B$19</definedName>
    <definedName name="CM_J_Length">'CM MIS Sheet'!$B$26</definedName>
    <definedName name="CM_L_Length">'CM MIS Sheet'!$B$27</definedName>
    <definedName name="CM_Mach_Fin">'CM MIS Sheet'!$B$30</definedName>
    <definedName name="CM_MIS_FlangeSize">'CM MIS Sheet'!$B$20</definedName>
    <definedName name="CM_MIS_ITEMNUMBER">'CM MIS Sheet'!$B$4</definedName>
    <definedName name="CM_MIS_ITEMQTY">'CM MIS Sheet'!$B$5</definedName>
    <definedName name="CM_MIS_ModelType">'CM MIS Sheet'!$B$17</definedName>
    <definedName name="CM_MIS_PartNumber">'CM MIS Sheet'!$B$10</definedName>
    <definedName name="CM_MIS_PipeID">'CM MIS Sheet'!$B$18</definedName>
    <definedName name="CM_MIS_PRESSURE_TEST">'CM MIS Sheet'!$B$14</definedName>
    <definedName name="CM_MIS_PRODUCTIONNUMBER">'CM MIS Sheet'!$B$8</definedName>
    <definedName name="CM_MIS_SERIALNUMBERS">'CM MIS Sheet'!$B$7</definedName>
    <definedName name="CM_MIS_TAGNUMBERS">'CM MIS Sheet'!$B$9</definedName>
    <definedName name="CM_MIS_WallThickness">'CM MIS Sheet'!$B$19</definedName>
    <definedName name="CM_MIS_WELD_STANDOFF">'CM MIS Sheet'!$D$13</definedName>
    <definedName name="CM_MIS_WELD_TORBAR">'CM MIS Sheet'!$D$12</definedName>
    <definedName name="CM_Model_list">'CM Pito MIS Data'!$A$12:$A$19</definedName>
    <definedName name="CM_N_Dim">'CM MIS Sheet'!$E$36</definedName>
    <definedName name="CM_NL">'CM MIS Sheet'!$E$18</definedName>
    <definedName name="CM_NL_lookup">'CM Pito MIS Data'!$C$20</definedName>
    <definedName name="CM_NRT_select">'CM Pito MIS Data'!$F$20</definedName>
    <definedName name="CM_P_Dim">'CM MIS Sheet'!$E$37</definedName>
    <definedName name="CM_PED_Lookup">'CM Tag Plate Info'!$A$2:$I$123</definedName>
    <definedName name="CM_PED_Static_Limits_Lookup">'CM Tag Plate Info'!$A$128:$C$138</definedName>
    <definedName name="CM_PI_TransmitterPurchaseCode">'CM TX Instruction'!$F$9</definedName>
    <definedName name="CM_PIPEID">'CM MIS Sheet'!$B$18</definedName>
    <definedName name="CM_R_Dim">'CM MIS Sheet'!$E$27</definedName>
    <definedName name="CM_Series_select">'CM Pito MIS Data'!$I$20</definedName>
    <definedName name="CM_TI_DENSITYANDUNITS">'CM TX Instruction'!$E$26</definedName>
    <definedName name="CM_TI_DeviceType">'CM TX Instruction'!$E$19</definedName>
    <definedName name="CM_TI_DeviceTypeLookup">'CM TX Info'!$A$2:$B$5</definedName>
    <definedName name="CM_TI_DP">'CM TX Instruction'!$B$7</definedName>
    <definedName name="CM_TI_DP2">'CM TX Instruction'!$E$17</definedName>
    <definedName name="CM_TI_DP3">'CM TX Instruction'!$E$36</definedName>
    <definedName name="CM_TI_DPANDUNITS">'CM TX Instruction'!$E$23</definedName>
    <definedName name="CM_TI_DPUNITS">'CM TX Instruction'!$C$7</definedName>
    <definedName name="CM_TI_DPUNITS2">'CM TX Instruction'!$E$15</definedName>
    <definedName name="CM_TI_DPUNITS3">'CM TX Instruction'!$E$37</definedName>
    <definedName name="CM_TI_FLOW">'CM TX Instruction'!$G$7</definedName>
    <definedName name="CM_TI_FLOWANDUNITS">'CM TX Instruction'!$E$22</definedName>
    <definedName name="CM_TI_FLOWDESCRIPTION">'CM TX Instruction'!$A$22</definedName>
    <definedName name="CM_TI_FLOWUNITS">'CM TX Instruction'!$I$7</definedName>
    <definedName name="CM_TI_FLUIDTYPE">'CM TX Instruction'!$A$1</definedName>
    <definedName name="CM_TI_IDANDUNITS">'CM TX Instruction'!$E$28</definedName>
    <definedName name="CM_TI_ISENTROPIC">'CM TX Instruction'!$E$32</definedName>
    <definedName name="CM_TI_MaterialElement">'CM TX Instruction'!$E$21</definedName>
    <definedName name="CM_TI_MaterialLookup">'CM TX Info'!$A$8:$E$16</definedName>
    <definedName name="CM_TI_MaterialTube">'CM TX Instruction'!$E$20</definedName>
    <definedName name="CM_TI_MeterPurchaseCode">'CM TX Instruction'!$A$9</definedName>
    <definedName name="CM_TI_OrderItem">'CM TX Instruction'!$D$5</definedName>
    <definedName name="CM_TI_OrderNumber">'CM TX Instruction'!$A$5</definedName>
    <definedName name="CM_TI_PRESSANDUNITS">'CM TX Instruction'!$E$24</definedName>
    <definedName name="CM_TI_RatioOfDia">'CM TX Instruction'!$E$27</definedName>
    <definedName name="CM_TI_RatioOfDiaLookup">'CM TX Info'!$A$22:$D$42</definedName>
    <definedName name="CM_TI_REYNOLDS">'CM TX Instruction'!$E$29</definedName>
    <definedName name="CM_TI_SerialNumber">'CM TX Instruction'!$G$5</definedName>
    <definedName name="CM_TI_StandardDensity">'CM TX Instruction'!$E$31</definedName>
    <definedName name="CM_TI_TagNumber">'CM TX Instruction'!$G$3</definedName>
    <definedName name="CM_TI_TEMPANDUNITS">'CM TX Instruction'!$E$25</definedName>
    <definedName name="CM_TorbarModel">'CM Pito MIS Data'!$J$20</definedName>
    <definedName name="CM_WALLT">'CM MIS Sheet'!$B$19</definedName>
    <definedName name="CM_WELD_STANDOFF">'CM Pito MIS Data'!$A$33:$C$34</definedName>
    <definedName name="CM_X_Dim">'CM MIS Sheet'!$E$25</definedName>
    <definedName name="CustomerName">'Front Page'!$F$11</definedName>
    <definedName name="DENSITY_KGM3">Conversions!$C$123</definedName>
    <definedName name="DPFlowProductLookup">Conversions!$A$126:$C$136</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Sheet'!$B$26</definedName>
    <definedName name="FPD580_Average_nrt">'FPD580 MIS Data'!$L$5</definedName>
    <definedName name="FPD580_B_DIM">'FPD580 MIS Sheet'!$E$31</definedName>
    <definedName name="FPD580_C_DIM">'FPD580 MIS Sheet'!$E$32</definedName>
    <definedName name="FPD580_D_DIM">'FPD580 MIS Sheet'!$E$33</definedName>
    <definedName name="FPD580_DesignPressure">'FPD580 MIS Data'!$F$42</definedName>
    <definedName name="FPD580_DesignTemperature">'FPD580 MIS Data'!$G$42</definedName>
    <definedName name="FPD580_EC_Length">'FPD580 MIS Data'!$E$24</definedName>
    <definedName name="FPD580_ES_LENGTH">'FPD580 MIS Sheet'!$E$24</definedName>
    <definedName name="FPD580_ES_type">'FPD580 MIS Data'!$H$24</definedName>
    <definedName name="FPD580_F_DIM">'FPD580 MIS Sheet'!$E$34</definedName>
    <definedName name="FPD580_Fin_tw">'FPD580 MIS Sheet'!$B$32</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Sheet'!$E$21</definedName>
    <definedName name="FPD580_FS_List">'FPD580 MIS Data'!$C$30:$C$39</definedName>
    <definedName name="FPD580_G_DIM">'FPD580 MIS Sheet'!$E$35</definedName>
    <definedName name="FPD580_Gasket_Calc">'FPD580 MIS Data'!$A$46:$C$50</definedName>
    <definedName name="FPD580_Gasket_List">'FPD580 MIS Data'!$A$46:$A$50</definedName>
    <definedName name="FPD580_GT">'FPD580 MIS Data'!$C$51</definedName>
    <definedName name="FPD580_H_DIM">'FPD580 MIS Sheet'!$E$36</definedName>
    <definedName name="FPD580_Hole_calc">'FPD580 MIS Data'!$A$2:$I$4</definedName>
    <definedName name="FPD580_I_DIM">'FPD580 MIS Sheet'!$E$39</definedName>
    <definedName name="FPD580_ISOVALVE">'FPD580 MIS Sheet'!$E$22</definedName>
    <definedName name="FPD580_J_length">'FPD580 MIS Sheet'!$B$27</definedName>
    <definedName name="FPD580_Length_calc">'FPD580 MIS Data'!$A$12:$J$21</definedName>
    <definedName name="FPD580_MIS_CC_NOT_TP2">'FPD580 MIS Sheet'!$A$25:$E$40</definedName>
    <definedName name="FPD580_MIS_CC_TP2">'FPD580 MIS Sheet'!$A$42:$E$57</definedName>
    <definedName name="FPD580_MIS_EC">'FPD580 MIS Sheet'!$E$19</definedName>
    <definedName name="FPD580_MIS_EndSupport">'FPD580 MIS Sheet'!$B$24</definedName>
    <definedName name="FPD580_MIS_ES">'FPD580 MIS Sheet'!$E$23</definedName>
    <definedName name="FPD580_MIS_FlangeSize">'FPD580 MIS Sheet'!$B$20</definedName>
    <definedName name="FPD580_MIS_Gasket">'FPD580 MIS Sheet'!$B$21</definedName>
    <definedName name="FPD580_MIS_ITEMNUMBER">'FPD580 MIS Sheet'!$B$4</definedName>
    <definedName name="FPD580_MIS_ITEMQTY">'FPD580 MIS Sheet'!$B$5</definedName>
    <definedName name="FPD580_MIS_ModelType">'FPD580 MIS Sheet'!$B$17</definedName>
    <definedName name="FPD580_MIS_NL">'FPD580 MIS Sheet'!$E$18</definedName>
    <definedName name="FPD580_MIS_PartNumber">'FPD580 MIS Sheet'!$B$10</definedName>
    <definedName name="FPD580_MIS_PRODUCTIONNUMBER">'FPD580 MIS Sheet'!$B$8</definedName>
    <definedName name="FPD580_MIS_SERIALNUMBERS">'FPD580 MIS Sheet'!$B$7</definedName>
    <definedName name="FPD580_MIS_TAGNUMBERS">'FPD580 MIS Sheet'!$B$9</definedName>
    <definedName name="FPD580_MIS_ThreadedFlange">'FPD580 MIS Sheet'!$B$23</definedName>
    <definedName name="FPD580_MIS_TP3_YN">'FPD580 MIS Data'!$F$26</definedName>
    <definedName name="FPD580_MIS_TP8_YN">'FPD580 MIS Data'!$D$26</definedName>
    <definedName name="FPD580_MIS_WELD_STANDOFF">'FPD580 MIS Sheet'!$D$13</definedName>
    <definedName name="FPD580_MIS_WELD_TORBAR">'FPD580 MIS Sheet'!$D$12</definedName>
    <definedName name="FPD580_Model_list">'FPD580 MIS Data'!$A$12:$A$21</definedName>
    <definedName name="FPD580_N_DIM">'FPD580 MIS Sheet'!$E$37</definedName>
    <definedName name="FPD580_Neck_L">'FPD580 MIS Data'!$D$24</definedName>
    <definedName name="FPD580_NRT">'FPD580 MIS Data'!$G$24</definedName>
    <definedName name="FPD580_P_DIM">'FPD580 MIS Sheet'!$E$38</definedName>
    <definedName name="FPD580_PC">'FPD580 MIS Sheet'!$B$39</definedName>
    <definedName name="FPD580_PED_Cat">'FPD580 MIS Data'!$I$42</definedName>
    <definedName name="FPD580_PI_TransmitterPurchaseCode">'FPD580 TX Instruction'!$F$9</definedName>
    <definedName name="FPD580_PIPEID">'FPD580 MIS Sheet'!$B$18</definedName>
    <definedName name="FPD580_PROBE_MATERIAL">'FPD580 MIS Data'!$A$55:$B$58</definedName>
    <definedName name="FPD580_PT">'FPD580 MIS Data'!$E$42</definedName>
    <definedName name="FPD580_TGT">'FPD580 MIS Sheet'!$E$20</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Sheet'!$B$19</definedName>
    <definedName name="FPD580_WELD_STANDOFF">'FPD580 MIS Data'!$A$92:$B$105</definedName>
    <definedName name="FPD580_WELD_TORBAR">'FPD580 MIS Data'!$A$80:$B$90</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Sheet'!$E$21</definedName>
    <definedName name="Item_Description">SolveDPData!$A$1</definedName>
    <definedName name="Item_DPatMeterMax">'Front Page'!$R$17</definedName>
    <definedName name="Item_FlowAtMeterMax">'Front Page'!$P$17</definedName>
    <definedName name="Item_Fluid">'Front Page'!$N$17</definedName>
    <definedName name="Item_Material">'Front Page'!$M$17</definedName>
    <definedName name="Item_ModelNo">'Front Page'!$K$17</definedName>
    <definedName name="Item_OperatingPressure">'Front Page'!$Q$17</definedName>
    <definedName name="Item_OperatingTemperature">'Front Page'!$O$17</definedName>
    <definedName name="Item_PipeSize">'Front Page'!$L$17</definedName>
    <definedName name="Item_PK">SolveDPData!$E$1</definedName>
    <definedName name="Item_Qty">SolveDPData!$H$1</definedName>
    <definedName name="Length_Conversion">Conversions!$A$4:$C$8</definedName>
    <definedName name="LOAD_NONSAP">'Front Page'!$M$8</definedName>
    <definedName name="PED_Category">'Front Page'!$W$17</definedName>
    <definedName name="PED_Country">'Front Page'!$F$14</definedName>
    <definedName name="PED_Flange">'Front Page'!$Y$17</definedName>
    <definedName name="PED_Pressure">'Front Page'!$U$17</definedName>
    <definedName name="PED_Temperature">'Front Page'!$V$17</definedName>
    <definedName name="PED_TestPressure">'Front Page'!$X$17</definedName>
    <definedName name="PED_Year">'Front Page'!$T$17</definedName>
    <definedName name="PRESS_BARA">Conversions!$C$46</definedName>
    <definedName name="PRESS_USER">Conversions!$A$46</definedName>
    <definedName name="PRESS_USER_UNITS">Conversions!$B$46</definedName>
    <definedName name="_xlnm.Print_Area" localSheetId="8">'CM MIS Sheet'!$A$1:$E$39</definedName>
    <definedName name="_xlnm.Print_Area" localSheetId="7">'CM Tag Plate'!$A$1:$P$30</definedName>
    <definedName name="_xlnm.Print_Area" localSheetId="2">'FPD580 MIS Sheet'!$A$1:$E$57</definedName>
    <definedName name="_xlnm.Print_Area" localSheetId="4">'FPD580 Setup'!$A$1:$I$45</definedName>
    <definedName name="_xlnm.Print_Area" localSheetId="0">'Front Page'!$A$1:$Y$19</definedName>
    <definedName name="ProductionOrderNo">'Front Page'!$D$17</definedName>
    <definedName name="PurchaseOrderNumber">'Front Page'!$F$12</definedName>
    <definedName name="SalesOrderItem">'Front Page'!$B$17</definedName>
    <definedName name="SalesOrderNumber">'Front Page'!$F$13</definedName>
    <definedName name="SalesOrderQty">'Front Page'!$C$17</definedName>
    <definedName name="SerialNumber">'Front Page'!$I$17</definedName>
    <definedName name="SolveDPItem">'Front Page'!$F$17</definedName>
    <definedName name="SolveDPVersion">'Front Page'!$F$5</definedName>
    <definedName name="SpreadsheetVersion">'Front Page'!$F$4</definedName>
    <definedName name="TagNumber">'Front Page'!$H$17</definedName>
    <definedName name="TB_A_Length">'TB MIS Sheet'!$B$31</definedName>
    <definedName name="TB_AverageNRT">'TB Calculation Data'!$D$153</definedName>
    <definedName name="TB_B_Dim">'TB MIS Sheet'!$E$38</definedName>
    <definedName name="TB_BIDIRECTIONAL_EXPRESSION">'TB Calculation Data'!$B$142</definedName>
    <definedName name="TB_C_Dim">'TB MIS Sheet'!$E$39</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Sheet'!$E$40</definedName>
    <definedName name="TB_Dims">'TB Model Data 100'!$A$10:$J$15</definedName>
    <definedName name="TB_E_Dim">'TB MIS Sheet'!$E$41</definedName>
    <definedName name="TB_EC">'TB MIS Sheet'!$E$19</definedName>
    <definedName name="TB_ENDSUPPORT_LOOKUP">'TB Calculation Data'!$B$118:$B$121</definedName>
    <definedName name="TB_ENDSUPPORT_TRANSLATORS">'TB Calculation Data'!$B$118:$B$121</definedName>
    <definedName name="TB_ES_LENGTH">'TB MIS Sheet'!$E$24</definedName>
    <definedName name="TB_ES_list">'TB Calculation Data'!$D$118:$D$121</definedName>
    <definedName name="TB_ES_list_TORWIN">'TB Calculation Data'!$A$118</definedName>
    <definedName name="TB_ES_select">'TB Model Data'!$D$84</definedName>
    <definedName name="TB_Fin_TW">'TB MIS Sheet'!$B$39</definedName>
    <definedName name="TB_flange">'TB Model Data 100'!$A$4:$D$6</definedName>
    <definedName name="TB_flange_dim">'TB Model Data 100'!$A$24:$F$48</definedName>
    <definedName name="TB_Flange_list">'TB Model Data 100'!$A$54:$A$79</definedName>
    <definedName name="TB_FLANGET">'TB MIS Sheet'!$E$23</definedName>
    <definedName name="TB_FS">'TB MIS Sheet'!$E$21</definedName>
    <definedName name="TB_FS_list">'TB Calculation Data'!$B$5:$B$93</definedName>
    <definedName name="TB_FS_list_TORWIN">'TB Calculation Data'!$A$5:$A$93</definedName>
    <definedName name="TB_FS_select">'TB Model Data'!$C$84</definedName>
    <definedName name="TB_G_Dim">'TB MIS Sheet'!$E$42</definedName>
    <definedName name="TB_GASKET_EXPRESSION">'TB Calculation Data'!$B$126:$B$129</definedName>
    <definedName name="TB_Gasket_list">'TB Calculation Data'!$E$126:$E$129</definedName>
    <definedName name="TB_GEARRETRACT_EXPRESSION">'TB Calculation Data'!$B$134</definedName>
    <definedName name="TB_GR_Length">'TB MIS Sheet'!$E$25</definedName>
    <definedName name="TB_GR_List">'TB Calculation Data'!$C$134:$C$135</definedName>
    <definedName name="TB_GT">'TB MIS Sheet'!$E$20</definedName>
    <definedName name="TB_GT_two">'TB Calculation Data'!$F$130</definedName>
    <definedName name="TB_H_Dim">'TB MIS Sheet'!$E$43</definedName>
    <definedName name="TB_HT_select">'TB Model Data'!$G$84</definedName>
    <definedName name="TB_I_Dim">'TB MIS Sheet'!$E$46</definedName>
    <definedName name="TB_ISOVALVE">'TB MIS Sheet'!$E$22</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Sheet'!$B$32</definedName>
    <definedName name="TB_L_Length">'TB MIS Sheet'!$B$33</definedName>
    <definedName name="TB_Mach_Fin">'TB MIS Sheet'!$B$38</definedName>
    <definedName name="TB_MIS_100">'TB MIS Sheet'!$49:$77</definedName>
    <definedName name="TB_MIS_Bidirectional">'TB MIS Sheet'!$B$27</definedName>
    <definedName name="TB_MIS_ConnType_100">'TB MIS Sheet'!$B$54</definedName>
    <definedName name="TB_MIS_CoolingFins">'TB MIS Sheet'!$B$26</definedName>
    <definedName name="TB_MIS_EndSupport">'TB MIS Sheet'!$B$24</definedName>
    <definedName name="TB_MIS_FlangeSize">'TB MIS Sheet'!$B$20</definedName>
    <definedName name="TB_MIS_FlangeSize_100">'TB MIS Sheet'!$B$55</definedName>
    <definedName name="TB_MIS_Gasket">'TB MIS Sheet'!$B$21</definedName>
    <definedName name="TB_MIS_GearRetract">'TB MIS Sheet'!$B$25</definedName>
    <definedName name="TB_MIS_IsoValve">'TB MIS Sheet'!$B$22</definedName>
    <definedName name="TB_MIS_ITEMNUMBER">'TB MIS Sheet'!$B$4</definedName>
    <definedName name="TB_MIS_ITEMQTY">'TB MIS Sheet'!$B$5</definedName>
    <definedName name="TB_MIS_ModelType">'TB MIS Sheet'!$B$17</definedName>
    <definedName name="TB_MIS_ModelType_100">'TB MIS Sheet'!$B$50</definedName>
    <definedName name="TB_MIS_Not100">'TB MIS Sheet'!$16:$48</definedName>
    <definedName name="TB_MIS_PartNumber">'TB MIS Sheet'!$B$10</definedName>
    <definedName name="TB_MIS_PipeID">'TB MIS Sheet'!$B$18</definedName>
    <definedName name="TB_MIS_PipeID_100">'TB MIS Sheet'!$B$52</definedName>
    <definedName name="TB_MIS_PRODUCTIONNUMBER">'TB MIS Sheet'!$B$8</definedName>
    <definedName name="TB_MIS_SERIALNUMBERS">'TB MIS Sheet'!$B$7</definedName>
    <definedName name="TB_MIS_TAGNUMBERS">'TB MIS Sheet'!$B$9</definedName>
    <definedName name="TB_MIS_THREADEDFLANGE">'TB MIS Sheet'!$B$28</definedName>
    <definedName name="TB_MIS_WallThickness">'TB MIS Sheet'!$B$19</definedName>
    <definedName name="TB_MIS_WallThickness_100">'TB MIS Sheet'!$B$53</definedName>
    <definedName name="TB_MIS_WELD_STANDOFF">'TB MIS Sheet'!$D$13</definedName>
    <definedName name="TB_MIS_WELD_TORBAR">'TB MIS Sheet'!$D$12</definedName>
    <definedName name="TB_Model">'TB Model Data 100'!$A$4:$A$6</definedName>
    <definedName name="TB_Model_list">'TB Model Data'!$A$14:$A$47</definedName>
    <definedName name="TB_MS_NomBore_100">'TB MIS Sheet'!$B$51</definedName>
    <definedName name="TB_N_Dim">'TB MIS Sheet'!$E$44</definedName>
    <definedName name="TB_NL">'TB MIS Sheet'!$E$18</definedName>
    <definedName name="TB_NRT_select">'TB Model Data'!$B$84</definedName>
    <definedName name="TB_P_Dim">'TB MIS Sheet'!$E$45</definedName>
    <definedName name="TB_PC">'TB MIS Sheet'!$B$44</definedName>
    <definedName name="TB_PED_Flange_List">'TB PED Data'!$A$49:$A$109</definedName>
    <definedName name="TB_PED_Model_List">'TB PED Data'!$A$8:$A$44</definedName>
    <definedName name="TB_Pipe_NB">'TB Model Data 100'!$A$10:$A$15</definedName>
    <definedName name="TB_PIPEID">'TB MIS Sheet'!$B$18</definedName>
    <definedName name="TB_PT_select">'TB Model Data'!$F$84</definedName>
    <definedName name="TB_R_Dim">'TB MIS Sheet'!$E$33</definedName>
    <definedName name="TB_SAP_FLANGE_CODE_LOOKUP">'TB PED Data'!$B$49:$C$109</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Data'!$A$89:$B$102</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Sheet'!$E$32</definedName>
    <definedName name="TB_WALLT">'TB MIS Sheet'!$B$19</definedName>
    <definedName name="TB_WELD_STANDOFF">'TB Model Data'!$A$120:$C$133</definedName>
    <definedName name="TB_WELD_TORBAR">'TB Model Data'!$A$108:$C$118</definedName>
    <definedName name="TB_X_Dim">'TB MIS Sheet'!$E$31</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7" i="17" l="1"/>
  <c r="B35" i="17" l="1"/>
  <c r="C35" i="17" s="1"/>
  <c r="D12" i="11" l="1"/>
  <c r="B76" i="17" l="1"/>
  <c r="B61" i="17"/>
  <c r="B60" i="17"/>
  <c r="B59" i="17"/>
  <c r="B58" i="17"/>
  <c r="I15" i="20" l="1"/>
  <c r="I17" i="20"/>
  <c r="I16" i="20"/>
  <c r="I14" i="20"/>
  <c r="E25" i="17" s="1"/>
  <c r="E19" i="17"/>
  <c r="K17" i="15" l="1"/>
  <c r="K18" i="15"/>
  <c r="K19" i="15"/>
  <c r="K16" i="15"/>
  <c r="C123" i="9" l="1"/>
  <c r="C46" i="9" l="1"/>
  <c r="B12" i="9" l="1"/>
  <c r="B14" i="9"/>
  <c r="B13" i="9"/>
  <c r="B11" i="9"/>
  <c r="C24"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7"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2" i="17" s="1"/>
  <c r="C156" i="22"/>
  <c r="K15" i="21"/>
  <c r="K14" i="21"/>
  <c r="K13" i="21"/>
  <c r="K12" i="21"/>
  <c r="K11" i="21"/>
  <c r="K10" i="21"/>
  <c r="E23" i="17" l="1"/>
  <c r="E18" i="17" s="1"/>
  <c r="B14" i="17"/>
  <c r="E20" i="17"/>
  <c r="E21" i="17"/>
  <c r="B69" i="17"/>
  <c r="E15" i="21"/>
  <c r="B68" i="17" s="1"/>
  <c r="B65"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1" i="17" l="1"/>
  <c r="B74" i="17"/>
  <c r="B73" i="17"/>
  <c r="B72" i="17"/>
  <c r="B3" i="17"/>
  <c r="B2" i="17"/>
  <c r="B1" i="17"/>
  <c r="G9" i="20" l="1"/>
  <c r="F9" i="20"/>
  <c r="D9" i="20"/>
  <c r="E9" i="20"/>
  <c r="B9" i="20"/>
  <c r="H9" i="20"/>
  <c r="I9" i="20"/>
  <c r="C9" i="20"/>
  <c r="F121" i="22"/>
  <c r="F120" i="22"/>
  <c r="G34" i="20"/>
  <c r="G42" i="20"/>
  <c r="B75" i="17"/>
  <c r="E120" i="22" l="1"/>
  <c r="F130" i="22"/>
  <c r="E121" i="22"/>
  <c r="E24" i="17" s="1"/>
  <c r="E46" i="17" s="1"/>
  <c r="E39" i="17" l="1"/>
  <c r="E40" i="17"/>
  <c r="E41" i="17"/>
  <c r="E38" i="17"/>
  <c r="E32" i="17"/>
  <c r="B44" i="17" s="1"/>
  <c r="E44" i="17"/>
  <c r="E45" i="17"/>
  <c r="E43" i="17"/>
  <c r="E42" i="17"/>
  <c r="F33" i="20"/>
  <c r="B45" i="17" s="1"/>
  <c r="G42" i="17"/>
  <c r="G41" i="17" s="1"/>
  <c r="F41" i="20"/>
  <c r="G35" i="20"/>
  <c r="G43" i="20"/>
  <c r="A5" i="5"/>
  <c r="L20" i="15"/>
  <c r="K20" i="15"/>
  <c r="B31"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5" i="13"/>
  <c r="D3" i="13"/>
  <c r="A3" i="13"/>
  <c r="B3" i="11"/>
  <c r="B2" i="11"/>
  <c r="B1" i="11"/>
  <c r="A4" i="6"/>
  <c r="D3" i="5"/>
  <c r="A3" i="5"/>
  <c r="B32" i="17" l="1"/>
  <c r="B33" i="17" s="1"/>
  <c r="B34" i="17"/>
  <c r="E33" i="17"/>
  <c r="B46" i="17"/>
  <c r="B43" i="17"/>
  <c r="D153" i="22"/>
  <c r="B39" i="17" s="1"/>
  <c r="C51" i="7"/>
  <c r="I42" i="7"/>
  <c r="H42" i="7"/>
  <c r="G42" i="7"/>
  <c r="F42" i="7"/>
  <c r="E42" i="7"/>
  <c r="C21" i="4"/>
  <c r="D42" i="7"/>
  <c r="J24" i="7"/>
  <c r="I24" i="7"/>
  <c r="H24" i="7"/>
  <c r="G24" i="7"/>
  <c r="D24" i="7" s="1"/>
  <c r="E24" i="7"/>
  <c r="I7" i="7"/>
  <c r="B3" i="4"/>
  <c r="B2" i="4"/>
  <c r="B38" i="17" l="1"/>
  <c r="B40" i="17"/>
  <c r="E22" i="4"/>
  <c r="F16" i="7"/>
  <c r="F21" i="7"/>
  <c r="F19" i="7"/>
  <c r="F24" i="7" s="1"/>
  <c r="F14" i="7"/>
  <c r="F7" i="7"/>
  <c r="G46" i="4" s="1"/>
  <c r="G44" i="4" s="1"/>
  <c r="C7" i="7"/>
  <c r="D7" i="7"/>
  <c r="E7" i="7"/>
  <c r="G7" i="7"/>
  <c r="H7" i="7"/>
  <c r="D2" i="6"/>
  <c r="A2" i="6"/>
  <c r="J20" i="15" l="1"/>
  <c r="I20" i="15"/>
  <c r="H20" i="15"/>
  <c r="G20" i="15"/>
  <c r="F20" i="15"/>
  <c r="E20" i="15"/>
  <c r="D20" i="15"/>
  <c r="C20" i="15"/>
  <c r="B20" i="15"/>
  <c r="I115" i="16" l="1"/>
  <c r="I114" i="16"/>
  <c r="I113" i="16"/>
  <c r="I112" i="16"/>
  <c r="I28" i="16"/>
  <c r="I27" i="16"/>
  <c r="I26" i="16"/>
  <c r="I25" i="16"/>
  <c r="I24" i="16"/>
  <c r="I23" i="16"/>
  <c r="E40" i="13"/>
  <c r="E39" i="13"/>
  <c r="E22" i="11"/>
  <c r="E26" i="11" s="1"/>
  <c r="E21" i="11"/>
  <c r="E20" i="11"/>
  <c r="E19" i="11"/>
  <c r="E18" i="11"/>
  <c r="E17" i="11"/>
  <c r="C17" i="11"/>
  <c r="E25" i="11" l="1"/>
  <c r="B7" i="15"/>
  <c r="E30" i="11" s="1"/>
  <c r="F7" i="15"/>
  <c r="E34" i="11" s="1"/>
  <c r="I7" i="15"/>
  <c r="E37" i="11" s="1"/>
  <c r="E7" i="15"/>
  <c r="E33" i="11" s="1"/>
  <c r="H7" i="15"/>
  <c r="E36" i="11" s="1"/>
  <c r="D7" i="15"/>
  <c r="E32" i="11" s="1"/>
  <c r="G7" i="15"/>
  <c r="E35" i="11" s="1"/>
  <c r="C7" i="15"/>
  <c r="E31" i="11" s="1"/>
  <c r="E38" i="11"/>
  <c r="B25" i="11"/>
  <c r="E27" i="11" s="1"/>
  <c r="L4" i="15" l="1"/>
  <c r="L2" i="15"/>
  <c r="L3" i="15"/>
  <c r="B26" i="11"/>
  <c r="B27" i="11" s="1"/>
  <c r="L5" i="15" l="1"/>
  <c r="B31" i="11" s="1"/>
  <c r="E23" i="4"/>
  <c r="A24" i="4"/>
  <c r="B32" i="11" l="1"/>
  <c r="B30" i="11"/>
  <c r="J115" i="9"/>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4" i="4"/>
  <c r="E18" i="4"/>
  <c r="E19" i="4"/>
  <c r="E56" i="4" s="1"/>
  <c r="B1" i="4"/>
  <c r="K115" i="9" l="1"/>
  <c r="E26" i="4"/>
  <c r="E43" i="4"/>
  <c r="E20" i="4"/>
  <c r="B26" i="4" s="1"/>
  <c r="B43" i="4" l="1"/>
  <c r="E44" i="4"/>
  <c r="E32" i="4"/>
  <c r="E38" i="4"/>
  <c r="E55" i="4" s="1"/>
  <c r="E33" i="4"/>
  <c r="E37" i="4"/>
  <c r="E54" i="4" s="1"/>
  <c r="E36" i="4"/>
  <c r="E34" i="4"/>
  <c r="E35" i="4"/>
  <c r="E52" i="4" s="1"/>
  <c r="E39" i="4"/>
  <c r="E31" i="4"/>
  <c r="E27" i="4"/>
  <c r="L2" i="7" l="1"/>
  <c r="L3" i="7"/>
  <c r="E53" i="4"/>
  <c r="E45" i="4"/>
  <c r="B44" i="4"/>
  <c r="B45" i="4" s="1"/>
  <c r="L4" i="7"/>
  <c r="L5" i="7" s="1"/>
  <c r="B32" i="4" s="1"/>
  <c r="B27" i="4"/>
  <c r="B28" i="4" s="1"/>
  <c r="E28" i="4"/>
  <c r="B50" i="4" l="1"/>
  <c r="B48" i="4"/>
  <c r="B49" i="4"/>
  <c r="B31" i="4"/>
  <c r="B3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21" authorId="0" shapeId="0" xr:uid="{00000000-0006-0000-0200-000001000000}">
      <text>
        <r>
          <rPr>
            <b/>
            <sz val="9"/>
            <color indexed="81"/>
            <rFont val="Tahoma"/>
            <family val="2"/>
          </rPr>
          <t>Jen Wilson:</t>
        </r>
        <r>
          <rPr>
            <sz val="9"/>
            <color indexed="81"/>
            <rFont val="Tahoma"/>
            <family val="2"/>
          </rPr>
          <t xml:space="preserve">
From code, additional characteristics from ConfigX are now ID, Wall T and FS length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300-000001000000}">
      <text>
        <r>
          <rPr>
            <b/>
            <sz val="9"/>
            <color indexed="81"/>
            <rFont val="Tahoma"/>
            <family val="2"/>
          </rPr>
          <t>Jen Wilson:</t>
        </r>
        <r>
          <rPr>
            <sz val="9"/>
            <color indexed="81"/>
            <rFont val="Tahoma"/>
            <family val="2"/>
          </rPr>
          <t xml:space="preserve">
For the user to input manually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8" authorId="0" shapeId="0" xr:uid="{00000000-0006-0000-0400-000001000000}">
      <text>
        <r>
          <rPr>
            <b/>
            <sz val="9"/>
            <color indexed="81"/>
            <rFont val="Tahoma"/>
            <family val="2"/>
          </rPr>
          <t>Jen Wilson:</t>
        </r>
        <r>
          <rPr>
            <sz val="9"/>
            <color indexed="81"/>
            <rFont val="Tahoma"/>
            <family val="2"/>
          </rPr>
          <t xml:space="preserve">
For the user to input manually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900-000001000000}">
      <text>
        <r>
          <rPr>
            <b/>
            <sz val="9"/>
            <color indexed="81"/>
            <rFont val="Tahoma"/>
            <family val="2"/>
          </rPr>
          <t>Jen Wilson:</t>
        </r>
        <r>
          <rPr>
            <sz val="9"/>
            <color indexed="81"/>
            <rFont val="Tahoma"/>
            <family val="2"/>
          </rPr>
          <t xml:space="preserve">
For the user to input manually</t>
        </r>
      </text>
    </comment>
  </commentList>
</comments>
</file>

<file path=xl/sharedStrings.xml><?xml version="1.0" encoding="utf-8"?>
<sst xmlns="http://schemas.openxmlformats.org/spreadsheetml/2006/main" count="3807" uniqueCount="1081">
  <si>
    <t>ABB</t>
  </si>
  <si>
    <t>Customer:</t>
  </si>
  <si>
    <t>Purchase Order number:</t>
  </si>
  <si>
    <t>Sales Order number:</t>
  </si>
  <si>
    <t>Sales order Item #</t>
  </si>
  <si>
    <t>Sales order Qty</t>
  </si>
  <si>
    <t>Production order #</t>
  </si>
  <si>
    <t>Tag Number</t>
  </si>
  <si>
    <t>Serial Number</t>
  </si>
  <si>
    <t>Temperature</t>
  </si>
  <si>
    <t>Pressure</t>
  </si>
  <si>
    <t>Year</t>
  </si>
  <si>
    <t>SolveDP Engineering Planning Spreadsheet</t>
  </si>
  <si>
    <t>Item</t>
  </si>
  <si>
    <t>Create Tag Plate Table</t>
  </si>
  <si>
    <t>Production Order N°</t>
  </si>
  <si>
    <t>Model N°</t>
  </si>
  <si>
    <t>Serial N°</t>
  </si>
  <si>
    <t>Order N°</t>
  </si>
  <si>
    <t>Tag N°</t>
  </si>
  <si>
    <t>Design P</t>
  </si>
  <si>
    <t>Design T</t>
  </si>
  <si>
    <t>Size</t>
  </si>
  <si>
    <t>Test Pressure</t>
  </si>
  <si>
    <t>Value</t>
  </si>
  <si>
    <t>Units</t>
  </si>
  <si>
    <t>Sales Order N°:</t>
  </si>
  <si>
    <t>Purchase Order N°:</t>
  </si>
  <si>
    <t>Tag Plate:</t>
  </si>
  <si>
    <t>Serial Number(s):</t>
  </si>
  <si>
    <t>Production Order N°:</t>
  </si>
  <si>
    <t>Tag Number(s):</t>
  </si>
  <si>
    <t>Part N°:</t>
  </si>
  <si>
    <t>Revision:</t>
  </si>
  <si>
    <t>Pressure Test:</t>
  </si>
  <si>
    <t>BAR[G]</t>
  </si>
  <si>
    <t>To procedure 3KGB310057</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</si>
  <si>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</si>
  <si>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</si>
  <si>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</si>
  <si>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</si>
  <si>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</si>
  <si>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</si>
  <si>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</si>
  <si>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</si>
  <si>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</si>
  <si>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</si>
  <si>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</si>
  <si>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</si>
  <si>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</si>
  <si>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</si>
  <si>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</si>
  <si>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</si>
  <si>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</si>
  <si>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</si>
  <si>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</si>
  <si>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</si>
  <si>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</si>
  <si>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</si>
  <si>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</si>
  <si>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</si>
  <si>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</si>
  <si>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</si>
  <si>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</si>
  <si>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</si>
  <si>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</si>
  <si>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</si>
  <si>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</si>
  <si>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</si>
  <si>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</si>
  <si>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</si>
  <si>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</si>
  <si>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</si>
  <si>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</si>
  <si>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</si>
  <si>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</si>
  <si>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</si>
  <si>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</si>
  <si>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</si>
  <si>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</si>
  <si>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</si>
  <si>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</si>
  <si>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</si>
  <si>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</si>
  <si>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</si>
  <si>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</si>
  <si>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</si>
  <si>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</si>
  <si>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</si>
  <si>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</si>
  <si>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</si>
  <si>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</si>
  <si>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</si>
  <si>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Configure 267CS Multivariable Transmitter</t>
  </si>
  <si>
    <t>Procedure</t>
  </si>
  <si>
    <t>WOR/ to be confirmed</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</si>
  <si>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</si>
  <si>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</si>
  <si>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</si>
  <si>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</si>
  <si>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</si>
  <si>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</si>
  <si>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</si>
  <si>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</si>
  <si>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</si>
  <si>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</si>
  <si>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</si>
  <si>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</si>
  <si>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</si>
  <si>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</si>
  <si>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</si>
  <si>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</si>
  <si>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</si>
  <si>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</si>
  <si>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</si>
  <si>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</si>
  <si>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</si>
  <si>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</si>
  <si>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</si>
  <si>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</si>
  <si>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</si>
  <si>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</si>
  <si>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</si>
  <si>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</si>
  <si>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</si>
  <si>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</si>
  <si>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</si>
  <si>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</si>
  <si>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</si>
  <si>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</si>
  <si>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</si>
  <si>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</si>
  <si>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</si>
  <si>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</si>
  <si>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Not fitted</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</si>
  <si>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</si>
  <si>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</si>
  <si>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</si>
  <si>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</si>
  <si>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</si>
  <si>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</si>
  <si>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</si>
  <si>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</si>
  <si>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</si>
  <si>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</si>
  <si>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</si>
  <si>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</si>
  <si>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</si>
  <si>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</si>
  <si>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</si>
  <si>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</si>
  <si>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</si>
  <si>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</si>
  <si>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</si>
  <si>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</si>
  <si>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</si>
  <si>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</si>
  <si>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</si>
  <si>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</si>
  <si>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</si>
  <si>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</si>
  <si>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</si>
  <si>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</si>
  <si>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</si>
  <si>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</si>
  <si>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</si>
  <si>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</si>
  <si>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</si>
  <si>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</si>
  <si>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</si>
  <si>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</si>
  <si>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</si>
  <si>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</si>
  <si>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</si>
  <si>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</si>
  <si>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</si>
  <si>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</si>
  <si>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</si>
  <si>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</si>
  <si>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</si>
  <si>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</si>
  <si>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</si>
  <si>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</si>
  <si>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</si>
  <si>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</si>
  <si>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</si>
  <si>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</si>
  <si>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</si>
  <si>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</si>
  <si>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</si>
  <si>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</si>
  <si>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</si>
  <si>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</si>
  <si>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</si>
  <si>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</si>
  <si>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</si>
  <si>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</si>
  <si>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</si>
  <si>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</si>
  <si>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</si>
  <si>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</si>
  <si>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</si>
  <si>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ES + TP3 if applic.</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</si>
  <si>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</si>
  <si>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</si>
  <si>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</si>
  <si>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</si>
  <si>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</si>
  <si>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</si>
  <si>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</si>
  <si>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</si>
  <si>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</si>
  <si>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</si>
  <si>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</si>
  <si>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</si>
  <si>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</si>
  <si>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</si>
  <si>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</si>
  <si>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</si>
  <si>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</si>
  <si>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</si>
  <si>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</si>
  <si>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</si>
  <si>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</si>
  <si>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</si>
  <si>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</si>
  <si>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</si>
  <si>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</si>
  <si>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</si>
  <si>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</si>
  <si>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</si>
  <si>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</si>
  <si>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</si>
  <si>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</si>
  <si>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</si>
  <si>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</si>
  <si>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</si>
  <si>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</si>
  <si>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</si>
  <si>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</si>
  <si>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</si>
  <si>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</si>
  <si>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</si>
  <si>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</si>
  <si>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</si>
  <si>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</si>
  <si>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</si>
  <si>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</si>
  <si>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</si>
  <si>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</si>
  <si>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</si>
  <si>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</si>
  <si>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</si>
  <si>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</si>
  <si>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</si>
  <si>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</si>
  <si>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</si>
  <si>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</si>
  <si>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</si>
  <si>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</si>
  <si>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</si>
  <si>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</si>
  <si>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</si>
  <si>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</si>
  <si>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</si>
  <si>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</si>
  <si>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</si>
  <si>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</si>
  <si>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</si>
  <si>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TP2</t>
  </si>
  <si>
    <t>Two-piece construction</t>
  </si>
  <si>
    <t>TP3</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</si>
  <si>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</si>
  <si>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</si>
  <si>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</si>
  <si>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</si>
  <si>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</si>
  <si>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</si>
  <si>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</si>
  <si>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</si>
  <si>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</si>
  <si>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</si>
  <si>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</si>
  <si>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</si>
  <si>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</si>
  <si>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</si>
  <si>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</si>
  <si>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</si>
  <si>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</si>
  <si>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</si>
  <si>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</si>
  <si>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</si>
  <si>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</si>
  <si>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</si>
  <si>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</si>
  <si>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</si>
  <si>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</si>
  <si>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</si>
  <si>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</si>
  <si>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</si>
  <si>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</si>
  <si>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</si>
  <si>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</si>
  <si>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</si>
  <si>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</si>
  <si>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</si>
  <si>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</si>
  <si>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</si>
  <si>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</si>
  <si>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</si>
  <si>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</si>
  <si>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</si>
  <si>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</si>
  <si>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</si>
  <si>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</si>
  <si>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</si>
  <si>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</si>
  <si>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</si>
  <si>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</si>
  <si>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</si>
  <si>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</si>
  <si>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</si>
  <si>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</si>
  <si>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</si>
  <si>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</si>
  <si>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</si>
  <si>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</si>
  <si>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</si>
  <si>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</si>
  <si>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</si>
  <si>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</si>
  <si>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</si>
  <si>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</si>
  <si>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</si>
  <si>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</si>
  <si>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</si>
  <si>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</si>
  <si>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</si>
  <si>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</si>
  <si>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</si>
  <si>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</si>
  <si>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</si>
  <si>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</si>
  <si>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</si>
  <si>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</si>
  <si>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</si>
  <si>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</si>
  <si>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</si>
  <si>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</si>
  <si>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</si>
  <si>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</si>
  <si>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</si>
  <si>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</si>
  <si>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</si>
  <si>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</si>
  <si>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</si>
  <si>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</si>
  <si>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</si>
  <si>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</si>
  <si>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</si>
  <si>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</si>
  <si>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</si>
  <si>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</si>
  <si>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</si>
  <si>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</si>
  <si>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</si>
  <si>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</si>
  <si>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</si>
  <si>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</si>
  <si>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</si>
  <si>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</si>
  <si>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</si>
  <si>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</si>
  <si>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</si>
  <si>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</si>
  <si>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</si>
  <si>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</si>
  <si>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</si>
  <si>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</si>
  <si>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</si>
  <si>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</si>
  <si>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</si>
  <si>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</si>
  <si>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</si>
  <si>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</si>
  <si>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</si>
  <si>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</si>
  <si>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</si>
  <si>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</si>
  <si>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</si>
  <si>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</si>
  <si>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</si>
  <si>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</si>
  <si>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</si>
  <si>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</si>
  <si>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</si>
  <si>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</si>
  <si>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</si>
  <si>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</si>
  <si>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</si>
  <si>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</si>
  <si>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</si>
  <si>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</si>
  <si>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B3, N3 - AT</t>
  </si>
  <si>
    <t>Y0</t>
  </si>
  <si>
    <t>Gasket Thickness</t>
  </si>
  <si>
    <t>E</t>
  </si>
  <si>
    <t>PED CAT</t>
  </si>
  <si>
    <t>CompactMaster Model No. -</t>
  </si>
  <si>
    <t>Configure DP (266DSH/364) Transmitter</t>
  </si>
  <si>
    <t>Process Variable DP Units</t>
  </si>
  <si>
    <t>Display Lower Range Value</t>
  </si>
  <si>
    <t>Display Upper Range Value</t>
  </si>
  <si>
    <t xml:space="preserve">Scaled to </t>
  </si>
  <si>
    <t>Primary Device Type</t>
  </si>
  <si>
    <t>FPD500</t>
  </si>
  <si>
    <t>Orifice Corner Taps ISO</t>
  </si>
  <si>
    <t>FPD510</t>
  </si>
  <si>
    <t>Integral Orifice Assembly</t>
  </si>
  <si>
    <t>FPD550</t>
  </si>
  <si>
    <t>FPD570</t>
  </si>
  <si>
    <t>Wedgemeter</t>
  </si>
  <si>
    <t>OriMasterMaterial</t>
  </si>
  <si>
    <t>CS</t>
  </si>
  <si>
    <t>SS</t>
  </si>
  <si>
    <t>H4</t>
  </si>
  <si>
    <t>Hastelloy C</t>
  </si>
  <si>
    <t>A1</t>
  </si>
  <si>
    <t>A2</t>
  </si>
  <si>
    <t>CH/FPD5/BETA/RATIO</t>
  </si>
  <si>
    <t>B1</t>
  </si>
  <si>
    <t>B2</t>
  </si>
  <si>
    <t>CH/FPD5/BORE/SIZE</t>
  </si>
  <si>
    <t>A5</t>
  </si>
  <si>
    <t>A8</t>
  </si>
  <si>
    <t>B5</t>
  </si>
  <si>
    <t>B8</t>
  </si>
  <si>
    <t>C2</t>
  </si>
  <si>
    <t>C5</t>
  </si>
  <si>
    <t>C8</t>
  </si>
  <si>
    <t>D2</t>
  </si>
  <si>
    <t>D5</t>
  </si>
  <si>
    <t>D8</t>
  </si>
  <si>
    <t>E2</t>
  </si>
  <si>
    <t>E5</t>
  </si>
  <si>
    <t>E8</t>
  </si>
  <si>
    <t>H2</t>
  </si>
  <si>
    <t>H3</t>
  </si>
  <si>
    <t>H5</t>
  </si>
  <si>
    <t>PitoMaster Conn Type</t>
  </si>
  <si>
    <t>Temperature Elem</t>
  </si>
  <si>
    <t>FS</t>
  </si>
  <si>
    <t>FS Length</t>
  </si>
  <si>
    <t>B3, N3</t>
  </si>
  <si>
    <t>B4, N4</t>
  </si>
  <si>
    <t>AT</t>
  </si>
  <si>
    <t>401-NRT</t>
  </si>
  <si>
    <t>B4, N4 - AT</t>
  </si>
  <si>
    <t>402-NRT</t>
  </si>
  <si>
    <t>F3 - AT</t>
  </si>
  <si>
    <t>F4 - AT</t>
  </si>
  <si>
    <t>A3</t>
  </si>
  <si>
    <t>D1</t>
  </si>
  <si>
    <t>D3</t>
  </si>
  <si>
    <t>Meter Size</t>
  </si>
  <si>
    <t>Design P (bar[G])</t>
  </si>
  <si>
    <t>Design T (°C)</t>
  </si>
  <si>
    <t>CH/FPD5/METER/SIZE</t>
  </si>
  <si>
    <t>015</t>
  </si>
  <si>
    <t>CH/FPD5/PRESS/RAT</t>
  </si>
  <si>
    <t>025</t>
  </si>
  <si>
    <t>Cat 2</t>
  </si>
  <si>
    <t>Cat 1</t>
  </si>
  <si>
    <t>B3</t>
  </si>
  <si>
    <t>F2</t>
  </si>
  <si>
    <t>D4</t>
  </si>
  <si>
    <t>A6</t>
  </si>
  <si>
    <t>D6</t>
  </si>
  <si>
    <t>Cat 3</t>
  </si>
  <si>
    <t xml:space="preserve">Cat 3 </t>
  </si>
  <si>
    <t>CH/FPD5/CONN/TYPE</t>
  </si>
  <si>
    <t>B4</t>
  </si>
  <si>
    <t>N3</t>
  </si>
  <si>
    <t>N4</t>
  </si>
  <si>
    <t>CH/FPD5/MODEL/DESIGN</t>
  </si>
  <si>
    <t>CH/FPD5/SPAN/LIMITS</t>
  </si>
  <si>
    <t>Model &amp; Design</t>
  </si>
  <si>
    <t>DP Span Limits</t>
  </si>
  <si>
    <t>Max Static Pressure</t>
  </si>
  <si>
    <t>V2</t>
  </si>
  <si>
    <t>A</t>
  </si>
  <si>
    <t>bar</t>
  </si>
  <si>
    <t>if max static pressure of tx is lower than design P, use max static pressure for design P</t>
  </si>
  <si>
    <t>if new max static pressure x 1.5 is lower than tx static pressure, use max static pressure for test P</t>
  </si>
  <si>
    <t>M1</t>
  </si>
  <si>
    <t>L</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</si>
  <si>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</si>
  <si>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</si>
  <si>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</si>
  <si>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</si>
  <si>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</si>
  <si>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</si>
  <si>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</si>
  <si>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</si>
  <si>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</si>
  <si>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</si>
  <si>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</si>
  <si>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</si>
  <si>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</si>
  <si>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</si>
  <si>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</si>
  <si>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</si>
  <si>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</si>
  <si>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</si>
  <si>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</si>
  <si>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</si>
  <si>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</si>
  <si>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</si>
  <si>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</si>
  <si>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</si>
  <si>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Bayonet</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</si>
  <si>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</si>
  <si>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</si>
  <si>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</si>
  <si>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</si>
  <si>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</si>
  <si>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</si>
  <si>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</si>
  <si>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</si>
  <si>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</si>
  <si>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</si>
  <si>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</si>
  <si>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</si>
  <si>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</si>
  <si>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</si>
  <si>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</si>
  <si>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</si>
  <si>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</si>
  <si>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</si>
  <si>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</si>
  <si>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</si>
  <si>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</si>
  <si>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</si>
  <si>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</si>
  <si>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</si>
  <si>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</si>
  <si>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</si>
  <si>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</si>
  <si>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</si>
  <si>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</si>
  <si>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</si>
  <si>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</si>
  <si>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</si>
  <si>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</si>
  <si>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</si>
  <si>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</si>
  <si>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</si>
  <si>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</si>
  <si>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</si>
  <si>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</si>
  <si>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</si>
  <si>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</si>
  <si>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</si>
  <si>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</si>
  <si>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</si>
  <si>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</si>
  <si>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</si>
  <si>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</si>
  <si>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</si>
  <si>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</si>
  <si>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</si>
  <si>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</si>
  <si>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</si>
  <si>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</si>
  <si>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</si>
  <si>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</si>
  <si>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</si>
  <si>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</si>
  <si>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</si>
  <si>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</si>
  <si>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</si>
  <si>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</si>
  <si>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</si>
  <si>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</si>
  <si>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</si>
  <si>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</si>
  <si>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</si>
  <si>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</si>
  <si>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</si>
  <si>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</si>
  <si>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</si>
  <si>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</si>
  <si>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</si>
  <si>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</si>
  <si>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</si>
  <si>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</si>
  <si>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</si>
  <si>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</si>
  <si>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</si>
  <si>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</si>
  <si>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</si>
  <si>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</si>
  <si>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</si>
  <si>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</si>
  <si>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</si>
  <si>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</si>
  <si>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</si>
  <si>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</si>
  <si>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</si>
  <si>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</si>
  <si>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</si>
  <si>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</si>
  <si>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</si>
  <si>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</si>
  <si>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</si>
  <si>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</si>
  <si>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</si>
  <si>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</si>
  <si>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</si>
  <si>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</si>
  <si>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</si>
  <si>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</si>
  <si>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</si>
  <si>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</si>
  <si>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</si>
  <si>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</si>
  <si>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</si>
  <si>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</si>
  <si>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</si>
  <si>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</si>
  <si>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</si>
  <si>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</si>
  <si>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</si>
  <si>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</si>
  <si>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</si>
  <si>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</si>
  <si>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</si>
  <si>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</si>
  <si>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</si>
  <si>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</si>
  <si>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</si>
  <si>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</si>
  <si>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</si>
  <si>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</si>
  <si>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</si>
  <si>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</si>
  <si>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</si>
  <si>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</si>
  <si>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</si>
  <si>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</si>
  <si>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</si>
  <si>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</si>
  <si>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</si>
  <si>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</si>
  <si>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</si>
  <si>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</si>
  <si>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</si>
  <si>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</si>
  <si>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</si>
  <si>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</si>
  <si>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</si>
  <si>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</si>
  <si>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</si>
  <si>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</si>
  <si>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</si>
  <si>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</si>
  <si>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</si>
  <si>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</si>
  <si>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</si>
  <si>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</si>
  <si>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</si>
  <si>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</si>
  <si>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</si>
  <si>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</si>
  <si>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</si>
  <si>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</si>
  <si>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</si>
  <si>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</si>
  <si>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</si>
  <si>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</si>
  <si>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</si>
  <si>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</si>
  <si>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</si>
  <si>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</si>
  <si>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</si>
  <si>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</si>
  <si>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</si>
  <si>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</si>
  <si>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</si>
  <si>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</si>
  <si>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</si>
  <si>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</si>
  <si>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</si>
  <si>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</si>
  <si>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</si>
  <si>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</si>
  <si>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</si>
  <si>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</si>
  <si>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</si>
  <si>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</si>
  <si>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</si>
  <si>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</si>
  <si>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</si>
  <si>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</si>
  <si>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</si>
  <si>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</si>
  <si>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</si>
  <si>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</si>
  <si>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</si>
  <si>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</si>
  <si>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</si>
  <si>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</si>
  <si>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</si>
  <si>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</si>
  <si>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</si>
  <si>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</si>
  <si>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</si>
  <si>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</si>
  <si>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</si>
  <si>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</si>
  <si>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</si>
  <si>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</si>
  <si>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</si>
  <si>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</si>
  <si>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</si>
  <si>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</si>
  <si>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</si>
  <si>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</si>
  <si>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</si>
  <si>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</si>
  <si>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</si>
  <si>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</si>
  <si>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</si>
  <si>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</si>
  <si>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</si>
  <si>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</si>
  <si>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A182-F11 CS</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</si>
  <si>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</si>
  <si>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</si>
  <si>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</si>
  <si>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</si>
  <si>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</si>
  <si>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</si>
  <si>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</si>
  <si>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</si>
  <si>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</si>
  <si>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</si>
  <si>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</si>
  <si>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</si>
  <si>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</si>
  <si>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</si>
  <si>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</si>
  <si>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</si>
  <si>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</si>
  <si>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</si>
  <si>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</si>
  <si>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</si>
  <si>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</si>
  <si>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</si>
  <si>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</si>
  <si>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</si>
  <si>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</si>
  <si>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</si>
  <si>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</si>
  <si>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</si>
  <si>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</si>
  <si>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</si>
  <si>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</si>
  <si>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</si>
  <si>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</si>
  <si>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</si>
  <si>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</si>
  <si>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</si>
  <si>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</si>
  <si>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</si>
  <si>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</si>
  <si>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</si>
  <si>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</si>
  <si>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</si>
  <si>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</si>
  <si>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</si>
  <si>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</si>
  <si>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</si>
  <si>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</si>
  <si>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</si>
  <si>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</si>
  <si>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</si>
  <si>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</si>
  <si>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</si>
  <si>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</si>
  <si>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</si>
  <si>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</si>
  <si>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</si>
  <si>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</si>
  <si>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</si>
  <si>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</si>
  <si>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</si>
  <si>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</si>
  <si>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</si>
  <si>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</si>
  <si>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</si>
  <si>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</si>
  <si>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</si>
  <si>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</si>
  <si>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</si>
  <si>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</si>
  <si>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</si>
  <si>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</si>
  <si>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</si>
  <si>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</si>
  <si>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</si>
  <si>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</si>
  <si>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</si>
  <si>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</si>
  <si>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</si>
  <si>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</si>
  <si>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</si>
  <si>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</si>
  <si>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</si>
  <si>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</si>
  <si>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</si>
  <si>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</si>
  <si>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</si>
  <si>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</si>
  <si>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</si>
  <si>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</si>
  <si>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</si>
  <si>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</si>
  <si>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</si>
  <si>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</si>
  <si>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</si>
  <si>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</si>
  <si>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</si>
  <si>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</si>
  <si>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</si>
  <si>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</si>
  <si>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</si>
  <si>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</si>
  <si>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</si>
  <si>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</si>
  <si>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</si>
  <si>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</si>
  <si>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</si>
  <si>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</si>
  <si>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</si>
  <si>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</si>
  <si>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</si>
  <si>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</si>
  <si>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</si>
  <si>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</si>
  <si>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</si>
  <si>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</si>
  <si>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</si>
  <si>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</si>
  <si>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</si>
  <si>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</si>
  <si>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</si>
  <si>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</si>
  <si>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</si>
  <si>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</si>
  <si>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</si>
  <si>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</si>
  <si>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</si>
  <si>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</si>
  <si>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</si>
  <si>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</si>
  <si>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</si>
  <si>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</si>
  <si>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</si>
  <si>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</si>
  <si>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</si>
  <si>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</si>
  <si>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</si>
  <si>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</si>
  <si>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</si>
  <si>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</si>
  <si>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</si>
  <si>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</si>
  <si>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</si>
  <si>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</si>
  <si>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</si>
  <si>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</si>
  <si>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</si>
  <si>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</si>
  <si>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</si>
  <si>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</si>
  <si>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</si>
  <si>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</si>
  <si>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</si>
  <si>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</si>
  <si>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</si>
  <si>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</si>
  <si>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</si>
  <si>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</si>
  <si>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</si>
  <si>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</si>
  <si>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</si>
  <si>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</si>
  <si>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</si>
  <si>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</si>
  <si>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</si>
  <si>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</si>
  <si>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</si>
  <si>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</si>
  <si>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</si>
  <si>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</si>
  <si>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</si>
  <si>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</si>
  <si>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</si>
  <si>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</si>
  <si>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</si>
  <si>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</si>
  <si>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</si>
  <si>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</si>
  <si>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</si>
  <si>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</si>
  <si>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</si>
  <si>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</si>
  <si>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</si>
  <si>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6"/STD</t>
  </si>
  <si>
    <t>1 °C</t>
  </si>
  <si>
    <t>n/a</t>
  </si>
  <si>
    <t>Mass Flow</t>
  </si>
  <si>
    <t>13.89 kg/s</t>
  </si>
  <si>
    <t>2.01325 bar [A]</t>
  </si>
  <si>
    <t>999.92kg/m³</t>
  </si>
  <si>
    <t>154.05 mm</t>
  </si>
  <si>
    <t>7.9099 mbar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</si>
  <si>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</si>
  <si>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</si>
  <si>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</si>
  <si>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</si>
  <si>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</si>
  <si>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</si>
  <si>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</si>
  <si>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</si>
  <si>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</si>
  <si>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</si>
  <si>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</si>
  <si>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</si>
  <si>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</si>
  <si>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</si>
  <si>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</si>
  <si>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</si>
  <si>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</si>
  <si>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</si>
  <si>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</si>
  <si>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</si>
  <si>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</si>
  <si>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</si>
  <si>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</si>
  <si>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</si>
  <si>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</si>
  <si>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</si>
  <si>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</si>
  <si>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</si>
  <si>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</si>
  <si>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</si>
  <si>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</si>
  <si>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</si>
  <si>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Hole Placement (measured without end-cap)</t>
  </si>
  <si>
    <t>Cooling Fins</t>
  </si>
  <si>
    <t>COOLING FINS</t>
  </si>
  <si>
    <t>CH/FPD/FITT/ACC=CF1</t>
  </si>
  <si>
    <t>CF…</t>
  </si>
  <si>
    <t>Weld Procedures:</t>
  </si>
  <si>
    <t>Torbar, pressure chamber etc</t>
  </si>
  <si>
    <t>Standoff</t>
  </si>
  <si>
    <t>WPS Code</t>
  </si>
  <si>
    <t>Base Material</t>
  </si>
  <si>
    <t>Weld Type</t>
  </si>
  <si>
    <t>WPS/TORBAR/304/06</t>
  </si>
  <si>
    <t>Fillet</t>
  </si>
  <si>
    <t>WPS/TORBAR/310/08</t>
  </si>
  <si>
    <t>WPS/TORBAR/316/01</t>
  </si>
  <si>
    <t>WPS/TORBAR/316H/12</t>
  </si>
  <si>
    <t>WPS/TORBAR/321/04</t>
  </si>
  <si>
    <t>WPS/TORBAR/6MO/16</t>
  </si>
  <si>
    <t>WPS/TORBAR/A400/10</t>
  </si>
  <si>
    <t>WPS/TORBAR/A625/22</t>
  </si>
  <si>
    <t>WPS/TORBAR/C276/14</t>
  </si>
  <si>
    <t>WPS/TORBAR/F51/18</t>
  </si>
  <si>
    <t>WPS/TORBAR/F55/20</t>
  </si>
  <si>
    <t>WPS/TORBAR/304/07</t>
  </si>
  <si>
    <t>Stand-off butt</t>
  </si>
  <si>
    <t>WPS/TORBAR/310/09</t>
  </si>
  <si>
    <t>WPS/TORBAR/316/03</t>
  </si>
  <si>
    <t>WPS/TORBAR/316H/13</t>
  </si>
  <si>
    <t>WPS/TORBAR/321/05</t>
  </si>
  <si>
    <t>WPS/TORBAR/6MO/17</t>
  </si>
  <si>
    <t>WPS/TORBAR/A400/11</t>
  </si>
  <si>
    <t>WPS/TORBAR/A625/23</t>
  </si>
  <si>
    <t>WPS/TORBAR/C276/15</t>
  </si>
  <si>
    <t>WPS/TORBAR/CS/02</t>
  </si>
  <si>
    <t>WPS/TORBAR/F11/24</t>
  </si>
  <si>
    <t>WPS/TORBAR/F51/19</t>
  </si>
  <si>
    <t>WPS/TORBAR/F55/21</t>
  </si>
  <si>
    <t>TORBAR bit</t>
  </si>
  <si>
    <t>Stand-off</t>
  </si>
  <si>
    <t>CH/FPD/ELEM/MAT</t>
  </si>
  <si>
    <t>CH/FPD/NONELEM/MAT</t>
  </si>
  <si>
    <t>S3</t>
  </si>
  <si>
    <t>CH/FPD5/CONN/TYPE in F3,F4</t>
  </si>
  <si>
    <t>&lt;&lt; The Standoff only valid for - but that's the only time it gets a length</t>
  </si>
  <si>
    <t>CH/FPD58/FITTING/MATERIAL</t>
  </si>
  <si>
    <t>Threaded Flange</t>
  </si>
  <si>
    <t>THREADED FLANGE</t>
  </si>
  <si>
    <t>CH/FPD/TORBAR/DES=TP8</t>
  </si>
  <si>
    <t>TP8?</t>
  </si>
  <si>
    <t>test2</t>
  </si>
  <si>
    <t>s2</t>
  </si>
  <si>
    <t>s1, s2</t>
  </si>
  <si>
    <t>test1, test2</t>
  </si>
  <si>
    <t>FPD510.V2.040.G.S6.D2.Y0.H.3.A.3.B.1.H2</t>
  </si>
  <si>
    <t>Gas: Air</t>
  </si>
  <si>
    <t>0-20</t>
  </si>
  <si>
    <t>None Chosen</t>
  </si>
  <si>
    <t>Nm³</t>
  </si>
  <si>
    <t>H611 Small Dia Pipe</t>
  </si>
  <si>
    <t>310 SS</t>
  </si>
  <si>
    <t>FPD585.M1.F3.S6.C3.040.A1F.1.?.2.A.4.?.B.2</t>
  </si>
  <si>
    <t>CH/FPD/TORBAR/TYPE</t>
  </si>
  <si>
    <t>CH/FPD/END/SUPT=E1 AND CH/FPD/MOUNTING=Y0,T1,F1,F7</t>
  </si>
  <si>
    <t>CH/FPD/END/SUPT=E2 AND CH/FPD/MOUNTING=T2,F2,F7</t>
  </si>
  <si>
    <t>CH/FPD/END/SUPT</t>
  </si>
  <si>
    <t>Index</t>
  </si>
  <si>
    <t>Product</t>
  </si>
  <si>
    <t>PK</t>
  </si>
  <si>
    <t>Qty</t>
  </si>
  <si>
    <t>Product Family</t>
  </si>
  <si>
    <t>Family Guid</t>
  </si>
  <si>
    <t>17: FPD350.T4.E1.200.S6.C3.F1.R4.A1.V2.T6.S6.PNH.Y0Y</t>
  </si>
  <si>
    <t>FPD350 400 Series Torbar</t>
  </si>
  <si>
    <t>Water</t>
  </si>
  <si>
    <t>f4ef0251-4a5b-4494-84a9-7ccc5666702f</t>
  </si>
  <si>
    <t>bf58e0ea-3099-48d3-911a-6ffedb3a0b04</t>
  </si>
  <si>
    <t>18: FPD350.T3.E1.100.S6.C3.T1.T1.Y0.T1.T1.Y0.PNH.Y0Y</t>
  </si>
  <si>
    <t>FPD350 300 Series Torbar</t>
  </si>
  <si>
    <t>a18d1abc-2ff0-4c3b-a9aa-190b850f51a2</t>
  </si>
  <si>
    <t>19: FPD350.T5.E2.400.S6.S6.F2.R6.A3.V2.T6.S6.PNH.Y0Y</t>
  </si>
  <si>
    <t>FPD350 500 Series Torbar</t>
  </si>
  <si>
    <t>49f0ae3b-c47e-451a-9b84-0d44d2ad1873</t>
  </si>
  <si>
    <t>20: FPD583.M1.F3.S6.C3.040.A1F.1.A.1.A.4.H1.A.1</t>
  </si>
  <si>
    <t>FPD583 - MCERTS Manual Control System</t>
  </si>
  <si>
    <t>38acb938-19f3-4125-97f2-629e5ffbba2e</t>
  </si>
  <si>
    <t>bf58e0ea-3099-48d3-911a-6ffedb3a0b06</t>
  </si>
  <si>
    <t>TORBAR_TEST_1</t>
  </si>
  <si>
    <t>FPD350_x000D_
 (Torbar: 411)</t>
  </si>
  <si>
    <t>8"/STD</t>
  </si>
  <si>
    <t>316/316L Stainless Steel</t>
  </si>
  <si>
    <t>10 °C</t>
  </si>
  <si>
    <t>1000 m³/h</t>
  </si>
  <si>
    <t>10 bar [G]</t>
  </si>
  <si>
    <t>1012.3 mbar</t>
  </si>
  <si>
    <t>TORBAR_TEST_2</t>
  </si>
  <si>
    <t>FPD350_x000D_
 (Torbar: 301)</t>
  </si>
  <si>
    <t>4"/STD</t>
  </si>
  <si>
    <t>10 m³/h</t>
  </si>
  <si>
    <t>1 bar [G]</t>
  </si>
  <si>
    <t>1.2266 mbar</t>
  </si>
  <si>
    <t>TORBAR_TEST_3</t>
  </si>
  <si>
    <t>FPD350_x000D_
 (Torbar: 512)</t>
  </si>
  <si>
    <t>16"/STD</t>
  </si>
  <si>
    <t>100 m³/h</t>
  </si>
  <si>
    <t>0.59811 mbar</t>
  </si>
  <si>
    <t>STACK_TEST_1</t>
  </si>
  <si>
    <t>SPECIAL/SPL</t>
  </si>
  <si>
    <t>316L SS Probe</t>
  </si>
  <si>
    <t>500 m³/h</t>
  </si>
  <si>
    <t>5.4905 mbar</t>
  </si>
  <si>
    <t>SolveDP V5.0.3.0</t>
  </si>
  <si>
    <t>OurNameTest</t>
  </si>
  <si>
    <t>512</t>
  </si>
  <si>
    <t>FPD583.M1.F3.S6.C3.040.A1F.1.A.1.A.4.H1.A.1</t>
  </si>
  <si>
    <t>0-500</t>
  </si>
  <si>
    <t>1,012.95 Sm³/h</t>
  </si>
  <si>
    <t>999.75kg/m³</t>
  </si>
  <si>
    <t>500 mm</t>
  </si>
  <si>
    <t>493.47 kg/m³</t>
  </si>
  <si>
    <t>FPD350.T5.E2.400.S6.S6.F2.R6.A3.V2.T6.S6.PNH.Y0Y</t>
  </si>
  <si>
    <t>Planning Spreadsheet V 0.60 17/May/2019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</si>
</sst>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sz val="72"/>
      <color indexed="10"/>
      <name val="ABB Logo"/>
      <charset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b/>
      <sz val="9"/>
      <color indexed="81"/>
      <name val="Tahoma"/>
      <family val="2"/>
    </font>
    <font>
      <sz val="9"/>
      <color indexed="81"/>
      <name val="Tahoma"/>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1"/>
      <name val="Calibri"/>
      <family val="2"/>
      <scheme val="minor"/>
    </font>
    <font>
      <sz val="10"/>
      <color theme="7"/>
      <name val="Arial"/>
      <family val="2"/>
    </font>
    <font>
      <sz val="11"/>
      <color indexed="8"/>
      <name val="Calibri"/>
      <family val="2"/>
      <scheme val="minor"/>
    </font>
    <font>
      <sz val="10"/>
      <color theme="1"/>
      <name val="Calibri"/>
      <family val="2"/>
    </font>
    <font>
      <sz val="10"/>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2" fillId="0" borderId="0"/>
    <xf numFmtId="0" fontId="1" fillId="0" borderId="0"/>
    <xf numFmtId="0" fontId="42" fillId="0" borderId="0"/>
  </cellStyleXfs>
  <cellXfs count="368">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9" fillId="0" borderId="0" xfId="0" applyFont="1"/>
    <xf numFmtId="0" fontId="9" fillId="0" borderId="0" xfId="0" applyFont="1" applyFill="1" applyProtection="1"/>
    <xf numFmtId="0" fontId="10"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1" fillId="0" borderId="1" xfId="2" applyFont="1" applyBorder="1" applyAlignment="1">
      <alignment horizontal="center" vertical="center" wrapText="1"/>
    </xf>
    <xf numFmtId="0" fontId="11" fillId="0" borderId="0" xfId="2" applyFont="1" applyAlignment="1">
      <alignment horizontal="center" vertical="center" wrapText="1"/>
    </xf>
    <xf numFmtId="0" fontId="11" fillId="0" borderId="1" xfId="2" applyFont="1" applyFill="1" applyBorder="1" applyAlignment="1">
      <alignment horizontal="center" vertical="center" wrapText="1"/>
    </xf>
    <xf numFmtId="0" fontId="12" fillId="0" borderId="7" xfId="3" applyBorder="1" applyAlignment="1">
      <alignment horizontal="left" vertical="center"/>
    </xf>
    <xf numFmtId="0" fontId="12" fillId="0" borderId="8" xfId="3" applyBorder="1" applyAlignment="1">
      <alignment horizontal="left" vertical="center"/>
    </xf>
    <xf numFmtId="0" fontId="12" fillId="0" borderId="8" xfId="3" applyBorder="1" applyAlignment="1">
      <alignment horizontal="center" vertical="center"/>
    </xf>
    <xf numFmtId="0" fontId="12" fillId="0" borderId="9" xfId="3" applyBorder="1" applyAlignment="1">
      <alignment horizontal="left" vertical="center"/>
    </xf>
    <xf numFmtId="0" fontId="12" fillId="0" borderId="0" xfId="3" applyBorder="1" applyAlignment="1">
      <alignment horizontal="center" vertical="center"/>
    </xf>
    <xf numFmtId="0" fontId="12" fillId="0" borderId="0" xfId="3" applyAlignment="1">
      <alignment horizontal="center" vertical="center"/>
    </xf>
    <xf numFmtId="0" fontId="12" fillId="0" borderId="10" xfId="3" applyBorder="1" applyAlignment="1">
      <alignment horizontal="left" vertical="center"/>
    </xf>
    <xf numFmtId="0" fontId="12" fillId="0" borderId="0" xfId="3" applyBorder="1" applyAlignment="1">
      <alignment vertical="center"/>
    </xf>
    <xf numFmtId="49" fontId="12" fillId="0" borderId="0" xfId="3" applyNumberFormat="1" applyBorder="1" applyAlignment="1">
      <alignment vertical="center"/>
    </xf>
    <xf numFmtId="0" fontId="12" fillId="0" borderId="0" xfId="3" applyBorder="1" applyAlignment="1">
      <alignment horizontal="left" vertical="center"/>
    </xf>
    <xf numFmtId="0" fontId="12" fillId="0" borderId="11" xfId="3" applyBorder="1" applyAlignment="1">
      <alignment horizontal="center" vertical="center"/>
    </xf>
    <xf numFmtId="0" fontId="12" fillId="0" borderId="10" xfId="3" applyBorder="1" applyAlignment="1">
      <alignment horizontal="center" vertical="center"/>
    </xf>
    <xf numFmtId="0" fontId="12" fillId="0" borderId="0" xfId="3" applyFont="1" applyBorder="1" applyAlignment="1">
      <alignment horizontal="left" vertical="center"/>
    </xf>
    <xf numFmtId="0" fontId="12" fillId="0" borderId="9" xfId="3" applyBorder="1" applyAlignment="1">
      <alignment horizontal="center" vertical="center"/>
    </xf>
    <xf numFmtId="0" fontId="13" fillId="0" borderId="10" xfId="3" applyFont="1" applyBorder="1" applyAlignment="1">
      <alignment horizontal="center" vertical="center"/>
    </xf>
    <xf numFmtId="0" fontId="13" fillId="0" borderId="0" xfId="3" applyFont="1" applyBorder="1" applyAlignment="1">
      <alignment horizontal="center" vertical="center"/>
    </xf>
    <xf numFmtId="0" fontId="12" fillId="0" borderId="0" xfId="3" applyFont="1" applyFill="1" applyBorder="1" applyAlignment="1">
      <alignment horizontal="center" vertical="center"/>
    </xf>
    <xf numFmtId="0" fontId="0" fillId="0" borderId="11" xfId="0" applyBorder="1" applyAlignment="1">
      <alignment horizontal="center" vertical="center"/>
    </xf>
    <xf numFmtId="0" fontId="12" fillId="0" borderId="0" xfId="3" applyFill="1" applyBorder="1" applyAlignment="1">
      <alignment horizontal="center" vertical="center"/>
    </xf>
    <xf numFmtId="0" fontId="14" fillId="0" borderId="0" xfId="3" applyFont="1" applyFill="1" applyBorder="1" applyAlignment="1">
      <alignment horizontal="center"/>
    </xf>
    <xf numFmtId="0" fontId="13" fillId="0" borderId="7" xfId="0" applyFont="1" applyBorder="1" applyAlignment="1">
      <alignment horizontal="center" vertical="center"/>
    </xf>
    <xf numFmtId="0" fontId="0" fillId="0" borderId="8" xfId="0" applyBorder="1" applyAlignment="1">
      <alignment horizontal="center" vertical="center"/>
    </xf>
    <xf numFmtId="0" fontId="13" fillId="0" borderId="8"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center" vertical="center"/>
    </xf>
    <xf numFmtId="164" fontId="0" fillId="0" borderId="11" xfId="0" applyNumberForma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164"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12" fillId="0" borderId="0" xfId="3" applyFill="1" applyAlignment="1">
      <alignment horizontal="center" vertical="center"/>
    </xf>
    <xf numFmtId="0" fontId="13" fillId="4" borderId="7" xfId="0" applyFont="1" applyFill="1" applyBorder="1" applyAlignment="1">
      <alignment horizontal="center" vertical="center"/>
    </xf>
    <xf numFmtId="0" fontId="0" fillId="4" borderId="8" xfId="0" applyFill="1" applyBorder="1" applyAlignment="1">
      <alignment horizontal="center" vertical="center"/>
    </xf>
    <xf numFmtId="0" fontId="13" fillId="4" borderId="8"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left" vertical="center"/>
    </xf>
    <xf numFmtId="16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64" fontId="0" fillId="4" borderId="11" xfId="0" applyNumberFormat="1" applyFill="1" applyBorder="1" applyAlignment="1">
      <alignment horizontal="center" vertical="center"/>
    </xf>
    <xf numFmtId="0" fontId="0" fillId="4" borderId="11" xfId="0" applyFill="1" applyBorder="1" applyAlignment="1">
      <alignment horizontal="center" vertical="center"/>
    </xf>
    <xf numFmtId="0" fontId="13" fillId="4" borderId="10" xfId="0" applyFont="1" applyFill="1" applyBorder="1" applyAlignment="1">
      <alignment horizontal="center" vertical="center"/>
    </xf>
    <xf numFmtId="0" fontId="13" fillId="4" borderId="0"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2" fillId="0" borderId="0" xfId="3"/>
    <xf numFmtId="0" fontId="20" fillId="0" borderId="1" xfId="3" applyFont="1" applyBorder="1" applyAlignment="1">
      <alignment horizontal="center" vertical="center"/>
    </xf>
    <xf numFmtId="0" fontId="12" fillId="0" borderId="0" xfId="3" applyBorder="1"/>
    <xf numFmtId="0" fontId="12" fillId="0" borderId="0" xfId="3" applyFont="1" applyBorder="1" applyAlignment="1">
      <alignment horizontal="left" vertical="center" wrapText="1"/>
    </xf>
    <xf numFmtId="0" fontId="19" fillId="0" borderId="0" xfId="3" applyFont="1" applyBorder="1" applyAlignment="1">
      <alignment horizontal="center" vertical="center" wrapText="1"/>
    </xf>
    <xf numFmtId="0" fontId="27" fillId="0" borderId="0" xfId="3" applyFont="1" applyBorder="1" applyAlignment="1">
      <alignment horizontal="center"/>
    </xf>
    <xf numFmtId="0" fontId="19" fillId="0" borderId="7" xfId="3" applyFont="1" applyBorder="1"/>
    <xf numFmtId="0" fontId="19" fillId="0" borderId="8" xfId="3" applyFont="1" applyBorder="1"/>
    <xf numFmtId="0" fontId="12" fillId="0" borderId="9" xfId="3" applyBorder="1"/>
    <xf numFmtId="0" fontId="19" fillId="0" borderId="9" xfId="3" applyFont="1" applyBorder="1"/>
    <xf numFmtId="0" fontId="28" fillId="0" borderId="13" xfId="3" applyFont="1" applyBorder="1"/>
    <xf numFmtId="0" fontId="12" fillId="0" borderId="14" xfId="3" applyFont="1" applyBorder="1"/>
    <xf numFmtId="0" fontId="12" fillId="0" borderId="12" xfId="3" applyFont="1" applyBorder="1"/>
    <xf numFmtId="0" fontId="12" fillId="0" borderId="13" xfId="3" applyFont="1" applyBorder="1"/>
    <xf numFmtId="0" fontId="12" fillId="0" borderId="0" xfId="3" applyAlignment="1">
      <alignment wrapText="1"/>
    </xf>
    <xf numFmtId="0" fontId="30" fillId="0" borderId="0" xfId="3" applyFont="1" applyBorder="1" applyAlignment="1">
      <alignment horizontal="left"/>
    </xf>
    <xf numFmtId="0" fontId="12" fillId="0" borderId="11" xfId="3" applyBorder="1"/>
    <xf numFmtId="0" fontId="12" fillId="0" borderId="10" xfId="3" applyBorder="1"/>
    <xf numFmtId="0" fontId="31" fillId="0" borderId="1" xfId="3" applyFont="1" applyBorder="1"/>
    <xf numFmtId="0" fontId="12" fillId="0" borderId="10" xfId="3" applyBorder="1" applyAlignment="1"/>
    <xf numFmtId="0" fontId="12" fillId="0" borderId="0" xfId="3" applyBorder="1" applyAlignment="1"/>
    <xf numFmtId="0" fontId="31" fillId="0" borderId="1" xfId="3" applyFont="1" applyBorder="1" applyAlignment="1"/>
    <xf numFmtId="0" fontId="12" fillId="0" borderId="11" xfId="3" applyBorder="1" applyAlignment="1"/>
    <xf numFmtId="0" fontId="12" fillId="0" borderId="0" xfId="3" applyAlignment="1"/>
    <xf numFmtId="0" fontId="31" fillId="0" borderId="0" xfId="3" applyFont="1" applyBorder="1"/>
    <xf numFmtId="0" fontId="30" fillId="0" borderId="0" xfId="3" applyFont="1" applyBorder="1"/>
    <xf numFmtId="0" fontId="12" fillId="0" borderId="10" xfId="3" applyFont="1" applyBorder="1"/>
    <xf numFmtId="0" fontId="12" fillId="0" borderId="0" xfId="3" applyFont="1" applyBorder="1"/>
    <xf numFmtId="0" fontId="12" fillId="0" borderId="11" xfId="3" applyFont="1" applyBorder="1"/>
    <xf numFmtId="0" fontId="12" fillId="0" borderId="0" xfId="3" applyFont="1"/>
    <xf numFmtId="0" fontId="12" fillId="0" borderId="10" xfId="3" applyFont="1" applyBorder="1" applyAlignment="1">
      <alignment horizontal="left" vertical="center" wrapText="1"/>
    </xf>
    <xf numFmtId="0" fontId="12" fillId="0" borderId="11" xfId="3" applyFont="1" applyBorder="1" applyAlignment="1">
      <alignment horizontal="left" vertical="center" wrapText="1"/>
    </xf>
    <xf numFmtId="0" fontId="19" fillId="0" borderId="10" xfId="3" applyFont="1" applyBorder="1" applyAlignment="1">
      <alignment horizontal="center" vertical="center" wrapText="1"/>
    </xf>
    <xf numFmtId="0" fontId="27" fillId="0" borderId="11" xfId="3" applyFont="1" applyBorder="1" applyAlignment="1">
      <alignment horizontal="center"/>
    </xf>
    <xf numFmtId="0" fontId="12" fillId="0" borderId="12" xfId="3" applyBorder="1"/>
    <xf numFmtId="0" fontId="12" fillId="0" borderId="13" xfId="3" applyBorder="1"/>
    <xf numFmtId="0" fontId="30" fillId="0" borderId="13" xfId="3" applyFont="1" applyBorder="1"/>
    <xf numFmtId="0" fontId="12" fillId="0" borderId="14" xfId="3" applyBorder="1"/>
    <xf numFmtId="0" fontId="30" fillId="0" borderId="0" xfId="3" applyFont="1"/>
    <xf numFmtId="0" fontId="14" fillId="0" borderId="0" xfId="3" applyFont="1" applyBorder="1" applyAlignment="1">
      <alignment horizontal="center"/>
    </xf>
    <xf numFmtId="0" fontId="32" fillId="0" borderId="0" xfId="3" applyFont="1" applyBorder="1" applyAlignment="1">
      <alignment horizontal="center"/>
    </xf>
    <xf numFmtId="0" fontId="33" fillId="0" borderId="0" xfId="3" applyFont="1" applyBorder="1" applyAlignment="1">
      <alignment horizontal="center"/>
    </xf>
    <xf numFmtId="0" fontId="32" fillId="0" borderId="1" xfId="3" applyFont="1" applyBorder="1" applyAlignment="1">
      <alignment horizontal="center"/>
    </xf>
    <xf numFmtId="0" fontId="14" fillId="0" borderId="1" xfId="3" applyFont="1" applyBorder="1" applyAlignment="1">
      <alignment horizontal="center"/>
    </xf>
    <xf numFmtId="0" fontId="11" fillId="0" borderId="0" xfId="0" applyFont="1" applyFill="1" applyBorder="1" applyAlignment="1">
      <alignment horizontal="center"/>
    </xf>
    <xf numFmtId="0" fontId="34" fillId="0" borderId="0" xfId="4" applyNumberFormat="1" applyFont="1" applyFill="1" applyBorder="1" applyAlignment="1" applyProtection="1">
      <alignment horizontal="center"/>
    </xf>
    <xf numFmtId="0" fontId="35" fillId="0" borderId="0" xfId="4" applyNumberFormat="1" applyFont="1" applyFill="1" applyBorder="1" applyAlignment="1" applyProtection="1">
      <alignment horizontal="center"/>
    </xf>
    <xf numFmtId="0" fontId="32" fillId="0" borderId="0" xfId="3" applyFont="1" applyFill="1" applyBorder="1" applyAlignment="1">
      <alignment horizontal="center"/>
    </xf>
    <xf numFmtId="0" fontId="34" fillId="0" borderId="0" xfId="2" applyNumberFormat="1" applyFont="1" applyFill="1" applyBorder="1" applyAlignment="1" applyProtection="1">
      <alignment horizontal="center"/>
    </xf>
    <xf numFmtId="0" fontId="34" fillId="0" borderId="0" xfId="2" applyNumberFormat="1" applyFont="1" applyFill="1" applyBorder="1" applyAlignment="1" applyProtection="1">
      <alignment horizontal="left"/>
    </xf>
    <xf numFmtId="0" fontId="14" fillId="5" borderId="0" xfId="3" applyFont="1" applyFill="1" applyBorder="1" applyAlignment="1">
      <alignment horizontal="center"/>
    </xf>
    <xf numFmtId="0" fontId="32" fillId="0" borderId="1" xfId="3" applyFont="1" applyFill="1" applyBorder="1" applyAlignment="1">
      <alignment horizontal="center"/>
    </xf>
    <xf numFmtId="0" fontId="14" fillId="0" borderId="1" xfId="3" applyFont="1" applyFill="1" applyBorder="1" applyAlignment="1">
      <alignment horizontal="center"/>
    </xf>
    <xf numFmtId="0" fontId="14" fillId="0" borderId="0" xfId="4" applyNumberFormat="1"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36" fillId="0" borderId="0" xfId="3" applyFont="1" applyFill="1" applyBorder="1" applyAlignment="1">
      <alignment horizontal="center"/>
    </xf>
    <xf numFmtId="0" fontId="37" fillId="0" borderId="0" xfId="3" applyFont="1" applyBorder="1" applyAlignment="1">
      <alignment horizontal="center"/>
    </xf>
    <xf numFmtId="0" fontId="33" fillId="0" borderId="1" xfId="3" applyFont="1" applyBorder="1" applyAlignment="1">
      <alignment horizontal="center"/>
    </xf>
    <xf numFmtId="0" fontId="14" fillId="0" borderId="1" xfId="3" applyFont="1" applyBorder="1" applyAlignment="1">
      <alignment horizontal="left" vertical="top"/>
    </xf>
    <xf numFmtId="0" fontId="14" fillId="0" borderId="0" xfId="3" applyFont="1" applyBorder="1" applyAlignment="1">
      <alignment horizontal="left"/>
    </xf>
    <xf numFmtId="0" fontId="36" fillId="0" borderId="0" xfId="3" applyFont="1" applyBorder="1" applyAlignment="1">
      <alignment horizontal="center"/>
    </xf>
    <xf numFmtId="49" fontId="33" fillId="0" borderId="1" xfId="3" applyNumberFormat="1" applyFont="1" applyBorder="1" applyAlignment="1">
      <alignment horizontal="left"/>
    </xf>
    <xf numFmtId="0" fontId="36" fillId="0" borderId="0" xfId="3" applyFont="1" applyBorder="1" applyAlignment="1">
      <alignment horizontal="left"/>
    </xf>
    <xf numFmtId="49" fontId="33" fillId="0" borderId="1" xfId="3" quotePrefix="1" applyNumberFormat="1" applyFont="1" applyBorder="1" applyAlignment="1">
      <alignment horizontal="left"/>
    </xf>
    <xf numFmtId="0" fontId="3" fillId="0" borderId="0" xfId="0" applyFont="1"/>
    <xf numFmtId="0" fontId="2" fillId="0" borderId="0" xfId="0" applyFont="1"/>
    <xf numFmtId="0" fontId="38" fillId="0" borderId="0" xfId="3" applyFont="1"/>
    <xf numFmtId="0" fontId="28"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2" fillId="0" borderId="0" xfId="3" applyBorder="1" applyAlignment="1">
      <alignment horizontal="left" vertical="center"/>
    </xf>
    <xf numFmtId="0" fontId="20" fillId="0" borderId="1" xfId="3" applyFont="1" applyBorder="1" applyAlignment="1">
      <alignment horizontal="center" vertical="center"/>
    </xf>
    <xf numFmtId="0" fontId="19" fillId="0" borderId="0" xfId="3" applyFont="1" applyBorder="1" applyAlignment="1">
      <alignment horizontal="center" vertical="center" wrapText="1"/>
    </xf>
    <xf numFmtId="0" fontId="12" fillId="0" borderId="7" xfId="3" applyFont="1" applyBorder="1" applyAlignment="1">
      <alignment horizontal="center" vertical="center"/>
    </xf>
    <xf numFmtId="0" fontId="12" fillId="0" borderId="8" xfId="3" applyFont="1" applyBorder="1" applyAlignment="1">
      <alignment horizontal="center" vertical="center"/>
    </xf>
    <xf numFmtId="0" fontId="12" fillId="0" borderId="9" xfId="3" applyFont="1" applyBorder="1" applyAlignment="1">
      <alignment horizontal="center" vertical="center"/>
    </xf>
    <xf numFmtId="0" fontId="12" fillId="0" borderId="0" xfId="3" applyFont="1" applyBorder="1" applyAlignment="1">
      <alignment horizontal="center" vertical="center"/>
    </xf>
    <xf numFmtId="0" fontId="12" fillId="0" borderId="0" xfId="3" applyFont="1" applyAlignment="1">
      <alignment horizontal="center" vertical="center"/>
    </xf>
    <xf numFmtId="0" fontId="12" fillId="0" borderId="10" xfId="3" applyFont="1" applyBorder="1" applyAlignment="1">
      <alignment horizontal="center" vertical="center"/>
    </xf>
    <xf numFmtId="0" fontId="12" fillId="0" borderId="11" xfId="3" applyFont="1" applyBorder="1" applyAlignment="1">
      <alignment horizontal="center" vertical="center"/>
    </xf>
    <xf numFmtId="0" fontId="12" fillId="0" borderId="12" xfId="3" applyFont="1" applyBorder="1" applyAlignment="1">
      <alignment horizontal="center" vertical="center"/>
    </xf>
    <xf numFmtId="0" fontId="12" fillId="0" borderId="13" xfId="3" applyFont="1" applyBorder="1" applyAlignment="1">
      <alignment horizontal="center" vertical="center"/>
    </xf>
    <xf numFmtId="0" fontId="12" fillId="0" borderId="14" xfId="3" applyFont="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0" xfId="3" applyFont="1" applyFill="1" applyBorder="1" applyAlignment="1">
      <alignment horizontal="center" vertical="center"/>
    </xf>
    <xf numFmtId="0" fontId="12" fillId="0" borderId="11" xfId="3" applyFont="1" applyFill="1" applyBorder="1" applyAlignment="1">
      <alignment horizontal="center" vertical="center"/>
    </xf>
    <xf numFmtId="0" fontId="12" fillId="0" borderId="12" xfId="3" applyFont="1" applyFill="1" applyBorder="1" applyAlignment="1">
      <alignment horizontal="center" vertical="center"/>
    </xf>
    <xf numFmtId="0" fontId="12" fillId="0" borderId="13" xfId="3" applyFont="1" applyFill="1" applyBorder="1" applyAlignment="1">
      <alignment horizontal="center" vertical="center"/>
    </xf>
    <xf numFmtId="0" fontId="39" fillId="0" borderId="0" xfId="3" applyFont="1" applyFill="1" applyBorder="1" applyAlignment="1">
      <alignment horizontal="center" vertical="center"/>
    </xf>
    <xf numFmtId="0" fontId="40" fillId="0" borderId="0" xfId="3" applyFont="1" applyFill="1" applyBorder="1"/>
    <xf numFmtId="0" fontId="12" fillId="0" borderId="0" xfId="3" applyFill="1" applyBorder="1"/>
    <xf numFmtId="0" fontId="0" fillId="0" borderId="0" xfId="0" applyFont="1"/>
    <xf numFmtId="0" fontId="39" fillId="0" borderId="8" xfId="3" applyFont="1" applyFill="1" applyBorder="1" applyAlignment="1">
      <alignment horizontal="center" vertical="center"/>
    </xf>
    <xf numFmtId="0" fontId="39" fillId="0" borderId="0" xfId="3" applyFont="1" applyAlignment="1">
      <alignment horizontal="center" vertical="center"/>
    </xf>
    <xf numFmtId="0" fontId="39" fillId="0" borderId="0" xfId="3" quotePrefix="1" applyFont="1" applyFill="1" applyBorder="1" applyAlignment="1">
      <alignment horizontal="center" vertical="center"/>
    </xf>
    <xf numFmtId="0" fontId="39" fillId="0" borderId="0" xfId="3" quotePrefix="1" applyFont="1" applyAlignment="1">
      <alignment horizontal="center" vertical="center"/>
    </xf>
    <xf numFmtId="0" fontId="39" fillId="0" borderId="0" xfId="3" applyFont="1" applyBorder="1" applyAlignment="1">
      <alignment horizontal="center" vertical="center"/>
    </xf>
    <xf numFmtId="0" fontId="41" fillId="0" borderId="0" xfId="0" applyNumberFormat="1" applyFont="1" applyFill="1" applyBorder="1" applyAlignment="1" applyProtection="1"/>
    <xf numFmtId="0" fontId="43" fillId="0" borderId="0" xfId="5" applyFont="1" applyAlignment="1">
      <alignment horizontal="center" vertical="center"/>
    </xf>
    <xf numFmtId="0" fontId="12" fillId="0" borderId="0" xfId="3" applyBorder="1" applyAlignment="1">
      <alignment horizontal="left" vertical="center"/>
    </xf>
    <xf numFmtId="0" fontId="0" fillId="6" borderId="1" xfId="0" applyFill="1" applyBorder="1" applyAlignment="1">
      <alignment horizontal="center" vertical="center" wrapText="1"/>
    </xf>
    <xf numFmtId="0" fontId="12" fillId="0" borderId="13" xfId="3" applyBorder="1" applyAlignment="1">
      <alignment horizontal="center" vertical="center"/>
    </xf>
    <xf numFmtId="0" fontId="12" fillId="0" borderId="13" xfId="3" applyFont="1" applyBorder="1" applyAlignment="1">
      <alignment horizontal="left" vertical="center"/>
    </xf>
    <xf numFmtId="0" fontId="0" fillId="0" borderId="11" xfId="0" applyBorder="1"/>
    <xf numFmtId="0" fontId="12" fillId="0" borderId="0" xfId="0" applyFont="1" applyFill="1"/>
    <xf numFmtId="0" fontId="12" fillId="0" borderId="10" xfId="0" applyFont="1" applyBorder="1" applyAlignment="1">
      <alignment horizontal="center" vertical="center"/>
    </xf>
    <xf numFmtId="1" fontId="0" fillId="0" borderId="0" xfId="0" applyNumberFormat="1" applyBorder="1" applyAlignment="1">
      <alignment horizontal="center" vertical="center"/>
    </xf>
    <xf numFmtId="0" fontId="12" fillId="5" borderId="0" xfId="3" applyFill="1" applyBorder="1" applyAlignment="1">
      <alignment horizontal="center" vertical="center"/>
    </xf>
    <xf numFmtId="0" fontId="31" fillId="0" borderId="0" xfId="3" applyFont="1" applyFill="1" applyBorder="1" applyAlignment="1"/>
    <xf numFmtId="0" fontId="12" fillId="0" borderId="0" xfId="3" applyFill="1" applyBorder="1" applyAlignment="1">
      <alignment horizontal="left"/>
    </xf>
    <xf numFmtId="0" fontId="12" fillId="0" borderId="0" xfId="3" applyFont="1" applyFill="1" applyBorder="1" applyAlignment="1">
      <alignment horizontal="center"/>
    </xf>
    <xf numFmtId="0" fontId="12" fillId="0" borderId="0" xfId="3" applyFill="1" applyBorder="1" applyAlignment="1">
      <alignment horizontal="center"/>
    </xf>
    <xf numFmtId="0" fontId="12" fillId="0" borderId="7" xfId="3" applyBorder="1" applyAlignment="1">
      <alignment horizontal="center" vertical="center"/>
    </xf>
    <xf numFmtId="0" fontId="12" fillId="0" borderId="12" xfId="3" applyBorder="1" applyAlignment="1">
      <alignment horizontal="center" vertical="center"/>
    </xf>
    <xf numFmtId="0" fontId="12" fillId="0" borderId="14" xfId="3" applyBorder="1" applyAlignment="1">
      <alignment horizontal="center" vertical="center"/>
    </xf>
    <xf numFmtId="0" fontId="12" fillId="7" borderId="0" xfId="3" applyFill="1" applyBorder="1" applyAlignment="1">
      <alignment horizontal="center" vertical="center"/>
    </xf>
    <xf numFmtId="0" fontId="12" fillId="8" borderId="0" xfId="3" applyFill="1" applyBorder="1" applyAlignment="1">
      <alignment horizontal="center" vertical="center"/>
    </xf>
    <xf numFmtId="0" fontId="12" fillId="8" borderId="11" xfId="3" applyFont="1" applyFill="1" applyBorder="1" applyAlignment="1">
      <alignment horizontal="center" vertical="center"/>
    </xf>
    <xf numFmtId="0" fontId="12" fillId="0" borderId="0" xfId="3" applyFont="1" applyFill="1" applyBorder="1" applyAlignment="1">
      <alignment horizontal="left" vertical="center"/>
    </xf>
    <xf numFmtId="2" fontId="12" fillId="0" borderId="0" xfId="3" applyNumberFormat="1"/>
    <xf numFmtId="0" fontId="31" fillId="0" borderId="0" xfId="3" applyFont="1" applyFill="1" applyBorder="1" applyAlignment="1">
      <alignment horizontal="left"/>
    </xf>
    <xf numFmtId="0" fontId="12" fillId="0" borderId="0" xfId="3" applyBorder="1" applyAlignment="1">
      <alignment horizontal="left"/>
    </xf>
    <xf numFmtId="0" fontId="12" fillId="0" borderId="0" xfId="3" applyFont="1" applyBorder="1" applyAlignment="1">
      <alignment horizontal="left"/>
    </xf>
    <xf numFmtId="0" fontId="12"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2" fillId="0" borderId="0" xfId="3" applyBorder="1" applyAlignment="1">
      <alignment horizontal="left" vertical="center"/>
    </xf>
    <xf numFmtId="0" fontId="12" fillId="0" borderId="0" xfId="3" applyBorder="1" applyAlignment="1">
      <alignment horizontal="center"/>
    </xf>
    <xf numFmtId="0" fontId="12" fillId="0" borderId="0" xfId="3" applyFont="1" applyBorder="1" applyAlignment="1">
      <alignment horizontal="center" vertical="center"/>
    </xf>
    <xf numFmtId="0" fontId="40" fillId="0" borderId="0" xfId="3" applyFont="1" applyFill="1" applyBorder="1" applyAlignment="1">
      <alignment horizontal="center"/>
    </xf>
    <xf numFmtId="0" fontId="12" fillId="7" borderId="13" xfId="3" applyFill="1" applyBorder="1" applyAlignment="1">
      <alignment horizontal="center" vertical="center"/>
    </xf>
    <xf numFmtId="0" fontId="12" fillId="4" borderId="1" xfId="3" applyFill="1" applyBorder="1" applyAlignment="1">
      <alignment horizontal="center"/>
    </xf>
    <xf numFmtId="0" fontId="12" fillId="5" borderId="0" xfId="3" applyFont="1" applyFill="1"/>
    <xf numFmtId="0" fontId="31" fillId="5" borderId="0" xfId="3" applyFont="1" applyFill="1" applyBorder="1" applyAlignment="1"/>
    <xf numFmtId="0" fontId="31" fillId="0" borderId="0" xfId="3" applyFont="1" applyBorder="1" applyAlignment="1">
      <alignment horizontal="left"/>
    </xf>
    <xf numFmtId="0" fontId="12" fillId="5" borderId="0" xfId="3" applyFill="1" applyBorder="1" applyAlignment="1"/>
    <xf numFmtId="0" fontId="12" fillId="0" borderId="0" xfId="3" applyFill="1" applyBorder="1" applyAlignment="1"/>
    <xf numFmtId="0" fontId="12" fillId="5" borderId="0" xfId="3" applyFill="1" applyBorder="1" applyAlignment="1">
      <alignment vertical="center"/>
    </xf>
    <xf numFmtId="0" fontId="12" fillId="4" borderId="0" xfId="3" applyFill="1" applyBorder="1"/>
    <xf numFmtId="0" fontId="12" fillId="0" borderId="0" xfId="3" applyBorder="1" applyAlignment="1">
      <alignment horizontal="center"/>
    </xf>
    <xf numFmtId="0" fontId="12" fillId="0" borderId="0" xfId="3" applyFont="1" applyBorder="1" applyAlignment="1">
      <alignment horizontal="center" vertical="center" wrapText="1"/>
    </xf>
    <xf numFmtId="0" fontId="12" fillId="0" borderId="0" xfId="3" applyFont="1" applyBorder="1" applyAlignment="1">
      <alignment horizontal="center" vertical="center"/>
    </xf>
    <xf numFmtId="49" fontId="12" fillId="3" borderId="0" xfId="0" applyNumberFormat="1" applyFont="1" applyFill="1" applyBorder="1" applyAlignment="1">
      <alignment horizontal="left"/>
    </xf>
    <xf numFmtId="0" fontId="12" fillId="3" borderId="0" xfId="3" applyFill="1" applyBorder="1" applyAlignment="1">
      <alignment horizontal="left" vertical="center"/>
    </xf>
    <xf numFmtId="0" fontId="12" fillId="3" borderId="0" xfId="3" applyFill="1" applyBorder="1" applyAlignment="1">
      <alignment horizontal="left"/>
    </xf>
    <xf numFmtId="0" fontId="28" fillId="0" borderId="0" xfId="3" applyFont="1" applyBorder="1"/>
    <xf numFmtId="0" fontId="12" fillId="0" borderId="0" xfId="3" applyFont="1" applyFill="1" applyBorder="1"/>
    <xf numFmtId="0" fontId="12" fillId="3" borderId="0" xfId="3" applyFont="1" applyFill="1" applyBorder="1" applyAlignment="1">
      <alignment horizontal="left"/>
    </xf>
    <xf numFmtId="0" fontId="12" fillId="0" borderId="0" xfId="3" quotePrefix="1" applyFont="1" applyFill="1" applyBorder="1"/>
    <xf numFmtId="0" fontId="12" fillId="3" borderId="0" xfId="3" quotePrefix="1" applyFont="1" applyFill="1" applyBorder="1" applyAlignment="1">
      <alignment horizontal="left"/>
    </xf>
    <xf numFmtId="0" fontId="45" fillId="0" borderId="0" xfId="3" applyFont="1" applyFill="1" applyBorder="1"/>
    <xf numFmtId="0" fontId="45" fillId="0" borderId="0" xfId="3" quotePrefix="1" applyFont="1" applyFill="1" applyBorder="1"/>
    <xf numFmtId="0" fontId="45" fillId="0" borderId="0" xfId="3" applyFont="1" applyFill="1" applyBorder="1" applyAlignment="1">
      <alignment horizontal="left"/>
    </xf>
    <xf numFmtId="0" fontId="12" fillId="3" borderId="0" xfId="3" quotePrefix="1" applyFill="1" applyBorder="1" applyAlignment="1">
      <alignment horizontal="center" vertical="center"/>
    </xf>
    <xf numFmtId="0" fontId="12" fillId="3" borderId="0" xfId="3" applyFill="1" applyBorder="1" applyAlignment="1">
      <alignment horizontal="center" vertical="center"/>
    </xf>
    <xf numFmtId="0" fontId="12" fillId="3" borderId="0" xfId="3" applyFont="1" applyFill="1" applyBorder="1" applyAlignment="1">
      <alignment horizontal="center" vertical="center"/>
    </xf>
    <xf numFmtId="0" fontId="12" fillId="3" borderId="0" xfId="3" quotePrefix="1" applyFont="1" applyFill="1" applyBorder="1" applyAlignment="1">
      <alignment horizontal="center" vertical="center"/>
    </xf>
    <xf numFmtId="0" fontId="12" fillId="9" borderId="7" xfId="3" applyFill="1" applyBorder="1"/>
    <xf numFmtId="0" fontId="12" fillId="9" borderId="9" xfId="3" applyFill="1" applyBorder="1"/>
    <xf numFmtId="0" fontId="12" fillId="9" borderId="12" xfId="3" applyFill="1" applyBorder="1"/>
    <xf numFmtId="0" fontId="12" fillId="9" borderId="14" xfId="3" applyFill="1" applyBorder="1"/>
    <xf numFmtId="0" fontId="28" fillId="0" borderId="0" xfId="3" applyFont="1" applyFill="1" applyBorder="1"/>
    <xf numFmtId="0" fontId="12" fillId="3" borderId="0" xfId="3" applyFont="1" applyFill="1" applyBorder="1"/>
    <xf numFmtId="0" fontId="12" fillId="3" borderId="0" xfId="3" quotePrefix="1" applyFont="1" applyFill="1" applyBorder="1"/>
    <xf numFmtId="0" fontId="45" fillId="0" borderId="0" xfId="3" applyFont="1" applyFill="1" applyBorder="1" applyAlignment="1">
      <alignment horizontal="center"/>
    </xf>
    <xf numFmtId="0" fontId="46" fillId="0" borderId="0" xfId="3" applyFont="1" applyFill="1" applyBorder="1"/>
    <xf numFmtId="0" fontId="46" fillId="0" borderId="0" xfId="3" applyFont="1"/>
    <xf numFmtId="49" fontId="44" fillId="3" borderId="0" xfId="0" applyNumberFormat="1" applyFont="1" applyFill="1" applyBorder="1" applyAlignment="1">
      <alignment horizontal="left"/>
    </xf>
    <xf numFmtId="0" fontId="44" fillId="3" borderId="0" xfId="3" applyFont="1" applyFill="1" applyBorder="1" applyAlignment="1">
      <alignment horizontal="left"/>
    </xf>
    <xf numFmtId="0" fontId="2" fillId="3" borderId="0" xfId="0" applyFont="1" applyFill="1"/>
    <xf numFmtId="0" fontId="31" fillId="0" borderId="0" xfId="3" applyNumberFormat="1" applyFont="1" applyFill="1" applyBorder="1" applyAlignment="1"/>
    <xf numFmtId="0" fontId="31" fillId="5" borderId="0" xfId="3" applyNumberFormat="1" applyFont="1" applyFill="1" applyBorder="1" applyAlignment="1"/>
    <xf numFmtId="0" fontId="12" fillId="0" borderId="0" xfId="3" applyNumberFormat="1" applyFill="1" applyBorder="1" applyAlignment="1"/>
    <xf numFmtId="0" fontId="12" fillId="5" borderId="0" xfId="3" applyNumberFormat="1" applyFill="1" applyBorder="1" applyAlignment="1"/>
    <xf numFmtId="0" fontId="45" fillId="0" borderId="0" xfId="3" applyFont="1" applyFill="1" applyBorder="1" applyAlignment="1"/>
    <xf numFmtId="0" fontId="12" fillId="3" borderId="0" xfId="3" applyFont="1" applyFill="1" applyBorder="1" applyAlignment="1">
      <alignment horizontal="left" vertical="center"/>
    </xf>
    <xf numFmtId="49" fontId="12" fillId="0" borderId="0" xfId="3" applyNumberFormat="1" applyBorder="1"/>
    <xf numFmtId="49" fontId="11" fillId="0" borderId="0" xfId="0" applyNumberFormat="1" applyFont="1" applyAlignment="1">
      <alignment horizontal="right" vertical="center" wrapText="1"/>
    </xf>
    <xf numFmtId="0" fontId="11" fillId="0" borderId="0" xfId="0" applyFont="1"/>
    <xf numFmtId="0" fontId="0" fillId="0" borderId="0" xfId="0" applyNumberFormat="1" applyAlignment="1">
      <alignment horizontal="center" vertical="center" wrapText="1"/>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49" fontId="12" fillId="0" borderId="11" xfId="3" applyNumberFormat="1" applyBorder="1" applyAlignment="1">
      <alignment horizontal="left" vertical="center"/>
    </xf>
    <xf numFmtId="0" fontId="0" fillId="2" borderId="1" xfId="0" quotePrefix="1" applyFill="1" applyBorder="1" applyAlignment="1" applyProtection="1">
      <alignment horizontal="left"/>
      <protection locked="0"/>
    </xf>
    <xf numFmtId="0" fontId="12" fillId="0" borderId="0" xfId="3" applyBorder="1" applyAlignment="1">
      <alignment horizontal="left" vertical="center"/>
    </xf>
    <xf numFmtId="0" fontId="12" fillId="0" borderId="10" xfId="3" applyFill="1" applyBorder="1" applyAlignment="1">
      <alignment horizontal="left" vertical="center"/>
    </xf>
    <xf numFmtId="0" fontId="12" fillId="0" borderId="9" xfId="3" applyBorder="1" applyAlignment="1">
      <alignment horizontal="center"/>
    </xf>
    <xf numFmtId="0" fontId="12" fillId="0" borderId="11" xfId="3" applyBorder="1" applyAlignment="1">
      <alignment horizontal="center"/>
    </xf>
    <xf numFmtId="0" fontId="12" fillId="0" borderId="14" xfId="3" applyBorder="1" applyAlignment="1">
      <alignment horizontal="center"/>
    </xf>
    <xf numFmtId="0" fontId="12" fillId="0" borderId="0" xfId="3" applyFill="1" applyBorder="1" applyAlignment="1">
      <alignment horizontal="left" vertical="center"/>
    </xf>
    <xf numFmtId="49" fontId="12" fillId="5" borderId="0" xfId="0" applyNumberFormat="1" applyFont="1" applyFill="1" applyBorder="1" applyAlignment="1">
      <alignment horizontal="left"/>
    </xf>
    <xf numFmtId="0" fontId="12" fillId="0" borderId="13" xfId="3" applyFill="1" applyBorder="1" applyAlignment="1">
      <alignment horizontal="left" vertical="center"/>
    </xf>
    <xf numFmtId="0" fontId="12" fillId="0" borderId="0" xfId="3" applyFill="1" applyBorder="1" applyAlignment="1">
      <alignment horizontal="left" vertical="center"/>
    </xf>
    <xf numFmtId="2" fontId="0" fillId="0" borderId="0" xfId="0" applyNumberFormat="1" applyBorder="1" applyAlignment="1">
      <alignment horizontal="center" vertical="center"/>
    </xf>
    <xf numFmtId="0" fontId="12" fillId="0" borderId="12" xfId="3" applyFill="1" applyBorder="1" applyAlignment="1">
      <alignment horizontal="left" vertical="center"/>
    </xf>
    <xf numFmtId="49" fontId="4" fillId="0" borderId="0" xfId="0" applyNumberFormat="1" applyFont="1" applyAlignment="1">
      <alignment horizontal="center" vertical="center" wrapText="1"/>
    </xf>
    <xf numFmtId="0" fontId="12" fillId="0" borderId="0"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0" fontId="48" fillId="0" borderId="1"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left" vertical="center"/>
    </xf>
    <xf numFmtId="0" fontId="48" fillId="0" borderId="5" xfId="0" applyFont="1" applyBorder="1" applyAlignment="1">
      <alignment horizontal="center" vertical="center"/>
    </xf>
    <xf numFmtId="0" fontId="12" fillId="0" borderId="0" xfId="3" applyFill="1" applyBorder="1" applyAlignment="1">
      <alignment horizontal="left" vertical="center"/>
    </xf>
    <xf numFmtId="0" fontId="0" fillId="0" borderId="10" xfId="0" applyFill="1" applyBorder="1" applyAlignment="1">
      <alignment horizontal="left" vertical="center"/>
    </xf>
    <xf numFmtId="2" fontId="0" fillId="0" borderId="0" xfId="0" applyNumberFormat="1" applyFill="1" applyBorder="1" applyAlignment="1">
      <alignment horizontal="center" vertical="center"/>
    </xf>
    <xf numFmtId="0" fontId="0" fillId="0" borderId="0" xfId="0" applyBorder="1" applyAlignment="1">
      <alignment horizontal="left" vertical="center"/>
    </xf>
    <xf numFmtId="0" fontId="0" fillId="0" borderId="0" xfId="0" applyAlignment="1">
      <alignment vertical="center" wrapText="1"/>
    </xf>
    <xf numFmtId="0" fontId="0" fillId="0" borderId="0" xfId="0" applyAlignment="1">
      <alignment horizontal="right" vertical="center" wrapText="1"/>
    </xf>
    <xf numFmtId="0" fontId="8" fillId="0" borderId="0" xfId="0" applyFont="1" applyAlignment="1">
      <alignment horizontal="center"/>
    </xf>
    <xf numFmtId="0" fontId="0" fillId="0" borderId="13" xfId="0" applyBorder="1" applyAlignment="1">
      <alignment horizontal="center" vertical="center"/>
    </xf>
    <xf numFmtId="0" fontId="11" fillId="0" borderId="4" xfId="2" applyFont="1" applyFill="1" applyBorder="1" applyAlignment="1">
      <alignment horizontal="center" vertical="center" wrapText="1"/>
    </xf>
    <xf numFmtId="0" fontId="11" fillId="0" borderId="5" xfId="2" applyFont="1" applyFill="1" applyBorder="1" applyAlignment="1">
      <alignment horizontal="center" vertical="center" wrapText="1"/>
    </xf>
    <xf numFmtId="0" fontId="11" fillId="0" borderId="3" xfId="2" applyFont="1" applyFill="1" applyBorder="1" applyAlignment="1">
      <alignment horizontal="center" vertical="center" wrapText="1"/>
    </xf>
    <xf numFmtId="0" fontId="11" fillId="0" borderId="6" xfId="2" applyFont="1" applyFill="1" applyBorder="1" applyAlignment="1">
      <alignment horizontal="center" vertical="center" wrapText="1"/>
    </xf>
    <xf numFmtId="0" fontId="16" fillId="4" borderId="10"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5" fillId="0" borderId="10" xfId="3" applyFont="1" applyBorder="1" applyAlignment="1">
      <alignment horizontal="center" vertical="center"/>
    </xf>
    <xf numFmtId="0" fontId="15" fillId="0" borderId="0" xfId="3" applyFont="1" applyBorder="1" applyAlignment="1">
      <alignment horizontal="center" vertical="center"/>
    </xf>
    <xf numFmtId="0" fontId="29" fillId="0" borderId="0" xfId="3" applyFont="1" applyBorder="1" applyAlignment="1">
      <alignment horizontal="center" vertical="center"/>
    </xf>
    <xf numFmtId="0" fontId="29" fillId="0" borderId="11" xfId="3" applyFont="1" applyBorder="1" applyAlignment="1">
      <alignment horizontal="center" vertical="center"/>
    </xf>
    <xf numFmtId="0" fontId="12" fillId="0" borderId="4" xfId="3" applyFont="1" applyBorder="1" applyAlignment="1">
      <alignment horizontal="left" vertical="center" wrapText="1"/>
    </xf>
    <xf numFmtId="0" fontId="12" fillId="0" borderId="15" xfId="3" applyFont="1" applyBorder="1" applyAlignment="1">
      <alignment horizontal="left" vertical="center" wrapText="1"/>
    </xf>
    <xf numFmtId="0" fontId="12" fillId="0" borderId="5" xfId="3" applyFont="1" applyBorder="1" applyAlignment="1">
      <alignment horizontal="left" vertical="center" wrapText="1"/>
    </xf>
    <xf numFmtId="0" fontId="19" fillId="0" borderId="1" xfId="3" applyFont="1" applyBorder="1" applyAlignment="1">
      <alignment horizontal="center" vertical="center" wrapText="1"/>
    </xf>
    <xf numFmtId="0" fontId="27" fillId="0" borderId="1" xfId="3" applyFont="1" applyBorder="1" applyAlignment="1">
      <alignment horizontal="center"/>
    </xf>
    <xf numFmtId="14" fontId="28" fillId="0" borderId="12" xfId="3" applyNumberFormat="1" applyFont="1" applyBorder="1" applyAlignment="1">
      <alignment horizontal="center"/>
    </xf>
    <xf numFmtId="0" fontId="12" fillId="0" borderId="13" xfId="3" applyBorder="1"/>
    <xf numFmtId="0" fontId="19" fillId="0" borderId="0" xfId="3" applyFont="1" applyBorder="1" applyAlignment="1">
      <alignment horizontal="center" vertical="center" wrapText="1"/>
    </xf>
    <xf numFmtId="0" fontId="20" fillId="0" borderId="0" xfId="3" applyFont="1" applyBorder="1" applyAlignment="1">
      <alignment horizontal="center" vertical="center" wrapText="1"/>
    </xf>
    <xf numFmtId="0" fontId="24" fillId="0" borderId="0" xfId="3" applyFont="1" applyBorder="1" applyAlignment="1">
      <alignment horizontal="center" vertical="center"/>
    </xf>
    <xf numFmtId="0" fontId="25" fillId="0" borderId="0" xfId="3" applyFont="1" applyBorder="1" applyAlignment="1">
      <alignment horizontal="center" vertical="center"/>
    </xf>
    <xf numFmtId="0" fontId="19" fillId="0" borderId="4" xfId="3" applyFont="1" applyBorder="1" applyAlignment="1">
      <alignment horizontal="center" vertical="center" wrapText="1"/>
    </xf>
    <xf numFmtId="0" fontId="19" fillId="0" borderId="15" xfId="3" applyFont="1" applyBorder="1" applyAlignment="1">
      <alignment horizontal="center" vertical="center" wrapText="1"/>
    </xf>
    <xf numFmtId="0" fontId="20" fillId="0" borderId="4" xfId="3" applyFont="1" applyBorder="1" applyAlignment="1">
      <alignment horizontal="center" vertical="center" wrapText="1"/>
    </xf>
    <xf numFmtId="0" fontId="20" fillId="0" borderId="15" xfId="3" applyFont="1" applyBorder="1" applyAlignment="1">
      <alignment horizontal="center" vertical="center" wrapText="1"/>
    </xf>
    <xf numFmtId="0" fontId="20" fillId="0" borderId="5" xfId="3" applyFont="1" applyBorder="1" applyAlignment="1">
      <alignment horizontal="center" vertical="center" wrapText="1"/>
    </xf>
    <xf numFmtId="0" fontId="24" fillId="0" borderId="1" xfId="3" applyFont="1" applyBorder="1" applyAlignment="1">
      <alignment horizontal="center" vertical="center"/>
    </xf>
    <xf numFmtId="0" fontId="25" fillId="0" borderId="1" xfId="3" applyFont="1" applyBorder="1" applyAlignment="1">
      <alignment horizontal="center" vertical="center"/>
    </xf>
    <xf numFmtId="0" fontId="22" fillId="0" borderId="0" xfId="3" applyFont="1" applyBorder="1" applyAlignment="1">
      <alignment horizontal="center" vertical="center"/>
    </xf>
    <xf numFmtId="0" fontId="23" fillId="0" borderId="0" xfId="3" applyFont="1" applyBorder="1" applyAlignment="1">
      <alignment horizontal="center" vertical="center"/>
    </xf>
    <xf numFmtId="4" fontId="20" fillId="0" borderId="4" xfId="3" applyNumberFormat="1" applyFont="1" applyBorder="1" applyAlignment="1">
      <alignment horizontal="center" vertical="center" wrapText="1"/>
    </xf>
    <xf numFmtId="0" fontId="19" fillId="0" borderId="1" xfId="3" applyFont="1" applyBorder="1" applyAlignment="1">
      <alignment horizontal="left" vertical="center"/>
    </xf>
    <xf numFmtId="0" fontId="21" fillId="0" borderId="4" xfId="3" applyFont="1" applyBorder="1" applyAlignment="1">
      <alignment horizontal="left" vertical="center" wrapText="1"/>
    </xf>
    <xf numFmtId="0" fontId="21" fillId="0" borderId="15" xfId="3" applyFont="1" applyBorder="1" applyAlignment="1">
      <alignment horizontal="left" vertical="center" wrapText="1"/>
    </xf>
    <xf numFmtId="0" fontId="21" fillId="0" borderId="5" xfId="3" applyFont="1" applyBorder="1" applyAlignment="1">
      <alignment horizontal="left" vertical="center" wrapText="1"/>
    </xf>
    <xf numFmtId="0" fontId="20" fillId="0" borderId="1" xfId="3" applyFont="1" applyBorder="1" applyAlignment="1">
      <alignment horizontal="left" vertical="center"/>
    </xf>
    <xf numFmtId="0" fontId="23" fillId="0" borderId="1" xfId="3" applyFont="1" applyBorder="1" applyAlignment="1">
      <alignment horizontal="center" vertical="center"/>
    </xf>
    <xf numFmtId="0" fontId="20" fillId="0" borderId="1" xfId="3" applyFont="1" applyBorder="1" applyAlignment="1">
      <alignment horizontal="center" vertical="center"/>
    </xf>
    <xf numFmtId="0" fontId="12" fillId="0" borderId="13" xfId="3" applyBorder="1" applyAlignment="1">
      <alignment horizontal="center"/>
    </xf>
    <xf numFmtId="0" fontId="30" fillId="0" borderId="1" xfId="3" applyFont="1" applyBorder="1" applyAlignment="1">
      <alignment horizontal="center"/>
    </xf>
    <xf numFmtId="0" fontId="12" fillId="0" borderId="1" xfId="3" applyBorder="1" applyAlignment="1">
      <alignment horizontal="center"/>
    </xf>
    <xf numFmtId="9" fontId="30" fillId="0" borderId="1" xfId="1" applyFont="1" applyBorder="1" applyAlignment="1">
      <alignment horizontal="center"/>
    </xf>
    <xf numFmtId="0" fontId="12" fillId="0" borderId="4" xfId="3" applyFont="1" applyBorder="1" applyAlignment="1">
      <alignment horizontal="center" vertical="center" wrapText="1"/>
    </xf>
    <xf numFmtId="0" fontId="12" fillId="0" borderId="15" xfId="3" applyFont="1" applyBorder="1" applyAlignment="1">
      <alignment horizontal="center" vertical="center" wrapText="1"/>
    </xf>
    <xf numFmtId="0" fontId="12" fillId="0" borderId="5" xfId="3" applyFont="1" applyBorder="1" applyAlignment="1">
      <alignment horizontal="center" vertical="center" wrapText="1"/>
    </xf>
    <xf numFmtId="0" fontId="12" fillId="0" borderId="10" xfId="3" applyBorder="1" applyAlignment="1">
      <alignment horizontal="center"/>
    </xf>
    <xf numFmtId="0" fontId="12" fillId="0" borderId="0" xfId="3" applyBorder="1" applyAlignment="1">
      <alignment horizontal="center"/>
    </xf>
    <xf numFmtId="0" fontId="29" fillId="0" borderId="10" xfId="3" applyFont="1" applyBorder="1" applyAlignment="1">
      <alignment horizontal="center"/>
    </xf>
    <xf numFmtId="0" fontId="29" fillId="0" borderId="0" xfId="3" applyFont="1" applyBorder="1" applyAlignment="1">
      <alignment horizontal="center"/>
    </xf>
    <xf numFmtId="0" fontId="29" fillId="0" borderId="11" xfId="3" applyFont="1" applyBorder="1" applyAlignment="1">
      <alignment horizontal="center"/>
    </xf>
    <xf numFmtId="0" fontId="21" fillId="0" borderId="1" xfId="3" applyFont="1" applyBorder="1" applyAlignment="1">
      <alignment horizontal="left" vertical="center" wrapText="1"/>
    </xf>
    <xf numFmtId="0" fontId="20" fillId="0" borderId="1" xfId="3" applyFont="1" applyBorder="1" applyAlignment="1">
      <alignment horizontal="left" vertical="center" wrapText="1"/>
    </xf>
    <xf numFmtId="0" fontId="22" fillId="0" borderId="10" xfId="3" applyFont="1" applyBorder="1" applyAlignment="1">
      <alignment horizontal="center" vertical="center"/>
    </xf>
    <xf numFmtId="0" fontId="22" fillId="0" borderId="11" xfId="3" applyFont="1" applyBorder="1" applyAlignment="1">
      <alignment horizontal="center" vertical="center"/>
    </xf>
    <xf numFmtId="0" fontId="14" fillId="0" borderId="0" xfId="3" applyFont="1" applyFill="1" applyBorder="1" applyAlignment="1">
      <alignment horizontal="center"/>
    </xf>
    <xf numFmtId="0" fontId="12" fillId="0" borderId="10" xfId="3" applyBorder="1" applyAlignment="1">
      <alignment horizontal="center" vertical="center"/>
    </xf>
    <xf numFmtId="0" fontId="29" fillId="0" borderId="0" xfId="3" quotePrefix="1" applyFont="1" applyBorder="1" applyAlignment="1">
      <alignment horizontal="center" vertical="center"/>
    </xf>
    <xf numFmtId="0" fontId="12" fillId="0" borderId="4" xfId="3" applyBorder="1" applyAlignment="1">
      <alignment horizontal="center"/>
    </xf>
    <xf numFmtId="0" fontId="12" fillId="0" borderId="15" xfId="3" applyBorder="1" applyAlignment="1">
      <alignment horizontal="center"/>
    </xf>
    <xf numFmtId="0" fontId="12" fillId="0" borderId="5" xfId="3" applyBorder="1" applyAlignment="1">
      <alignment horizontal="center"/>
    </xf>
    <xf numFmtId="0" fontId="12" fillId="0" borderId="0" xfId="3" applyFont="1" applyAlignment="1">
      <alignment horizontal="center" vertical="center"/>
    </xf>
    <xf numFmtId="0" fontId="13" fillId="0" borderId="0" xfId="0" applyFont="1" applyBorder="1" applyAlignment="1">
      <alignment horizontal="center" vertical="center"/>
    </xf>
    <xf numFmtId="0" fontId="13" fillId="0" borderId="11" xfId="0" applyFont="1" applyBorder="1" applyAlignment="1">
      <alignment horizontal="center" vertical="center"/>
    </xf>
    <xf numFmtId="0" fontId="44" fillId="0" borderId="7" xfId="3" applyFont="1" applyBorder="1" applyAlignment="1">
      <alignment horizontal="center" vertical="center"/>
    </xf>
    <xf numFmtId="0" fontId="44" fillId="0" borderId="8" xfId="3" applyFont="1" applyBorder="1" applyAlignment="1">
      <alignment horizontal="center" vertical="center"/>
    </xf>
    <xf numFmtId="0" fontId="44" fillId="0" borderId="9" xfId="3" applyFont="1" applyBorder="1" applyAlignment="1">
      <alignment horizontal="center" vertical="center"/>
    </xf>
    <xf numFmtId="0" fontId="11" fillId="0" borderId="1" xfId="2" applyFont="1" applyFill="1" applyBorder="1" applyAlignment="1">
      <alignment horizontal="center" vertical="center" wrapText="1"/>
    </xf>
    <xf numFmtId="0" fontId="11" fillId="0" borderId="1" xfId="2" applyFont="1" applyBorder="1" applyAlignment="1">
      <alignment horizontal="center" vertical="center" wrapText="1"/>
    </xf>
    <xf numFmtId="0" fontId="12" fillId="0" borderId="0" xfId="3" applyFont="1" applyBorder="1" applyAlignment="1">
      <alignment horizontal="center" vertical="center" wrapText="1"/>
    </xf>
    <xf numFmtId="0" fontId="12" fillId="0" borderId="0" xfId="3" applyFont="1" applyBorder="1" applyAlignment="1">
      <alignment horizontal="center"/>
    </xf>
    <xf numFmtId="0" fontId="12" fillId="0" borderId="0" xfId="3" applyFont="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4">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M$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15</xdr:row>
      <xdr:rowOff>0</xdr:rowOff>
    </xdr:from>
    <xdr:to>
      <xdr:col>7</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314325</xdr:colOff>
          <xdr:row>5</xdr:row>
          <xdr:rowOff>57150</xdr:rowOff>
        </xdr:from>
        <xdr:to>
          <xdr:col>8</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10</xdr:row>
          <xdr:rowOff>47625</xdr:rowOff>
        </xdr:from>
        <xdr:to>
          <xdr:col>8</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7</xdr:col>
      <xdr:colOff>57150</xdr:colOff>
      <xdr:row>15</xdr:row>
      <xdr:rowOff>0</xdr:rowOff>
    </xdr:from>
    <xdr:to>
      <xdr:col>7</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7</xdr:col>
      <xdr:colOff>57150</xdr:colOff>
      <xdr:row>15</xdr:row>
      <xdr:rowOff>0</xdr:rowOff>
    </xdr:from>
    <xdr:to>
      <xdr:col>7</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6</xdr:row>
          <xdr:rowOff>161925</xdr:rowOff>
        </xdr:from>
        <xdr:to>
          <xdr:col>12</xdr:col>
          <xdr:colOff>9525</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11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11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11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11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11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11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AA1192"/>
  <sheetViews>
    <sheetView tabSelected="1" zoomScaleNormal="100" workbookViewId="0">
      <selection activeCell="F4" sqref="F4"/>
    </sheetView>
  </sheetViews>
  <sheetFormatPr defaultRowHeight="15" x14ac:dyDescent="0.25"/>
  <cols>
    <col min="1" max="1" width="1.42578125" customWidth="1"/>
    <col min="2" max="4" width="10.7109375" customWidth="1"/>
    <col min="5" max="5" width="1.7109375" customWidth="1"/>
    <col min="6" max="6" width="68.5703125" customWidth="1"/>
    <col min="7" max="7" width="1.5703125" style="1" customWidth="1"/>
    <col min="8" max="8" width="21.42578125" style="12" customWidth="1"/>
    <col min="9" max="9" width="24.42578125" style="12" customWidth="1"/>
    <col min="10" max="10" width="1.28515625" customWidth="1"/>
    <col min="11" max="11" width="18.28515625" style="204" customWidth="1"/>
    <col min="12" max="12" width="18.5703125" style="204" customWidth="1"/>
    <col min="13" max="16" width="14.85546875" style="204" customWidth="1"/>
    <col min="17" max="17" width="17.5703125" style="204" customWidth="1"/>
    <col min="18" max="18" width="19.28515625" style="204" customWidth="1"/>
    <col min="19" max="19" width="1.140625" style="2" customWidth="1"/>
    <col min="20" max="20" width="9" style="3" customWidth="1"/>
    <col min="21" max="21" width="14.28515625" customWidth="1"/>
    <col min="22" max="22" width="13" style="2" customWidth="1"/>
    <col min="23" max="24" width="13.85546875" style="2" customWidth="1"/>
    <col min="25" max="25" width="11.7109375" style="2" customWidth="1"/>
    <col min="26" max="26" width="1.5703125" customWidth="1"/>
    <col min="27" max="27" width="9.140625" style="2"/>
  </cols>
  <sheetData>
    <row r="1" spans="2:27" ht="7.5" customHeight="1" x14ac:dyDescent="0.25">
      <c r="H1"/>
      <c r="I1"/>
      <c r="V1"/>
      <c r="W1"/>
      <c r="X1"/>
      <c r="Y1"/>
      <c r="AA1"/>
    </row>
    <row r="2" spans="2:27" ht="28.5" x14ac:dyDescent="0.45">
      <c r="B2" s="291" t="s">
        <v>0</v>
      </c>
      <c r="C2" s="291"/>
      <c r="D2" s="291"/>
      <c r="F2" s="4" t="s">
        <v>12</v>
      </c>
      <c r="G2" s="5"/>
      <c r="H2"/>
      <c r="I2"/>
      <c r="N2"/>
      <c r="O2"/>
      <c r="P2"/>
      <c r="V2"/>
      <c r="W2"/>
      <c r="X2"/>
      <c r="Y2"/>
      <c r="AA2"/>
    </row>
    <row r="3" spans="2:27" x14ac:dyDescent="0.25">
      <c r="B3" s="291"/>
      <c r="C3" s="291"/>
      <c r="D3" s="291"/>
      <c r="H3"/>
      <c r="I3"/>
      <c r="N3"/>
      <c r="O3"/>
      <c r="P3"/>
      <c r="V3"/>
      <c r="W3"/>
      <c r="X3"/>
      <c r="Y3"/>
      <c r="AA3"/>
    </row>
    <row r="4" spans="2:27" x14ac:dyDescent="0.25">
      <c r="B4" s="291"/>
      <c r="C4" s="291"/>
      <c r="D4" s="291"/>
      <c r="F4" t="s">
        <v>1080</v>
      </c>
      <c r="H4"/>
      <c r="I4"/>
      <c r="K4" s="259"/>
      <c r="N4"/>
      <c r="O4"/>
      <c r="P4"/>
      <c r="V4"/>
      <c r="W4"/>
      <c r="X4"/>
      <c r="Y4"/>
      <c r="AA4"/>
    </row>
    <row r="5" spans="2:27" x14ac:dyDescent="0.25">
      <c r="B5" s="291"/>
      <c r="C5" s="291"/>
      <c r="D5" s="291"/>
      <c r="F5" t="s">
        <v>1070</v>
      </c>
      <c r="H5"/>
      <c r="I5"/>
      <c r="K5" s="257"/>
      <c r="L5" s="258"/>
      <c r="N5"/>
      <c r="O5"/>
      <c r="P5"/>
      <c r="V5"/>
      <c r="W5"/>
      <c r="X5"/>
      <c r="Y5"/>
      <c r="AA5"/>
    </row>
    <row r="6" spans="2:27" ht="6" customHeight="1" x14ac:dyDescent="0.25">
      <c r="H6"/>
      <c r="I6"/>
      <c r="N6"/>
      <c r="O6"/>
      <c r="P6"/>
      <c r="V6"/>
      <c r="W6"/>
      <c r="X6"/>
      <c r="Y6"/>
      <c r="AA6"/>
    </row>
    <row r="7" spans="2:27" x14ac:dyDescent="0.25">
      <c r="C7" s="6" t="s">
        <v>916</v>
      </c>
      <c r="H7"/>
      <c r="I7"/>
      <c r="N7"/>
      <c r="O7"/>
      <c r="P7"/>
      <c r="U7" s="7" t="b">
        <v>1</v>
      </c>
      <c r="V7"/>
      <c r="W7"/>
      <c r="X7"/>
      <c r="Y7"/>
      <c r="AA7"/>
    </row>
    <row r="8" spans="2:27" x14ac:dyDescent="0.25">
      <c r="C8" s="6" t="s">
        <v>917</v>
      </c>
      <c r="H8"/>
      <c r="I8"/>
      <c r="M8" s="277" t="b">
        <v>0</v>
      </c>
      <c r="N8"/>
      <c r="O8"/>
      <c r="P8"/>
      <c r="U8" s="7" t="b">
        <v>1</v>
      </c>
      <c r="V8"/>
      <c r="W8"/>
      <c r="X8"/>
      <c r="Y8"/>
      <c r="AA8"/>
    </row>
    <row r="9" spans="2:27" x14ac:dyDescent="0.25">
      <c r="C9" s="6"/>
      <c r="H9"/>
      <c r="I9"/>
      <c r="N9"/>
      <c r="O9"/>
      <c r="P9"/>
      <c r="U9" s="7" t="b">
        <v>1</v>
      </c>
      <c r="V9"/>
      <c r="W9"/>
      <c r="X9"/>
      <c r="Y9"/>
      <c r="AA9"/>
    </row>
    <row r="10" spans="2:27" ht="6" customHeight="1" x14ac:dyDescent="0.25">
      <c r="H10"/>
      <c r="I10"/>
      <c r="N10"/>
      <c r="O10"/>
      <c r="P10"/>
      <c r="V10"/>
      <c r="W10"/>
      <c r="X10"/>
      <c r="Y10"/>
      <c r="AA10"/>
    </row>
    <row r="11" spans="2:27" x14ac:dyDescent="0.25">
      <c r="B11" s="8"/>
      <c r="D11" s="2" t="s">
        <v>1</v>
      </c>
      <c r="F11" s="265" t="s">
        <v>1071</v>
      </c>
      <c r="G11" s="10"/>
      <c r="H11"/>
      <c r="I11"/>
      <c r="N11"/>
      <c r="O11"/>
      <c r="P11"/>
      <c r="U11" s="7" t="b">
        <v>1</v>
      </c>
      <c r="V11"/>
      <c r="W11"/>
      <c r="X11"/>
      <c r="Y11"/>
      <c r="AA11"/>
    </row>
    <row r="12" spans="2:27" x14ac:dyDescent="0.25">
      <c r="D12" s="2" t="s">
        <v>2</v>
      </c>
      <c r="F12" s="9">
        <v>450125487</v>
      </c>
      <c r="G12" s="10"/>
      <c r="H12"/>
      <c r="I12"/>
      <c r="N12"/>
      <c r="O12"/>
      <c r="P12"/>
      <c r="V12"/>
      <c r="W12"/>
      <c r="X12"/>
      <c r="Y12"/>
      <c r="AA12"/>
    </row>
    <row r="13" spans="2:27" x14ac:dyDescent="0.25">
      <c r="D13" s="2" t="s">
        <v>3</v>
      </c>
      <c r="F13" s="9">
        <v>1002</v>
      </c>
      <c r="G13" s="10"/>
      <c r="H13"/>
      <c r="I13"/>
      <c r="N13"/>
      <c r="O13"/>
      <c r="P13"/>
      <c r="V13"/>
      <c r="W13"/>
      <c r="X13"/>
      <c r="Y13"/>
      <c r="AA13"/>
    </row>
    <row r="14" spans="2:27" x14ac:dyDescent="0.25">
      <c r="D14" s="2" t="s">
        <v>861</v>
      </c>
      <c r="F14" s="9" t="s">
        <v>204</v>
      </c>
      <c r="G14" s="10"/>
      <c r="H14"/>
      <c r="I14"/>
      <c r="N14"/>
      <c r="O14"/>
      <c r="P14"/>
      <c r="V14"/>
      <c r="W14"/>
      <c r="X14"/>
      <c r="Y14"/>
      <c r="AA14"/>
    </row>
    <row r="15" spans="2:27" x14ac:dyDescent="0.25">
      <c r="F15" s="11"/>
      <c r="T15"/>
      <c r="V15"/>
      <c r="W15"/>
      <c r="Y15"/>
      <c r="AA15"/>
    </row>
    <row r="16" spans="2:27" x14ac:dyDescent="0.25">
      <c r="E16" s="13"/>
      <c r="T16" s="292" t="s">
        <v>517</v>
      </c>
      <c r="U16" s="292"/>
      <c r="V16" s="292"/>
      <c r="W16" s="292"/>
      <c r="X16" s="292"/>
      <c r="Y16" s="292"/>
    </row>
    <row r="17" spans="2:27" ht="33" customHeight="1" x14ac:dyDescent="0.25">
      <c r="B17" s="14" t="s">
        <v>4</v>
      </c>
      <c r="C17" s="14" t="s">
        <v>5</v>
      </c>
      <c r="D17" s="14" t="s">
        <v>6</v>
      </c>
      <c r="E17" s="15"/>
      <c r="F17" s="16" t="s">
        <v>13</v>
      </c>
      <c r="G17" s="17"/>
      <c r="H17" s="18" t="s">
        <v>7</v>
      </c>
      <c r="I17" s="18" t="s">
        <v>8</v>
      </c>
      <c r="J17" s="146"/>
      <c r="K17" s="203" t="s">
        <v>863</v>
      </c>
      <c r="L17" s="203" t="s">
        <v>867</v>
      </c>
      <c r="M17" s="203" t="s">
        <v>540</v>
      </c>
      <c r="N17" s="203" t="s">
        <v>515</v>
      </c>
      <c r="O17" s="203" t="s">
        <v>865</v>
      </c>
      <c r="P17" s="203" t="s">
        <v>864</v>
      </c>
      <c r="Q17" s="203" t="s">
        <v>866</v>
      </c>
      <c r="R17" s="203" t="s">
        <v>862</v>
      </c>
      <c r="S17"/>
      <c r="T17" s="179" t="s">
        <v>11</v>
      </c>
      <c r="U17" s="179" t="s">
        <v>210</v>
      </c>
      <c r="V17" s="179" t="s">
        <v>211</v>
      </c>
      <c r="W17" s="179" t="s">
        <v>516</v>
      </c>
      <c r="X17" s="179" t="s">
        <v>23</v>
      </c>
      <c r="Y17" s="179" t="s">
        <v>212</v>
      </c>
      <c r="AA17"/>
    </row>
    <row r="18" spans="2:27" ht="30" x14ac:dyDescent="0.25">
      <c r="B18" s="289">
        <v>17</v>
      </c>
      <c r="C18" s="289">
        <v>1</v>
      </c>
      <c r="D18" s="289">
        <v>1</v>
      </c>
      <c r="E18" s="289"/>
      <c r="F18" s="289" t="s">
        <v>1031</v>
      </c>
      <c r="G18" s="289"/>
      <c r="H18" s="289" t="s">
        <v>1046</v>
      </c>
      <c r="I18" s="289"/>
      <c r="J18" s="289"/>
      <c r="K18" s="290" t="s">
        <v>1047</v>
      </c>
      <c r="L18" s="290" t="s">
        <v>1048</v>
      </c>
      <c r="M18" s="290" t="s">
        <v>1049</v>
      </c>
      <c r="N18" s="290" t="s">
        <v>1033</v>
      </c>
      <c r="O18" s="290" t="s">
        <v>1050</v>
      </c>
      <c r="P18" s="290" t="s">
        <v>1051</v>
      </c>
      <c r="Q18" s="290" t="s">
        <v>1052</v>
      </c>
      <c r="R18" s="290" t="s">
        <v>1053</v>
      </c>
      <c r="S18" s="290"/>
      <c r="T18" s="290">
        <v>2018</v>
      </c>
      <c r="U18" s="290" t="s">
        <v>592</v>
      </c>
      <c r="V18" s="290" t="s">
        <v>593</v>
      </c>
      <c r="W18" s="290" t="s">
        <v>921</v>
      </c>
      <c r="X18" s="290" t="s">
        <v>921</v>
      </c>
      <c r="Y18" s="290" t="s">
        <v>217</v>
      </c>
      <c r="AA18"/>
    </row>
    <row r="19" spans="2:27" ht="30" x14ac:dyDescent="0.25">
      <c r="B19" s="289">
        <v>18</v>
      </c>
      <c r="C19" s="289">
        <v>1</v>
      </c>
      <c r="D19" s="289">
        <v>1</v>
      </c>
      <c r="E19" s="289"/>
      <c r="F19" s="289" t="s">
        <v>1036</v>
      </c>
      <c r="G19" s="289"/>
      <c r="H19" s="289" t="s">
        <v>1054</v>
      </c>
      <c r="I19" s="289"/>
      <c r="J19" s="289"/>
      <c r="K19" s="290" t="s">
        <v>1055</v>
      </c>
      <c r="L19" s="290" t="s">
        <v>1056</v>
      </c>
      <c r="M19" s="290" t="s">
        <v>1049</v>
      </c>
      <c r="N19" s="290" t="s">
        <v>1033</v>
      </c>
      <c r="O19" s="290" t="s">
        <v>920</v>
      </c>
      <c r="P19" s="290" t="s">
        <v>1057</v>
      </c>
      <c r="Q19" s="290" t="s">
        <v>1058</v>
      </c>
      <c r="R19" s="290" t="s">
        <v>1059</v>
      </c>
      <c r="S19" s="290"/>
      <c r="T19" s="290">
        <v>2018</v>
      </c>
      <c r="U19" s="290" t="s">
        <v>549</v>
      </c>
      <c r="V19" s="290" t="s">
        <v>552</v>
      </c>
      <c r="W19" s="290" t="s">
        <v>921</v>
      </c>
      <c r="X19" s="290" t="s">
        <v>921</v>
      </c>
      <c r="Y19" s="290"/>
      <c r="AA19"/>
    </row>
    <row r="20" spans="2:27" ht="30" x14ac:dyDescent="0.25">
      <c r="B20" s="289">
        <v>19</v>
      </c>
      <c r="C20" s="289">
        <v>1</v>
      </c>
      <c r="D20" s="289">
        <v>1</v>
      </c>
      <c r="E20" s="289"/>
      <c r="F20" s="289" t="s">
        <v>1039</v>
      </c>
      <c r="G20" s="289"/>
      <c r="H20" s="289" t="s">
        <v>1060</v>
      </c>
      <c r="I20" s="289"/>
      <c r="J20" s="289"/>
      <c r="K20" s="290" t="s">
        <v>1061</v>
      </c>
      <c r="L20" s="290" t="s">
        <v>1062</v>
      </c>
      <c r="M20" s="290" t="s">
        <v>1049</v>
      </c>
      <c r="N20" s="290" t="s">
        <v>1033</v>
      </c>
      <c r="O20" s="290" t="s">
        <v>1050</v>
      </c>
      <c r="P20" s="290" t="s">
        <v>1063</v>
      </c>
      <c r="Q20" s="290" t="s">
        <v>1058</v>
      </c>
      <c r="R20" s="290" t="s">
        <v>1064</v>
      </c>
      <c r="S20" s="290"/>
      <c r="T20" s="290">
        <v>2018</v>
      </c>
      <c r="U20" s="290" t="s">
        <v>596</v>
      </c>
      <c r="V20" s="290" t="s">
        <v>593</v>
      </c>
      <c r="W20" s="290" t="s">
        <v>921</v>
      </c>
      <c r="X20" s="290" t="s">
        <v>921</v>
      </c>
      <c r="Y20" s="290" t="s">
        <v>217</v>
      </c>
      <c r="AA20"/>
    </row>
    <row r="21" spans="2:27" x14ac:dyDescent="0.25">
      <c r="B21" s="289">
        <v>20</v>
      </c>
      <c r="C21" s="289">
        <v>1</v>
      </c>
      <c r="D21" s="289">
        <v>1</v>
      </c>
      <c r="E21" s="289"/>
      <c r="F21" s="289" t="s">
        <v>1042</v>
      </c>
      <c r="G21" s="289"/>
      <c r="H21" s="289" t="s">
        <v>1065</v>
      </c>
      <c r="I21" s="289"/>
      <c r="J21" s="289"/>
      <c r="K21" s="290" t="s">
        <v>282</v>
      </c>
      <c r="L21" s="290" t="s">
        <v>1066</v>
      </c>
      <c r="M21" s="290" t="s">
        <v>1067</v>
      </c>
      <c r="N21" s="290" t="s">
        <v>1033</v>
      </c>
      <c r="O21" s="290" t="s">
        <v>1050</v>
      </c>
      <c r="P21" s="290" t="s">
        <v>1068</v>
      </c>
      <c r="Q21" s="290" t="s">
        <v>1058</v>
      </c>
      <c r="R21" s="290" t="s">
        <v>1069</v>
      </c>
      <c r="S21" s="290"/>
      <c r="T21" s="290" t="s">
        <v>921</v>
      </c>
      <c r="U21" s="290" t="s">
        <v>921</v>
      </c>
      <c r="V21" s="290" t="s">
        <v>921</v>
      </c>
      <c r="W21" s="290" t="s">
        <v>921</v>
      </c>
      <c r="X21" s="290" t="s">
        <v>921</v>
      </c>
      <c r="Y21" s="290" t="s">
        <v>921</v>
      </c>
      <c r="AA21"/>
    </row>
    <row r="22" spans="2:27" ht="15" customHeight="1" x14ac:dyDescent="0.25">
      <c r="G22"/>
      <c r="H22"/>
      <c r="I22"/>
      <c r="K22"/>
      <c r="L22"/>
      <c r="M22"/>
      <c r="N22"/>
      <c r="O22"/>
      <c r="P22"/>
      <c r="Q22"/>
      <c r="R22"/>
      <c r="S22"/>
      <c r="T22"/>
      <c r="V22"/>
      <c r="W22"/>
      <c r="X22"/>
      <c r="Y22"/>
      <c r="AA22"/>
    </row>
    <row r="23" spans="2:27" x14ac:dyDescent="0.25">
      <c r="G23"/>
      <c r="H23"/>
      <c r="I23"/>
      <c r="K23"/>
      <c r="L23"/>
      <c r="M23"/>
      <c r="N23"/>
      <c r="O23"/>
      <c r="P23"/>
      <c r="Q23"/>
      <c r="R23"/>
      <c r="S23"/>
      <c r="T23"/>
      <c r="V23"/>
      <c r="W23"/>
      <c r="X23"/>
      <c r="Y23"/>
      <c r="AA23"/>
    </row>
    <row r="24" spans="2:27" x14ac:dyDescent="0.25">
      <c r="G24"/>
      <c r="H24"/>
      <c r="I24"/>
      <c r="K24"/>
      <c r="L24"/>
      <c r="M24"/>
      <c r="N24"/>
      <c r="O24"/>
      <c r="P24"/>
      <c r="Q24"/>
      <c r="R24"/>
      <c r="S24"/>
      <c r="T24"/>
      <c r="V24"/>
      <c r="W24"/>
      <c r="X24"/>
      <c r="Y24"/>
      <c r="AA24"/>
    </row>
    <row r="25" spans="2:27" x14ac:dyDescent="0.25">
      <c r="G25"/>
      <c r="H25"/>
      <c r="I25"/>
      <c r="K25"/>
      <c r="L25"/>
      <c r="M25"/>
      <c r="N25"/>
      <c r="O25"/>
      <c r="P25"/>
      <c r="Q25"/>
      <c r="R25"/>
      <c r="S25"/>
      <c r="T25"/>
      <c r="V25"/>
      <c r="W25"/>
      <c r="X25"/>
      <c r="Y25"/>
      <c r="AA25"/>
    </row>
    <row r="26" spans="2:27" x14ac:dyDescent="0.25">
      <c r="G26"/>
      <c r="H26"/>
      <c r="I26"/>
      <c r="K26"/>
      <c r="L26"/>
      <c r="M26"/>
      <c r="N26"/>
      <c r="O26"/>
      <c r="P26"/>
      <c r="Q26"/>
      <c r="R26"/>
      <c r="S26"/>
      <c r="T26"/>
      <c r="V26"/>
      <c r="W26"/>
      <c r="X26"/>
      <c r="Y26"/>
      <c r="AA26"/>
    </row>
    <row r="27" spans="2:27" x14ac:dyDescent="0.25">
      <c r="G27"/>
      <c r="H27"/>
      <c r="I27"/>
      <c r="K27"/>
      <c r="L27"/>
      <c r="M27"/>
      <c r="N27"/>
      <c r="O27"/>
      <c r="P27"/>
      <c r="Q27"/>
      <c r="R27"/>
      <c r="S27"/>
      <c r="T27"/>
      <c r="V27"/>
      <c r="W27"/>
      <c r="X27"/>
      <c r="Y27"/>
      <c r="AA27"/>
    </row>
    <row r="28" spans="2:27" x14ac:dyDescent="0.25">
      <c r="G28"/>
      <c r="H28"/>
      <c r="I28"/>
      <c r="K28"/>
      <c r="L28"/>
      <c r="M28"/>
      <c r="N28"/>
      <c r="O28"/>
      <c r="P28"/>
      <c r="Q28"/>
      <c r="R28"/>
      <c r="S28"/>
      <c r="T28"/>
      <c r="V28"/>
      <c r="W28"/>
      <c r="X28"/>
      <c r="Y28"/>
      <c r="AA28"/>
    </row>
    <row r="29" spans="2:27" x14ac:dyDescent="0.25">
      <c r="G29"/>
      <c r="H29"/>
      <c r="I29"/>
      <c r="K29"/>
      <c r="L29"/>
      <c r="M29"/>
      <c r="N29"/>
      <c r="O29"/>
      <c r="P29"/>
      <c r="Q29"/>
      <c r="R29"/>
      <c r="S29"/>
      <c r="T29"/>
      <c r="V29"/>
      <c r="W29"/>
      <c r="X29"/>
      <c r="Y29"/>
      <c r="AA29"/>
    </row>
    <row r="30" spans="2:27" x14ac:dyDescent="0.25">
      <c r="G30"/>
      <c r="H30"/>
      <c r="I30"/>
      <c r="K30"/>
      <c r="L30"/>
      <c r="M30"/>
      <c r="N30"/>
      <c r="O30"/>
      <c r="P30"/>
      <c r="Q30"/>
      <c r="R30"/>
      <c r="S30"/>
      <c r="T30"/>
      <c r="V30"/>
      <c r="W30"/>
      <c r="X30"/>
      <c r="Y30"/>
      <c r="AA30"/>
    </row>
    <row r="31" spans="2:27" x14ac:dyDescent="0.25">
      <c r="G31"/>
      <c r="H31"/>
      <c r="I31"/>
      <c r="K31"/>
      <c r="L31"/>
      <c r="M31"/>
      <c r="N31"/>
      <c r="O31"/>
      <c r="P31"/>
      <c r="Q31"/>
      <c r="R31"/>
      <c r="S31"/>
      <c r="T31"/>
      <c r="V31"/>
      <c r="W31"/>
      <c r="X31"/>
      <c r="Y31"/>
      <c r="AA31"/>
    </row>
    <row r="32" spans="2:27" x14ac:dyDescent="0.25">
      <c r="G32"/>
      <c r="H32"/>
      <c r="I32"/>
      <c r="K32"/>
      <c r="L32"/>
      <c r="M32"/>
      <c r="N32"/>
      <c r="O32"/>
      <c r="P32"/>
      <c r="Q32"/>
      <c r="R32"/>
      <c r="S32"/>
      <c r="T32"/>
      <c r="V32"/>
      <c r="W32"/>
      <c r="X32"/>
      <c r="Y32"/>
      <c r="AA32"/>
    </row>
    <row r="33" spans="7:27" x14ac:dyDescent="0.25">
      <c r="G33"/>
      <c r="H33"/>
      <c r="I33"/>
      <c r="K33"/>
      <c r="L33"/>
      <c r="M33"/>
      <c r="N33"/>
      <c r="O33"/>
      <c r="P33"/>
      <c r="Q33"/>
      <c r="R33"/>
      <c r="S33"/>
      <c r="T33"/>
      <c r="V33"/>
      <c r="W33"/>
      <c r="X33"/>
      <c r="Y33"/>
      <c r="AA33"/>
    </row>
    <row r="34" spans="7:27" x14ac:dyDescent="0.25">
      <c r="G34"/>
      <c r="H34"/>
      <c r="I34"/>
      <c r="K34"/>
      <c r="L34"/>
      <c r="M34"/>
      <c r="N34"/>
      <c r="O34"/>
      <c r="P34"/>
      <c r="Q34"/>
      <c r="R34"/>
      <c r="S34"/>
      <c r="T34"/>
      <c r="V34"/>
      <c r="W34"/>
      <c r="X34"/>
      <c r="Y34"/>
      <c r="AA34"/>
    </row>
    <row r="35" spans="7:27" x14ac:dyDescent="0.25">
      <c r="G35"/>
      <c r="H35"/>
      <c r="I35"/>
      <c r="K35"/>
      <c r="L35"/>
      <c r="M35"/>
      <c r="N35"/>
      <c r="O35"/>
      <c r="P35"/>
      <c r="Q35"/>
      <c r="R35"/>
      <c r="S35"/>
      <c r="T35"/>
      <c r="V35"/>
      <c r="W35"/>
      <c r="X35"/>
      <c r="Y35"/>
      <c r="AA35"/>
    </row>
    <row r="36" spans="7:27" x14ac:dyDescent="0.25">
      <c r="G36"/>
      <c r="H36"/>
      <c r="I36"/>
      <c r="K36"/>
      <c r="L36"/>
      <c r="M36"/>
      <c r="N36"/>
      <c r="O36"/>
      <c r="P36"/>
      <c r="Q36"/>
      <c r="R36"/>
      <c r="S36"/>
      <c r="T36"/>
      <c r="V36"/>
      <c r="W36"/>
      <c r="X36"/>
      <c r="Y36"/>
      <c r="AA36"/>
    </row>
    <row r="37" spans="7:27" x14ac:dyDescent="0.25">
      <c r="G37"/>
      <c r="H37"/>
      <c r="I37"/>
      <c r="K37"/>
      <c r="L37"/>
      <c r="M37"/>
      <c r="N37"/>
      <c r="O37"/>
      <c r="P37"/>
      <c r="Q37"/>
      <c r="R37"/>
      <c r="S37"/>
      <c r="T37"/>
      <c r="V37"/>
      <c r="W37"/>
      <c r="X37"/>
      <c r="Y37"/>
      <c r="AA37"/>
    </row>
    <row r="38" spans="7:27" x14ac:dyDescent="0.25">
      <c r="G38"/>
      <c r="H38"/>
      <c r="I38"/>
      <c r="K38"/>
      <c r="L38"/>
      <c r="M38"/>
      <c r="N38"/>
      <c r="O38"/>
      <c r="P38"/>
      <c r="Q38"/>
      <c r="R38"/>
      <c r="S38"/>
      <c r="T38"/>
      <c r="V38"/>
      <c r="W38"/>
      <c r="X38"/>
      <c r="Y38"/>
      <c r="AA38"/>
    </row>
    <row r="39" spans="7:27" x14ac:dyDescent="0.25">
      <c r="G39"/>
      <c r="H39"/>
      <c r="I39"/>
      <c r="K39"/>
      <c r="L39"/>
      <c r="M39"/>
      <c r="N39"/>
      <c r="O39"/>
      <c r="P39"/>
      <c r="Q39"/>
      <c r="R39"/>
      <c r="S39"/>
      <c r="T39"/>
      <c r="V39"/>
      <c r="W39"/>
      <c r="X39"/>
      <c r="Y39"/>
      <c r="AA39"/>
    </row>
    <row r="40" spans="7:27" x14ac:dyDescent="0.25">
      <c r="G40"/>
      <c r="H40"/>
      <c r="I40"/>
      <c r="K40"/>
      <c r="L40"/>
      <c r="M40"/>
      <c r="N40"/>
      <c r="O40"/>
      <c r="P40"/>
      <c r="Q40"/>
      <c r="R40"/>
      <c r="S40"/>
      <c r="T40"/>
      <c r="V40"/>
      <c r="W40"/>
      <c r="X40"/>
      <c r="Y40"/>
      <c r="AA40"/>
    </row>
    <row r="41" spans="7:27" x14ac:dyDescent="0.25">
      <c r="G41"/>
      <c r="H41"/>
      <c r="I41"/>
      <c r="K41"/>
      <c r="L41"/>
      <c r="M41"/>
      <c r="N41"/>
      <c r="O41"/>
      <c r="P41"/>
      <c r="Q41"/>
      <c r="R41"/>
      <c r="S41"/>
      <c r="T41"/>
      <c r="V41"/>
      <c r="W41"/>
      <c r="X41"/>
      <c r="Y41"/>
      <c r="AA41"/>
    </row>
    <row r="42" spans="7:27" x14ac:dyDescent="0.25">
      <c r="G42"/>
      <c r="H42"/>
      <c r="I42"/>
      <c r="K42"/>
      <c r="L42"/>
      <c r="M42"/>
      <c r="N42"/>
      <c r="O42"/>
      <c r="P42"/>
      <c r="Q42"/>
      <c r="R42"/>
      <c r="S42"/>
      <c r="T42"/>
      <c r="V42"/>
      <c r="W42"/>
      <c r="X42"/>
      <c r="Y42"/>
      <c r="AA42"/>
    </row>
    <row r="43" spans="7:27" x14ac:dyDescent="0.25">
      <c r="G43"/>
      <c r="H43"/>
      <c r="I43"/>
      <c r="K43"/>
      <c r="L43"/>
      <c r="M43"/>
      <c r="N43"/>
      <c r="O43"/>
      <c r="P43"/>
      <c r="Q43"/>
      <c r="R43"/>
      <c r="S43"/>
      <c r="T43"/>
      <c r="V43"/>
      <c r="W43"/>
      <c r="X43"/>
      <c r="Y43"/>
      <c r="AA43"/>
    </row>
    <row r="44" spans="7:27" x14ac:dyDescent="0.25">
      <c r="G44"/>
      <c r="H44"/>
      <c r="I44"/>
      <c r="K44"/>
      <c r="L44"/>
      <c r="M44"/>
      <c r="N44"/>
      <c r="O44"/>
      <c r="P44"/>
      <c r="Q44"/>
      <c r="R44"/>
      <c r="S44"/>
      <c r="T44"/>
      <c r="V44"/>
      <c r="W44"/>
      <c r="X44"/>
      <c r="Y44"/>
      <c r="AA44"/>
    </row>
    <row r="45" spans="7:27" x14ac:dyDescent="0.25">
      <c r="G45"/>
      <c r="H45"/>
      <c r="I45"/>
      <c r="K45"/>
      <c r="L45"/>
      <c r="M45"/>
      <c r="N45"/>
      <c r="O45"/>
      <c r="P45"/>
      <c r="Q45"/>
      <c r="R45"/>
      <c r="S45"/>
      <c r="T45"/>
      <c r="V45"/>
      <c r="W45"/>
      <c r="X45"/>
      <c r="Y45"/>
      <c r="AA45"/>
    </row>
    <row r="46" spans="7:27" x14ac:dyDescent="0.25">
      <c r="G46"/>
      <c r="H46"/>
      <c r="I46"/>
      <c r="K46"/>
      <c r="L46"/>
      <c r="M46"/>
      <c r="N46"/>
      <c r="O46"/>
      <c r="P46"/>
      <c r="Q46"/>
      <c r="R46"/>
      <c r="S46"/>
      <c r="T46"/>
      <c r="V46"/>
      <c r="W46"/>
      <c r="X46"/>
      <c r="Y46"/>
      <c r="AA46"/>
    </row>
    <row r="47" spans="7:27" x14ac:dyDescent="0.25">
      <c r="G47"/>
      <c r="H47"/>
      <c r="I47"/>
      <c r="K47"/>
      <c r="L47"/>
      <c r="M47"/>
      <c r="N47"/>
      <c r="O47"/>
      <c r="P47"/>
      <c r="Q47"/>
      <c r="R47"/>
      <c r="S47"/>
      <c r="T47"/>
      <c r="V47"/>
      <c r="W47"/>
      <c r="X47"/>
      <c r="Y47"/>
      <c r="AA47"/>
    </row>
    <row r="48" spans="7:27" x14ac:dyDescent="0.25">
      <c r="G48"/>
      <c r="H48"/>
      <c r="I48"/>
      <c r="K48"/>
      <c r="L48"/>
      <c r="M48"/>
      <c r="N48"/>
      <c r="O48"/>
      <c r="P48"/>
      <c r="Q48"/>
      <c r="R48"/>
      <c r="S48"/>
      <c r="T48"/>
      <c r="V48"/>
      <c r="W48"/>
      <c r="X48"/>
      <c r="Y48"/>
      <c r="AA48"/>
    </row>
    <row r="49" spans="7:27" x14ac:dyDescent="0.25">
      <c r="G49"/>
      <c r="H49"/>
      <c r="I49"/>
      <c r="K49"/>
      <c r="L49"/>
      <c r="M49"/>
      <c r="N49"/>
      <c r="O49"/>
      <c r="P49"/>
      <c r="Q49"/>
      <c r="R49"/>
      <c r="S49"/>
      <c r="T49"/>
      <c r="V49"/>
      <c r="W49"/>
      <c r="X49"/>
      <c r="Y49"/>
      <c r="AA49"/>
    </row>
    <row r="50" spans="7:27" x14ac:dyDescent="0.25">
      <c r="G50"/>
      <c r="H50"/>
      <c r="I50"/>
      <c r="K50"/>
      <c r="L50"/>
      <c r="M50"/>
      <c r="N50"/>
      <c r="O50"/>
      <c r="P50"/>
      <c r="Q50"/>
      <c r="R50"/>
      <c r="S50"/>
      <c r="T50"/>
      <c r="V50"/>
      <c r="W50"/>
      <c r="X50"/>
      <c r="Y50"/>
      <c r="AA50"/>
    </row>
    <row r="51" spans="7:27" x14ac:dyDescent="0.25">
      <c r="G51"/>
      <c r="H51"/>
      <c r="I51"/>
      <c r="K51"/>
      <c r="L51"/>
      <c r="M51"/>
      <c r="N51"/>
      <c r="O51"/>
      <c r="P51"/>
      <c r="Q51"/>
      <c r="R51"/>
      <c r="S51"/>
      <c r="T51"/>
      <c r="V51"/>
      <c r="W51"/>
      <c r="X51"/>
      <c r="Y51"/>
      <c r="AA51"/>
    </row>
    <row r="52" spans="7:27" x14ac:dyDescent="0.25">
      <c r="G52"/>
      <c r="H52"/>
      <c r="I52"/>
      <c r="K52"/>
      <c r="L52"/>
      <c r="M52"/>
      <c r="N52"/>
      <c r="O52"/>
      <c r="P52"/>
      <c r="Q52"/>
      <c r="R52"/>
      <c r="S52"/>
      <c r="T52"/>
      <c r="V52"/>
      <c r="W52"/>
      <c r="X52"/>
      <c r="Y52"/>
      <c r="AA52"/>
    </row>
    <row r="53" spans="7:27" x14ac:dyDescent="0.25">
      <c r="G53"/>
      <c r="H53"/>
      <c r="I53"/>
      <c r="K53"/>
      <c r="L53"/>
      <c r="M53"/>
      <c r="N53"/>
      <c r="O53"/>
      <c r="P53"/>
      <c r="Q53"/>
      <c r="R53"/>
      <c r="S53"/>
      <c r="T53"/>
      <c r="V53"/>
      <c r="W53"/>
      <c r="X53"/>
      <c r="Y53"/>
      <c r="AA53"/>
    </row>
    <row r="54" spans="7:27" x14ac:dyDescent="0.25">
      <c r="G54"/>
      <c r="H54"/>
      <c r="I54"/>
      <c r="K54"/>
      <c r="L54"/>
      <c r="M54"/>
      <c r="N54"/>
      <c r="O54"/>
      <c r="P54"/>
      <c r="Q54"/>
      <c r="R54"/>
      <c r="S54"/>
      <c r="T54"/>
      <c r="V54"/>
      <c r="W54"/>
      <c r="X54"/>
      <c r="Y54"/>
      <c r="AA54"/>
    </row>
    <row r="55" spans="7:27" x14ac:dyDescent="0.25">
      <c r="G55"/>
      <c r="H55"/>
      <c r="I55"/>
      <c r="K55"/>
      <c r="L55"/>
      <c r="M55"/>
      <c r="N55"/>
      <c r="O55"/>
      <c r="P55"/>
      <c r="Q55"/>
      <c r="R55"/>
      <c r="S55"/>
      <c r="T55"/>
      <c r="V55"/>
      <c r="W55"/>
      <c r="X55"/>
      <c r="Y55"/>
      <c r="AA55"/>
    </row>
    <row r="56" spans="7:27" x14ac:dyDescent="0.25">
      <c r="G56"/>
      <c r="H56"/>
      <c r="I56"/>
      <c r="K56"/>
      <c r="L56"/>
      <c r="M56"/>
      <c r="N56"/>
      <c r="O56"/>
      <c r="P56"/>
      <c r="Q56"/>
      <c r="R56"/>
      <c r="S56"/>
      <c r="T56"/>
      <c r="V56"/>
      <c r="W56"/>
      <c r="X56"/>
      <c r="Y56"/>
      <c r="AA56"/>
    </row>
    <row r="57" spans="7:27" x14ac:dyDescent="0.25">
      <c r="G57"/>
      <c r="H57"/>
      <c r="I57"/>
      <c r="K57"/>
      <c r="L57"/>
      <c r="M57"/>
      <c r="N57"/>
      <c r="O57"/>
      <c r="P57"/>
      <c r="Q57"/>
      <c r="R57"/>
      <c r="S57"/>
      <c r="T57"/>
      <c r="V57"/>
      <c r="W57"/>
      <c r="X57"/>
      <c r="Y57"/>
      <c r="AA57"/>
    </row>
    <row r="58" spans="7:27" x14ac:dyDescent="0.25">
      <c r="G58"/>
      <c r="H58"/>
      <c r="I58"/>
      <c r="K58"/>
      <c r="L58"/>
      <c r="M58"/>
      <c r="N58"/>
      <c r="O58"/>
      <c r="P58"/>
      <c r="Q58"/>
      <c r="R58"/>
      <c r="S58"/>
      <c r="T58"/>
      <c r="V58"/>
      <c r="W58"/>
      <c r="X58"/>
      <c r="Y58"/>
      <c r="AA58"/>
    </row>
    <row r="59" spans="7:27" x14ac:dyDescent="0.25">
      <c r="G59"/>
      <c r="H59"/>
      <c r="I59"/>
      <c r="K59"/>
      <c r="L59"/>
      <c r="M59"/>
      <c r="N59"/>
      <c r="O59"/>
      <c r="P59"/>
      <c r="Q59"/>
      <c r="R59"/>
      <c r="S59"/>
      <c r="T59"/>
      <c r="V59"/>
      <c r="W59"/>
      <c r="X59"/>
      <c r="Y59"/>
      <c r="AA59"/>
    </row>
    <row r="60" spans="7:27" x14ac:dyDescent="0.25">
      <c r="G60"/>
      <c r="H60"/>
      <c r="I60"/>
      <c r="K60"/>
      <c r="L60"/>
      <c r="M60"/>
      <c r="N60"/>
      <c r="O60"/>
      <c r="P60"/>
      <c r="Q60"/>
      <c r="R60"/>
      <c r="S60"/>
      <c r="T60"/>
      <c r="V60"/>
      <c r="W60"/>
      <c r="X60"/>
      <c r="Y60"/>
      <c r="AA60"/>
    </row>
    <row r="61" spans="7:27" x14ac:dyDescent="0.25">
      <c r="G61"/>
      <c r="H61"/>
      <c r="I61"/>
      <c r="K61"/>
      <c r="L61"/>
      <c r="M61"/>
      <c r="N61"/>
      <c r="O61"/>
      <c r="P61"/>
      <c r="Q61"/>
      <c r="R61"/>
      <c r="S61"/>
      <c r="T61"/>
      <c r="V61"/>
      <c r="W61"/>
      <c r="X61"/>
      <c r="Y61"/>
      <c r="AA61"/>
    </row>
    <row r="62" spans="7:27" x14ac:dyDescent="0.25">
      <c r="G62"/>
      <c r="H62"/>
      <c r="I62"/>
      <c r="K62"/>
      <c r="L62"/>
      <c r="M62"/>
      <c r="N62"/>
      <c r="O62"/>
      <c r="P62"/>
      <c r="Q62"/>
      <c r="R62"/>
      <c r="S62"/>
      <c r="T62"/>
      <c r="V62"/>
      <c r="W62"/>
      <c r="X62"/>
      <c r="Y62"/>
      <c r="AA62"/>
    </row>
    <row r="63" spans="7:27" x14ac:dyDescent="0.25">
      <c r="G63"/>
      <c r="H63"/>
      <c r="I63"/>
      <c r="K63"/>
      <c r="L63"/>
      <c r="M63"/>
      <c r="N63"/>
      <c r="O63"/>
      <c r="P63"/>
      <c r="Q63"/>
      <c r="R63"/>
      <c r="S63"/>
      <c r="T63"/>
      <c r="V63"/>
      <c r="W63"/>
      <c r="X63"/>
      <c r="Y63"/>
      <c r="AA63"/>
    </row>
    <row r="64" spans="7:27" x14ac:dyDescent="0.25">
      <c r="G64"/>
      <c r="H64"/>
      <c r="I64"/>
      <c r="K64"/>
      <c r="L64"/>
      <c r="M64"/>
      <c r="N64"/>
      <c r="O64"/>
      <c r="P64"/>
      <c r="Q64"/>
      <c r="R64"/>
      <c r="S64"/>
      <c r="T64"/>
      <c r="V64"/>
      <c r="W64"/>
      <c r="X64"/>
      <c r="Y64"/>
      <c r="AA64"/>
    </row>
    <row r="65" spans="7:27" x14ac:dyDescent="0.25">
      <c r="G65"/>
      <c r="H65"/>
      <c r="I65"/>
      <c r="K65"/>
      <c r="L65"/>
      <c r="M65"/>
      <c r="N65"/>
      <c r="O65"/>
      <c r="P65"/>
      <c r="Q65"/>
      <c r="R65"/>
      <c r="S65"/>
      <c r="T65"/>
      <c r="V65"/>
      <c r="W65"/>
      <c r="X65"/>
      <c r="Y65"/>
      <c r="AA65"/>
    </row>
    <row r="66" spans="7:27" x14ac:dyDescent="0.25">
      <c r="G66"/>
      <c r="H66"/>
      <c r="I66"/>
      <c r="K66"/>
      <c r="L66"/>
      <c r="M66"/>
      <c r="N66"/>
      <c r="O66"/>
      <c r="P66"/>
      <c r="Q66"/>
      <c r="R66"/>
      <c r="S66"/>
      <c r="T66"/>
      <c r="V66"/>
      <c r="W66"/>
      <c r="X66"/>
      <c r="Y66"/>
      <c r="AA66"/>
    </row>
    <row r="67" spans="7:27" x14ac:dyDescent="0.25">
      <c r="G67"/>
      <c r="H67"/>
      <c r="I67"/>
      <c r="K67"/>
      <c r="L67"/>
      <c r="M67"/>
      <c r="N67"/>
      <c r="O67"/>
      <c r="P67"/>
      <c r="Q67"/>
      <c r="R67"/>
      <c r="S67"/>
      <c r="T67"/>
      <c r="V67"/>
      <c r="W67"/>
      <c r="X67"/>
      <c r="Y67"/>
      <c r="AA67"/>
    </row>
    <row r="68" spans="7:27" x14ac:dyDescent="0.25">
      <c r="G68"/>
      <c r="H68"/>
      <c r="I68"/>
      <c r="K68"/>
      <c r="L68"/>
      <c r="M68"/>
      <c r="N68"/>
      <c r="O68"/>
      <c r="P68"/>
      <c r="Q68"/>
      <c r="R68"/>
      <c r="S68"/>
      <c r="T68"/>
      <c r="V68"/>
      <c r="W68"/>
      <c r="X68"/>
      <c r="Y68"/>
      <c r="AA68"/>
    </row>
    <row r="69" spans="7:27" x14ac:dyDescent="0.25">
      <c r="G69"/>
      <c r="H69"/>
      <c r="I69"/>
      <c r="K69"/>
      <c r="L69"/>
      <c r="M69"/>
      <c r="N69"/>
      <c r="O69"/>
      <c r="P69"/>
      <c r="Q69"/>
      <c r="R69"/>
      <c r="S69"/>
      <c r="T69"/>
      <c r="V69"/>
      <c r="W69"/>
      <c r="X69"/>
      <c r="Y69"/>
      <c r="AA69"/>
    </row>
    <row r="70" spans="7:27" x14ac:dyDescent="0.25">
      <c r="G70"/>
      <c r="H70"/>
      <c r="I70"/>
      <c r="K70"/>
      <c r="L70"/>
      <c r="M70"/>
      <c r="N70"/>
      <c r="O70"/>
      <c r="P70"/>
      <c r="Q70"/>
      <c r="R70"/>
      <c r="S70"/>
      <c r="T70"/>
      <c r="V70"/>
      <c r="W70"/>
      <c r="X70"/>
      <c r="Y70"/>
      <c r="AA70"/>
    </row>
    <row r="71" spans="7:27" x14ac:dyDescent="0.25">
      <c r="G71"/>
      <c r="H71"/>
      <c r="I71"/>
      <c r="K71"/>
      <c r="L71"/>
      <c r="M71"/>
      <c r="N71"/>
      <c r="O71"/>
      <c r="P71"/>
      <c r="Q71"/>
      <c r="R71"/>
      <c r="S71"/>
      <c r="T71"/>
      <c r="V71"/>
      <c r="W71"/>
      <c r="X71"/>
      <c r="Y71"/>
      <c r="AA71"/>
    </row>
    <row r="72" spans="7:27" x14ac:dyDescent="0.25">
      <c r="G72"/>
      <c r="H72"/>
      <c r="I72"/>
      <c r="K72"/>
      <c r="L72"/>
      <c r="M72"/>
      <c r="N72"/>
      <c r="O72"/>
      <c r="P72"/>
      <c r="Q72"/>
      <c r="R72"/>
      <c r="S72"/>
      <c r="T72"/>
      <c r="V72"/>
      <c r="W72"/>
      <c r="X72"/>
      <c r="Y72"/>
      <c r="AA72"/>
    </row>
    <row r="73" spans="7:27" x14ac:dyDescent="0.25">
      <c r="G73"/>
      <c r="H73"/>
      <c r="I73"/>
      <c r="K73"/>
      <c r="L73"/>
      <c r="M73"/>
      <c r="N73"/>
      <c r="O73"/>
      <c r="P73"/>
      <c r="Q73"/>
      <c r="R73"/>
      <c r="S73"/>
      <c r="T73"/>
      <c r="V73"/>
      <c r="W73"/>
      <c r="X73"/>
      <c r="Y73"/>
      <c r="AA73"/>
    </row>
    <row r="74" spans="7:27" x14ac:dyDescent="0.25">
      <c r="G74"/>
      <c r="H74"/>
      <c r="I74"/>
      <c r="K74"/>
      <c r="L74"/>
      <c r="M74"/>
      <c r="N74"/>
      <c r="O74"/>
      <c r="P74"/>
      <c r="Q74"/>
      <c r="R74"/>
      <c r="S74"/>
      <c r="T74"/>
      <c r="V74"/>
      <c r="W74"/>
      <c r="X74"/>
      <c r="Y74"/>
      <c r="AA74"/>
    </row>
    <row r="75" spans="7:27" x14ac:dyDescent="0.25">
      <c r="G75"/>
      <c r="H75"/>
      <c r="I75"/>
      <c r="K75"/>
      <c r="L75"/>
      <c r="M75"/>
      <c r="N75"/>
      <c r="O75"/>
      <c r="P75"/>
      <c r="Q75"/>
      <c r="R75"/>
      <c r="S75"/>
      <c r="T75"/>
      <c r="V75"/>
      <c r="W75"/>
      <c r="X75"/>
      <c r="Y75"/>
      <c r="AA75"/>
    </row>
    <row r="76" spans="7:27" x14ac:dyDescent="0.25">
      <c r="G76"/>
      <c r="H76"/>
      <c r="I76"/>
      <c r="K76"/>
      <c r="L76"/>
      <c r="M76"/>
      <c r="N76"/>
      <c r="O76"/>
      <c r="P76"/>
      <c r="Q76"/>
      <c r="R76"/>
      <c r="S76"/>
      <c r="T76"/>
      <c r="V76"/>
      <c r="W76"/>
      <c r="X76"/>
      <c r="Y76"/>
      <c r="AA76"/>
    </row>
    <row r="77" spans="7:27" x14ac:dyDescent="0.25">
      <c r="G77"/>
      <c r="H77"/>
      <c r="I77"/>
      <c r="K77"/>
      <c r="L77"/>
      <c r="M77"/>
      <c r="N77"/>
      <c r="O77"/>
      <c r="P77"/>
      <c r="Q77"/>
      <c r="R77"/>
      <c r="S77"/>
      <c r="T77"/>
      <c r="V77"/>
      <c r="W77"/>
      <c r="X77"/>
      <c r="Y77"/>
      <c r="AA77"/>
    </row>
    <row r="78" spans="7:27" x14ac:dyDescent="0.25">
      <c r="G78"/>
      <c r="H78"/>
      <c r="I78"/>
      <c r="K78"/>
      <c r="L78"/>
      <c r="M78"/>
      <c r="N78"/>
      <c r="O78"/>
      <c r="P78"/>
      <c r="Q78"/>
      <c r="R78"/>
      <c r="S78"/>
      <c r="T78"/>
      <c r="V78"/>
      <c r="W78"/>
      <c r="X78"/>
      <c r="Y78"/>
      <c r="AA78"/>
    </row>
    <row r="79" spans="7:27" x14ac:dyDescent="0.25">
      <c r="G79"/>
      <c r="H79"/>
      <c r="I79"/>
      <c r="K79"/>
      <c r="L79"/>
      <c r="M79"/>
      <c r="N79"/>
      <c r="O79"/>
      <c r="P79"/>
      <c r="Q79"/>
      <c r="R79"/>
      <c r="S79"/>
      <c r="T79"/>
      <c r="V79"/>
      <c r="W79"/>
      <c r="X79"/>
      <c r="Y79"/>
      <c r="AA79"/>
    </row>
    <row r="80" spans="7:27" x14ac:dyDescent="0.25">
      <c r="G80"/>
      <c r="H80"/>
      <c r="I80"/>
      <c r="K80"/>
      <c r="L80"/>
      <c r="M80"/>
      <c r="N80"/>
      <c r="O80"/>
      <c r="P80"/>
      <c r="Q80"/>
      <c r="R80"/>
      <c r="S80"/>
      <c r="T80"/>
      <c r="V80"/>
      <c r="W80"/>
      <c r="X80"/>
      <c r="Y80"/>
      <c r="AA80"/>
    </row>
    <row r="81" spans="7:27" x14ac:dyDescent="0.25">
      <c r="G81"/>
      <c r="H81"/>
      <c r="I81"/>
      <c r="K81"/>
      <c r="L81"/>
      <c r="M81"/>
      <c r="N81"/>
      <c r="O81"/>
      <c r="P81"/>
      <c r="Q81"/>
      <c r="R81"/>
      <c r="S81"/>
      <c r="T81"/>
      <c r="V81"/>
      <c r="W81"/>
      <c r="X81"/>
      <c r="Y81"/>
      <c r="AA81"/>
    </row>
    <row r="82" spans="7:27" x14ac:dyDescent="0.25">
      <c r="G82"/>
      <c r="H82"/>
      <c r="I82"/>
      <c r="K82"/>
      <c r="L82"/>
      <c r="M82"/>
      <c r="N82"/>
      <c r="O82"/>
      <c r="P82"/>
      <c r="Q82"/>
      <c r="R82"/>
      <c r="S82"/>
      <c r="T82"/>
      <c r="V82"/>
      <c r="W82"/>
      <c r="X82"/>
      <c r="Y82"/>
      <c r="AA82"/>
    </row>
    <row r="83" spans="7:27" x14ac:dyDescent="0.25">
      <c r="G83"/>
      <c r="H83"/>
      <c r="I83"/>
      <c r="K83"/>
      <c r="L83"/>
      <c r="M83"/>
      <c r="N83"/>
      <c r="O83"/>
      <c r="P83"/>
      <c r="Q83"/>
      <c r="R83"/>
      <c r="S83"/>
      <c r="T83"/>
      <c r="V83"/>
      <c r="W83"/>
      <c r="X83"/>
      <c r="Y83"/>
      <c r="AA83"/>
    </row>
    <row r="84" spans="7:27" x14ac:dyDescent="0.25">
      <c r="G84"/>
      <c r="H84"/>
      <c r="I84"/>
      <c r="K84"/>
      <c r="L84"/>
      <c r="M84"/>
      <c r="N84"/>
      <c r="O84"/>
      <c r="P84"/>
      <c r="Q84"/>
      <c r="R84"/>
      <c r="S84"/>
      <c r="T84"/>
      <c r="V84"/>
      <c r="W84"/>
      <c r="X84"/>
      <c r="Y84"/>
      <c r="AA84"/>
    </row>
    <row r="85" spans="7:27" x14ac:dyDescent="0.25">
      <c r="G85"/>
      <c r="H85"/>
      <c r="I85"/>
      <c r="K85"/>
      <c r="L85"/>
      <c r="M85"/>
      <c r="N85"/>
      <c r="O85"/>
      <c r="P85"/>
      <c r="Q85"/>
      <c r="R85"/>
      <c r="S85"/>
      <c r="T85"/>
      <c r="V85"/>
      <c r="W85"/>
      <c r="X85"/>
      <c r="Y85"/>
      <c r="AA85"/>
    </row>
    <row r="86" spans="7:27" x14ac:dyDescent="0.25">
      <c r="G86"/>
      <c r="H86"/>
      <c r="I86"/>
      <c r="K86"/>
      <c r="L86"/>
      <c r="M86"/>
      <c r="N86"/>
      <c r="O86"/>
      <c r="P86"/>
      <c r="Q86"/>
      <c r="R86"/>
      <c r="S86"/>
      <c r="T86"/>
      <c r="V86"/>
      <c r="W86"/>
      <c r="X86"/>
      <c r="Y86"/>
      <c r="AA86"/>
    </row>
    <row r="87" spans="7:27" x14ac:dyDescent="0.25">
      <c r="G87"/>
      <c r="H87"/>
      <c r="I87"/>
      <c r="K87"/>
      <c r="L87"/>
      <c r="M87"/>
      <c r="N87"/>
      <c r="O87"/>
      <c r="P87"/>
      <c r="Q87"/>
      <c r="R87"/>
      <c r="S87"/>
      <c r="T87"/>
      <c r="V87"/>
      <c r="W87"/>
      <c r="X87"/>
      <c r="Y87"/>
      <c r="AA87"/>
    </row>
    <row r="88" spans="7:27" x14ac:dyDescent="0.25">
      <c r="G88"/>
      <c r="H88"/>
      <c r="I88"/>
      <c r="K88"/>
      <c r="L88"/>
      <c r="M88"/>
      <c r="N88"/>
      <c r="O88"/>
      <c r="P88"/>
      <c r="Q88"/>
      <c r="R88"/>
      <c r="S88"/>
      <c r="T88"/>
      <c r="V88"/>
      <c r="W88"/>
      <c r="X88"/>
      <c r="Y88"/>
      <c r="AA88"/>
    </row>
    <row r="89" spans="7:27" x14ac:dyDescent="0.25">
      <c r="G89"/>
      <c r="H89"/>
      <c r="I89"/>
      <c r="K89"/>
      <c r="L89"/>
      <c r="M89"/>
      <c r="N89"/>
      <c r="O89"/>
      <c r="P89"/>
      <c r="Q89"/>
      <c r="R89"/>
      <c r="S89"/>
      <c r="T89"/>
      <c r="V89"/>
      <c r="W89"/>
      <c r="X89"/>
      <c r="Y89"/>
      <c r="AA89"/>
    </row>
    <row r="90" spans="7:27" x14ac:dyDescent="0.25">
      <c r="G90"/>
      <c r="H90"/>
      <c r="I90"/>
      <c r="K90"/>
      <c r="L90"/>
      <c r="M90"/>
      <c r="N90"/>
      <c r="O90"/>
      <c r="P90"/>
      <c r="Q90"/>
      <c r="R90"/>
      <c r="S90"/>
      <c r="T90"/>
      <c r="V90"/>
      <c r="W90"/>
      <c r="X90"/>
      <c r="Y90"/>
      <c r="AA90"/>
    </row>
    <row r="91" spans="7:27" x14ac:dyDescent="0.25">
      <c r="G91"/>
      <c r="H91"/>
      <c r="I91"/>
      <c r="K91"/>
      <c r="L91"/>
      <c r="M91"/>
      <c r="N91"/>
      <c r="O91"/>
      <c r="P91"/>
      <c r="Q91"/>
      <c r="R91"/>
      <c r="S91"/>
      <c r="T91"/>
      <c r="V91"/>
      <c r="W91"/>
      <c r="X91"/>
      <c r="Y91"/>
      <c r="AA91"/>
    </row>
    <row r="92" spans="7:27" x14ac:dyDescent="0.25">
      <c r="G92"/>
      <c r="H92"/>
      <c r="I92"/>
      <c r="K92"/>
      <c r="L92"/>
      <c r="M92"/>
      <c r="N92"/>
      <c r="O92"/>
      <c r="P92"/>
      <c r="Q92"/>
      <c r="R92"/>
      <c r="S92"/>
      <c r="T92"/>
      <c r="V92"/>
      <c r="W92"/>
      <c r="X92"/>
      <c r="Y92"/>
      <c r="AA92"/>
    </row>
    <row r="93" spans="7:27" x14ac:dyDescent="0.25">
      <c r="G93"/>
      <c r="H93"/>
      <c r="I93"/>
      <c r="K93"/>
      <c r="L93"/>
      <c r="M93"/>
      <c r="N93"/>
      <c r="O93"/>
      <c r="P93"/>
      <c r="Q93"/>
      <c r="R93"/>
      <c r="S93"/>
      <c r="T93"/>
      <c r="V93"/>
      <c r="W93"/>
      <c r="X93"/>
      <c r="Y93"/>
      <c r="AA93"/>
    </row>
    <row r="94" spans="7:27" x14ac:dyDescent="0.25">
      <c r="G94"/>
      <c r="H94"/>
      <c r="I94"/>
      <c r="K94"/>
      <c r="L94"/>
      <c r="M94"/>
      <c r="N94"/>
      <c r="O94"/>
      <c r="P94"/>
      <c r="Q94"/>
      <c r="R94"/>
      <c r="S94"/>
      <c r="T94"/>
      <c r="V94"/>
      <c r="W94"/>
      <c r="X94"/>
      <c r="Y94"/>
      <c r="AA94"/>
    </row>
    <row r="95" spans="7:27" x14ac:dyDescent="0.25">
      <c r="G95"/>
      <c r="H95"/>
      <c r="I95"/>
      <c r="K95"/>
      <c r="L95"/>
      <c r="M95"/>
      <c r="N95"/>
      <c r="O95"/>
      <c r="P95"/>
      <c r="Q95"/>
      <c r="R95"/>
      <c r="S95"/>
      <c r="T95"/>
      <c r="V95"/>
      <c r="W95"/>
      <c r="X95"/>
      <c r="Y95"/>
      <c r="AA95"/>
    </row>
    <row r="96" spans="7:27" x14ac:dyDescent="0.25">
      <c r="G96"/>
      <c r="H96"/>
      <c r="I96"/>
      <c r="K96"/>
      <c r="L96"/>
      <c r="M96"/>
      <c r="N96"/>
      <c r="O96"/>
      <c r="P96"/>
      <c r="Q96"/>
      <c r="R96"/>
      <c r="S96"/>
      <c r="T96"/>
      <c r="V96"/>
      <c r="W96"/>
      <c r="X96"/>
      <c r="Y96"/>
      <c r="AA96"/>
    </row>
    <row r="97" spans="7:27" x14ac:dyDescent="0.25">
      <c r="G97"/>
      <c r="H97"/>
      <c r="I97"/>
      <c r="K97"/>
      <c r="L97"/>
      <c r="M97"/>
      <c r="N97"/>
      <c r="O97"/>
      <c r="P97"/>
      <c r="Q97"/>
      <c r="R97"/>
      <c r="S97"/>
      <c r="T97"/>
      <c r="V97"/>
      <c r="W97"/>
      <c r="X97"/>
      <c r="Y97"/>
      <c r="AA97"/>
    </row>
    <row r="98" spans="7:27" x14ac:dyDescent="0.25">
      <c r="G98"/>
      <c r="H98"/>
      <c r="I98"/>
      <c r="K98"/>
      <c r="L98"/>
      <c r="M98"/>
      <c r="N98"/>
      <c r="O98"/>
      <c r="P98"/>
      <c r="Q98"/>
      <c r="R98"/>
      <c r="S98"/>
      <c r="T98"/>
      <c r="V98"/>
      <c r="W98"/>
      <c r="X98"/>
      <c r="Y98"/>
      <c r="AA98"/>
    </row>
    <row r="99" spans="7:27" x14ac:dyDescent="0.25">
      <c r="G99"/>
      <c r="H99"/>
      <c r="I99"/>
      <c r="K99"/>
      <c r="L99"/>
      <c r="M99"/>
      <c r="N99"/>
      <c r="O99"/>
      <c r="P99"/>
      <c r="Q99"/>
      <c r="R99"/>
      <c r="S99"/>
      <c r="T99"/>
      <c r="V99"/>
      <c r="W99"/>
      <c r="X99"/>
      <c r="Y99"/>
      <c r="AA99"/>
    </row>
    <row r="100" spans="7:27" x14ac:dyDescent="0.25">
      <c r="G100"/>
      <c r="H100"/>
      <c r="I100"/>
      <c r="K100"/>
      <c r="L100"/>
      <c r="M100"/>
      <c r="N100"/>
      <c r="O100"/>
      <c r="P100"/>
      <c r="Q100"/>
      <c r="R100"/>
      <c r="S100"/>
      <c r="T100"/>
      <c r="V100"/>
      <c r="W100"/>
      <c r="X100"/>
      <c r="Y100"/>
      <c r="AA100"/>
    </row>
    <row r="101" spans="7:27" x14ac:dyDescent="0.25">
      <c r="G101"/>
      <c r="H101"/>
      <c r="I101"/>
      <c r="K101"/>
      <c r="L101"/>
      <c r="M101"/>
      <c r="N101"/>
      <c r="O101"/>
      <c r="P101"/>
      <c r="Q101"/>
      <c r="R101"/>
      <c r="S101"/>
      <c r="T101"/>
      <c r="V101"/>
      <c r="W101"/>
      <c r="X101"/>
      <c r="Y101"/>
      <c r="AA101"/>
    </row>
    <row r="102" spans="7:27" x14ac:dyDescent="0.25">
      <c r="G102"/>
      <c r="H102"/>
      <c r="I102"/>
      <c r="K102"/>
      <c r="L102"/>
      <c r="M102"/>
      <c r="N102"/>
      <c r="O102"/>
      <c r="P102"/>
      <c r="Q102"/>
      <c r="R102"/>
      <c r="S102"/>
      <c r="T102"/>
      <c r="V102"/>
      <c r="W102"/>
      <c r="X102"/>
      <c r="Y102"/>
      <c r="AA102"/>
    </row>
    <row r="103" spans="7:27" x14ac:dyDescent="0.25">
      <c r="G103"/>
      <c r="H103"/>
      <c r="I103"/>
      <c r="K103"/>
      <c r="L103"/>
      <c r="M103"/>
      <c r="N103"/>
      <c r="O103"/>
      <c r="P103"/>
      <c r="Q103"/>
      <c r="R103"/>
      <c r="S103"/>
      <c r="T103"/>
      <c r="V103"/>
      <c r="W103"/>
      <c r="X103"/>
      <c r="Y103"/>
      <c r="AA103"/>
    </row>
    <row r="104" spans="7:27" x14ac:dyDescent="0.25">
      <c r="G104"/>
      <c r="H104"/>
      <c r="I104"/>
      <c r="K104"/>
      <c r="L104"/>
      <c r="M104"/>
      <c r="N104"/>
      <c r="O104"/>
      <c r="P104"/>
      <c r="Q104"/>
      <c r="R104"/>
      <c r="S104"/>
      <c r="T104"/>
      <c r="V104"/>
      <c r="W104"/>
      <c r="X104"/>
      <c r="Y104"/>
      <c r="AA104"/>
    </row>
    <row r="105" spans="7:27" x14ac:dyDescent="0.25">
      <c r="G105"/>
      <c r="H105"/>
      <c r="I105"/>
      <c r="K105"/>
      <c r="L105"/>
      <c r="M105"/>
      <c r="N105"/>
      <c r="O105"/>
      <c r="P105"/>
      <c r="Q105"/>
      <c r="R105"/>
      <c r="S105"/>
      <c r="T105"/>
      <c r="V105"/>
      <c r="W105"/>
      <c r="X105"/>
      <c r="Y105"/>
      <c r="AA105"/>
    </row>
    <row r="106" spans="7:27" x14ac:dyDescent="0.25">
      <c r="G106"/>
      <c r="H106"/>
      <c r="I106"/>
      <c r="K106"/>
      <c r="L106"/>
      <c r="M106"/>
      <c r="N106"/>
      <c r="O106"/>
      <c r="P106"/>
      <c r="Q106"/>
      <c r="R106"/>
      <c r="S106"/>
      <c r="T106"/>
      <c r="V106"/>
      <c r="W106"/>
      <c r="X106"/>
      <c r="Y106"/>
      <c r="AA106"/>
    </row>
    <row r="107" spans="7:27" x14ac:dyDescent="0.25">
      <c r="G107"/>
      <c r="H107"/>
      <c r="I107"/>
      <c r="K107"/>
      <c r="L107"/>
      <c r="M107"/>
      <c r="N107"/>
      <c r="O107"/>
      <c r="P107"/>
      <c r="Q107"/>
      <c r="R107"/>
      <c r="S107"/>
      <c r="T107"/>
      <c r="V107"/>
      <c r="W107"/>
      <c r="X107"/>
      <c r="Y107"/>
      <c r="AA107"/>
    </row>
    <row r="108" spans="7:27" x14ac:dyDescent="0.25">
      <c r="G108"/>
      <c r="H108"/>
      <c r="I108"/>
      <c r="K108"/>
      <c r="L108"/>
      <c r="M108"/>
      <c r="N108"/>
      <c r="O108"/>
      <c r="P108"/>
      <c r="Q108"/>
      <c r="R108"/>
      <c r="S108"/>
      <c r="T108"/>
      <c r="V108"/>
      <c r="W108"/>
      <c r="X108"/>
      <c r="Y108"/>
      <c r="AA108"/>
    </row>
    <row r="109" spans="7:27" x14ac:dyDescent="0.25">
      <c r="G109"/>
      <c r="H109"/>
      <c r="I109"/>
      <c r="K109"/>
      <c r="L109"/>
      <c r="M109"/>
      <c r="N109"/>
      <c r="O109"/>
      <c r="P109"/>
      <c r="Q109"/>
      <c r="R109"/>
      <c r="S109"/>
      <c r="T109"/>
      <c r="V109"/>
      <c r="W109"/>
      <c r="X109"/>
      <c r="Y109"/>
      <c r="AA109"/>
    </row>
    <row r="110" spans="7:27" x14ac:dyDescent="0.25">
      <c r="G110"/>
      <c r="H110"/>
      <c r="I110"/>
      <c r="K110"/>
      <c r="L110"/>
      <c r="M110"/>
      <c r="N110"/>
      <c r="O110"/>
      <c r="P110"/>
      <c r="Q110"/>
      <c r="R110"/>
      <c r="S110"/>
      <c r="T110"/>
      <c r="V110"/>
      <c r="W110"/>
      <c r="X110"/>
      <c r="Y110"/>
      <c r="AA110"/>
    </row>
    <row r="111" spans="7:27" x14ac:dyDescent="0.25">
      <c r="G111"/>
      <c r="H111"/>
      <c r="I111"/>
      <c r="K111"/>
      <c r="L111"/>
      <c r="M111"/>
      <c r="N111"/>
      <c r="O111"/>
      <c r="P111"/>
      <c r="Q111"/>
      <c r="R111"/>
      <c r="S111"/>
      <c r="T111"/>
      <c r="V111"/>
      <c r="W111"/>
      <c r="X111"/>
      <c r="Y111"/>
      <c r="AA111"/>
    </row>
    <row r="112" spans="7:27" x14ac:dyDescent="0.25">
      <c r="G112"/>
      <c r="H112"/>
      <c r="I112"/>
      <c r="K112"/>
      <c r="L112"/>
      <c r="M112"/>
      <c r="N112"/>
      <c r="O112"/>
      <c r="P112"/>
      <c r="Q112"/>
      <c r="R112"/>
      <c r="S112"/>
      <c r="T112"/>
      <c r="V112"/>
      <c r="W112"/>
      <c r="X112"/>
      <c r="Y112"/>
      <c r="AA112"/>
    </row>
    <row r="113" spans="7:27" x14ac:dyDescent="0.25">
      <c r="G113"/>
      <c r="H113"/>
      <c r="I113"/>
      <c r="K113"/>
      <c r="L113"/>
      <c r="M113"/>
      <c r="N113"/>
      <c r="O113"/>
      <c r="P113"/>
      <c r="Q113"/>
      <c r="R113"/>
      <c r="S113"/>
      <c r="T113"/>
      <c r="V113"/>
      <c r="W113"/>
      <c r="X113"/>
      <c r="Y113"/>
      <c r="AA113"/>
    </row>
    <row r="114" spans="7:27" x14ac:dyDescent="0.25">
      <c r="G114"/>
      <c r="H114"/>
      <c r="I114"/>
      <c r="K114"/>
      <c r="L114"/>
      <c r="M114"/>
      <c r="N114"/>
      <c r="O114"/>
      <c r="P114"/>
      <c r="Q114"/>
      <c r="R114"/>
      <c r="S114"/>
      <c r="T114"/>
      <c r="V114"/>
      <c r="W114"/>
      <c r="X114"/>
      <c r="Y114"/>
      <c r="AA114"/>
    </row>
    <row r="115" spans="7:27" x14ac:dyDescent="0.25">
      <c r="G115"/>
      <c r="H115"/>
      <c r="I115"/>
      <c r="K115"/>
      <c r="L115"/>
      <c r="M115"/>
      <c r="N115"/>
      <c r="O115"/>
      <c r="P115"/>
      <c r="Q115"/>
      <c r="R115"/>
      <c r="S115"/>
      <c r="T115"/>
      <c r="V115"/>
      <c r="W115"/>
      <c r="X115"/>
      <c r="Y115"/>
      <c r="AA115"/>
    </row>
    <row r="116" spans="7:27" x14ac:dyDescent="0.25">
      <c r="G116"/>
      <c r="H116"/>
      <c r="I116"/>
      <c r="K116"/>
      <c r="L116"/>
      <c r="M116"/>
      <c r="N116"/>
      <c r="O116"/>
      <c r="P116"/>
      <c r="Q116"/>
      <c r="R116"/>
      <c r="S116"/>
      <c r="T116"/>
      <c r="V116"/>
      <c r="W116"/>
      <c r="X116"/>
      <c r="Y116"/>
      <c r="AA116"/>
    </row>
    <row r="117" spans="7:27" x14ac:dyDescent="0.25">
      <c r="G117"/>
      <c r="H117"/>
      <c r="I117"/>
      <c r="K117"/>
      <c r="L117"/>
      <c r="M117"/>
      <c r="N117"/>
      <c r="O117"/>
      <c r="P117"/>
      <c r="Q117"/>
      <c r="R117"/>
      <c r="S117"/>
      <c r="T117"/>
      <c r="V117"/>
      <c r="W117"/>
      <c r="X117"/>
      <c r="Y117"/>
      <c r="AA117"/>
    </row>
    <row r="118" spans="7:27" x14ac:dyDescent="0.25">
      <c r="G118"/>
      <c r="H118"/>
      <c r="I118"/>
      <c r="K118"/>
      <c r="L118"/>
      <c r="M118"/>
      <c r="N118"/>
      <c r="O118"/>
      <c r="P118"/>
      <c r="Q118"/>
      <c r="R118"/>
      <c r="S118"/>
      <c r="T118"/>
      <c r="V118"/>
      <c r="W118"/>
      <c r="X118"/>
      <c r="Y118"/>
      <c r="AA118"/>
    </row>
    <row r="119" spans="7:27" x14ac:dyDescent="0.25">
      <c r="G119"/>
      <c r="H119"/>
      <c r="I119"/>
      <c r="K119"/>
      <c r="L119"/>
      <c r="M119"/>
      <c r="N119"/>
      <c r="O119"/>
      <c r="P119"/>
      <c r="Q119"/>
      <c r="R119"/>
      <c r="S119"/>
      <c r="T119"/>
      <c r="V119"/>
      <c r="W119"/>
      <c r="X119"/>
      <c r="Y119"/>
      <c r="AA119"/>
    </row>
    <row r="120" spans="7:27" x14ac:dyDescent="0.25">
      <c r="G120"/>
      <c r="H120"/>
      <c r="I120"/>
      <c r="K120"/>
      <c r="L120"/>
      <c r="M120"/>
      <c r="N120"/>
      <c r="O120"/>
      <c r="P120"/>
      <c r="Q120"/>
      <c r="R120"/>
      <c r="S120"/>
      <c r="T120"/>
      <c r="V120"/>
      <c r="W120"/>
      <c r="X120"/>
      <c r="Y120"/>
      <c r="AA120"/>
    </row>
    <row r="121" spans="7:27" x14ac:dyDescent="0.25">
      <c r="G121"/>
      <c r="H121"/>
      <c r="I121"/>
      <c r="K121"/>
      <c r="L121"/>
      <c r="M121"/>
      <c r="N121"/>
      <c r="O121"/>
      <c r="P121"/>
      <c r="Q121"/>
      <c r="R121"/>
      <c r="S121"/>
      <c r="T121"/>
      <c r="V121"/>
      <c r="W121"/>
      <c r="X121"/>
      <c r="Y121"/>
      <c r="AA121"/>
    </row>
    <row r="122" spans="7:27" x14ac:dyDescent="0.25">
      <c r="G122"/>
      <c r="H122"/>
      <c r="I122"/>
      <c r="K122"/>
      <c r="L122"/>
      <c r="M122"/>
      <c r="N122"/>
      <c r="O122"/>
      <c r="P122"/>
      <c r="Q122"/>
      <c r="R122"/>
      <c r="S122"/>
      <c r="T122"/>
      <c r="V122"/>
      <c r="W122"/>
      <c r="X122"/>
      <c r="Y122"/>
      <c r="AA122"/>
    </row>
    <row r="123" spans="7:27" x14ac:dyDescent="0.25">
      <c r="G123"/>
      <c r="H123"/>
      <c r="I123"/>
      <c r="K123"/>
      <c r="L123"/>
      <c r="M123"/>
      <c r="N123"/>
      <c r="O123"/>
      <c r="P123"/>
      <c r="Q123"/>
      <c r="R123"/>
      <c r="S123"/>
      <c r="T123"/>
      <c r="V123"/>
      <c r="W123"/>
      <c r="X123"/>
      <c r="Y123"/>
      <c r="AA123"/>
    </row>
    <row r="124" spans="7:27" x14ac:dyDescent="0.25">
      <c r="G124"/>
      <c r="H124"/>
      <c r="I124"/>
      <c r="K124"/>
      <c r="L124"/>
      <c r="M124"/>
      <c r="N124"/>
      <c r="O124"/>
      <c r="P124"/>
      <c r="Q124"/>
      <c r="R124"/>
      <c r="S124"/>
      <c r="T124"/>
      <c r="V124"/>
      <c r="W124"/>
      <c r="X124"/>
      <c r="Y124"/>
      <c r="AA124"/>
    </row>
    <row r="125" spans="7:27" x14ac:dyDescent="0.25">
      <c r="G125"/>
      <c r="H125"/>
      <c r="I125"/>
      <c r="K125"/>
      <c r="L125"/>
      <c r="M125"/>
      <c r="N125"/>
      <c r="O125"/>
      <c r="P125"/>
      <c r="Q125"/>
      <c r="R125"/>
      <c r="S125"/>
      <c r="T125"/>
      <c r="V125"/>
      <c r="W125"/>
      <c r="X125"/>
      <c r="Y125"/>
      <c r="AA125"/>
    </row>
    <row r="126" spans="7:27" x14ac:dyDescent="0.25">
      <c r="G126"/>
      <c r="H126"/>
      <c r="I126"/>
      <c r="K126"/>
      <c r="L126"/>
      <c r="M126"/>
      <c r="N126"/>
      <c r="O126"/>
      <c r="P126"/>
      <c r="Q126"/>
      <c r="R126"/>
      <c r="S126"/>
      <c r="T126"/>
      <c r="V126"/>
      <c r="W126"/>
      <c r="X126"/>
      <c r="Y126"/>
      <c r="AA126"/>
    </row>
    <row r="127" spans="7:27" x14ac:dyDescent="0.25">
      <c r="G127"/>
      <c r="H127"/>
      <c r="I127"/>
      <c r="K127"/>
      <c r="L127"/>
      <c r="M127"/>
      <c r="N127"/>
      <c r="O127"/>
      <c r="P127"/>
      <c r="Q127"/>
      <c r="R127"/>
      <c r="S127"/>
      <c r="T127"/>
      <c r="V127"/>
      <c r="W127"/>
      <c r="X127"/>
      <c r="Y127"/>
      <c r="AA127"/>
    </row>
    <row r="128" spans="7:27" x14ac:dyDescent="0.25">
      <c r="G128"/>
      <c r="H128"/>
      <c r="I128"/>
      <c r="K128"/>
      <c r="L128"/>
      <c r="M128"/>
      <c r="N128"/>
      <c r="O128"/>
      <c r="P128"/>
      <c r="Q128"/>
      <c r="R128"/>
      <c r="S128"/>
      <c r="T128"/>
      <c r="V128"/>
      <c r="W128"/>
      <c r="X128"/>
      <c r="Y128"/>
      <c r="AA128"/>
    </row>
    <row r="129" spans="7:27" x14ac:dyDescent="0.25">
      <c r="G129"/>
      <c r="H129"/>
      <c r="I129"/>
      <c r="K129"/>
      <c r="L129"/>
      <c r="M129"/>
      <c r="N129"/>
      <c r="O129"/>
      <c r="P129"/>
      <c r="Q129"/>
      <c r="R129"/>
      <c r="S129"/>
      <c r="T129"/>
      <c r="V129"/>
      <c r="W129"/>
      <c r="X129"/>
      <c r="Y129"/>
      <c r="AA129"/>
    </row>
    <row r="130" spans="7:27" x14ac:dyDescent="0.25">
      <c r="G130"/>
      <c r="H130"/>
      <c r="I130"/>
      <c r="K130"/>
      <c r="L130"/>
      <c r="M130"/>
      <c r="N130"/>
      <c r="O130"/>
      <c r="P130"/>
      <c r="Q130"/>
      <c r="R130"/>
      <c r="S130"/>
      <c r="T130"/>
      <c r="V130"/>
      <c r="W130"/>
      <c r="X130"/>
      <c r="Y130"/>
      <c r="AA130"/>
    </row>
    <row r="131" spans="7:27" x14ac:dyDescent="0.25">
      <c r="G131"/>
      <c r="H131"/>
      <c r="I131"/>
      <c r="K131"/>
      <c r="L131"/>
      <c r="M131"/>
      <c r="N131"/>
      <c r="O131"/>
      <c r="P131"/>
      <c r="Q131"/>
      <c r="R131"/>
      <c r="S131"/>
      <c r="T131"/>
      <c r="V131"/>
      <c r="W131"/>
      <c r="X131"/>
      <c r="Y131"/>
      <c r="AA131"/>
    </row>
    <row r="132" spans="7:27" x14ac:dyDescent="0.25">
      <c r="G132"/>
      <c r="H132"/>
      <c r="I132"/>
      <c r="K132"/>
      <c r="L132"/>
      <c r="M132"/>
      <c r="N132"/>
      <c r="O132"/>
      <c r="P132"/>
      <c r="Q132"/>
      <c r="R132"/>
      <c r="S132"/>
      <c r="T132"/>
      <c r="V132"/>
      <c r="W132"/>
      <c r="X132"/>
      <c r="Y132"/>
      <c r="AA132"/>
    </row>
    <row r="133" spans="7:27" x14ac:dyDescent="0.25">
      <c r="G133"/>
      <c r="H133"/>
      <c r="I133"/>
      <c r="K133"/>
      <c r="L133"/>
      <c r="M133"/>
      <c r="N133"/>
      <c r="O133"/>
      <c r="P133"/>
      <c r="Q133"/>
      <c r="R133"/>
      <c r="S133"/>
      <c r="T133"/>
      <c r="V133"/>
      <c r="W133"/>
      <c r="X133"/>
      <c r="Y133"/>
      <c r="AA133"/>
    </row>
    <row r="134" spans="7:27" x14ac:dyDescent="0.25">
      <c r="G134"/>
      <c r="H134"/>
      <c r="I134"/>
      <c r="K134"/>
      <c r="L134"/>
      <c r="M134"/>
      <c r="N134"/>
      <c r="O134"/>
      <c r="P134"/>
      <c r="Q134"/>
      <c r="R134"/>
      <c r="S134"/>
      <c r="T134"/>
      <c r="V134"/>
      <c r="W134"/>
      <c r="X134"/>
      <c r="Y134"/>
      <c r="AA134"/>
    </row>
    <row r="135" spans="7:27" x14ac:dyDescent="0.25">
      <c r="G135"/>
      <c r="H135"/>
      <c r="I135"/>
      <c r="K135"/>
      <c r="L135"/>
      <c r="M135"/>
      <c r="N135"/>
      <c r="O135"/>
      <c r="P135"/>
      <c r="Q135"/>
      <c r="R135"/>
      <c r="S135"/>
      <c r="T135"/>
      <c r="V135"/>
      <c r="W135"/>
      <c r="X135"/>
      <c r="Y135"/>
      <c r="AA135"/>
    </row>
    <row r="136" spans="7:27" x14ac:dyDescent="0.25">
      <c r="G136"/>
      <c r="H136"/>
      <c r="I136"/>
      <c r="K136"/>
      <c r="L136"/>
      <c r="M136"/>
      <c r="N136"/>
      <c r="O136"/>
      <c r="P136"/>
      <c r="Q136"/>
      <c r="R136"/>
      <c r="S136"/>
      <c r="T136"/>
      <c r="V136"/>
      <c r="W136"/>
      <c r="X136"/>
      <c r="Y136"/>
      <c r="AA136"/>
    </row>
    <row r="137" spans="7:27" x14ac:dyDescent="0.25">
      <c r="G137"/>
      <c r="H137"/>
      <c r="I137"/>
      <c r="K137"/>
      <c r="L137"/>
      <c r="M137"/>
      <c r="N137"/>
      <c r="O137"/>
      <c r="P137"/>
      <c r="Q137"/>
      <c r="R137"/>
      <c r="S137"/>
      <c r="T137"/>
      <c r="V137"/>
      <c r="W137"/>
      <c r="X137"/>
      <c r="Y137"/>
      <c r="AA137"/>
    </row>
    <row r="138" spans="7:27" x14ac:dyDescent="0.25">
      <c r="G138"/>
      <c r="H138"/>
      <c r="I138"/>
      <c r="K138"/>
      <c r="L138"/>
      <c r="M138"/>
      <c r="N138"/>
      <c r="O138"/>
      <c r="P138"/>
      <c r="Q138"/>
      <c r="R138"/>
      <c r="S138"/>
      <c r="T138"/>
      <c r="V138"/>
      <c r="W138"/>
      <c r="X138"/>
      <c r="Y138"/>
      <c r="AA138"/>
    </row>
    <row r="139" spans="7:27" x14ac:dyDescent="0.25">
      <c r="G139"/>
      <c r="H139"/>
      <c r="I139"/>
      <c r="K139"/>
      <c r="L139"/>
      <c r="M139"/>
      <c r="N139"/>
      <c r="O139"/>
      <c r="P139"/>
      <c r="Q139"/>
      <c r="R139"/>
      <c r="S139"/>
      <c r="T139"/>
      <c r="V139"/>
      <c r="W139"/>
      <c r="X139"/>
      <c r="Y139"/>
      <c r="AA139"/>
    </row>
    <row r="140" spans="7:27" x14ac:dyDescent="0.25">
      <c r="G140"/>
      <c r="H140"/>
      <c r="I140"/>
      <c r="K140"/>
      <c r="L140"/>
      <c r="M140"/>
      <c r="N140"/>
      <c r="O140"/>
      <c r="P140"/>
      <c r="Q140"/>
      <c r="R140"/>
      <c r="S140"/>
      <c r="T140"/>
      <c r="V140"/>
      <c r="W140"/>
      <c r="X140"/>
      <c r="Y140"/>
      <c r="AA140"/>
    </row>
    <row r="141" spans="7:27" x14ac:dyDescent="0.25">
      <c r="G141"/>
      <c r="H141"/>
      <c r="I141"/>
      <c r="K141"/>
      <c r="L141"/>
      <c r="M141"/>
      <c r="N141"/>
      <c r="O141"/>
      <c r="P141"/>
      <c r="Q141"/>
      <c r="R141"/>
      <c r="S141"/>
      <c r="T141"/>
      <c r="V141"/>
      <c r="W141"/>
      <c r="X141"/>
      <c r="Y141"/>
      <c r="AA141"/>
    </row>
    <row r="142" spans="7:27" x14ac:dyDescent="0.25">
      <c r="G142"/>
      <c r="H142"/>
      <c r="I142"/>
      <c r="K142"/>
      <c r="L142"/>
      <c r="M142"/>
      <c r="N142"/>
      <c r="O142"/>
      <c r="P142"/>
      <c r="Q142"/>
      <c r="R142"/>
      <c r="S142"/>
      <c r="T142"/>
      <c r="V142"/>
      <c r="W142"/>
      <c r="X142"/>
      <c r="Y142"/>
      <c r="AA142"/>
    </row>
    <row r="143" spans="7:27" x14ac:dyDescent="0.25">
      <c r="G143"/>
      <c r="H143"/>
      <c r="I143"/>
      <c r="K143"/>
      <c r="L143"/>
      <c r="M143"/>
      <c r="N143"/>
      <c r="O143"/>
      <c r="P143"/>
      <c r="Q143"/>
      <c r="R143"/>
      <c r="S143"/>
      <c r="T143"/>
      <c r="V143"/>
      <c r="W143"/>
      <c r="X143"/>
      <c r="Y143"/>
      <c r="AA143"/>
    </row>
    <row r="144" spans="7:27" x14ac:dyDescent="0.25">
      <c r="G144"/>
      <c r="H144"/>
      <c r="I144"/>
      <c r="K144"/>
      <c r="L144"/>
      <c r="M144"/>
      <c r="N144"/>
      <c r="O144"/>
      <c r="P144"/>
      <c r="Q144"/>
      <c r="R144"/>
      <c r="S144"/>
      <c r="T144"/>
      <c r="V144"/>
      <c r="W144"/>
      <c r="X144"/>
      <c r="Y144"/>
      <c r="AA144"/>
    </row>
    <row r="145" spans="7:27" x14ac:dyDescent="0.25">
      <c r="G145"/>
      <c r="H145"/>
      <c r="I145"/>
      <c r="K145"/>
      <c r="L145"/>
      <c r="M145"/>
      <c r="N145"/>
      <c r="O145"/>
      <c r="P145"/>
      <c r="Q145"/>
      <c r="R145"/>
      <c r="S145"/>
      <c r="T145"/>
      <c r="V145"/>
      <c r="W145"/>
      <c r="X145"/>
      <c r="Y145"/>
      <c r="AA145"/>
    </row>
    <row r="146" spans="7:27" x14ac:dyDescent="0.25">
      <c r="G146"/>
      <c r="H146"/>
      <c r="I146"/>
      <c r="K146"/>
      <c r="L146"/>
      <c r="M146"/>
      <c r="N146"/>
      <c r="O146"/>
      <c r="P146"/>
      <c r="Q146"/>
      <c r="R146"/>
      <c r="S146"/>
      <c r="T146"/>
      <c r="V146"/>
      <c r="W146"/>
      <c r="X146"/>
      <c r="Y146"/>
      <c r="AA146"/>
    </row>
    <row r="147" spans="7:27" x14ac:dyDescent="0.25">
      <c r="G147"/>
      <c r="H147"/>
      <c r="I147"/>
      <c r="K147"/>
      <c r="L147"/>
      <c r="M147"/>
      <c r="N147"/>
      <c r="O147"/>
      <c r="P147"/>
      <c r="Q147"/>
      <c r="R147"/>
      <c r="S147"/>
      <c r="T147"/>
      <c r="V147"/>
      <c r="W147"/>
      <c r="X147"/>
      <c r="Y147"/>
      <c r="AA147"/>
    </row>
    <row r="148" spans="7:27" x14ac:dyDescent="0.25">
      <c r="G148"/>
      <c r="H148"/>
      <c r="I148"/>
      <c r="K148"/>
      <c r="L148"/>
      <c r="M148"/>
      <c r="N148"/>
      <c r="O148"/>
      <c r="P148"/>
      <c r="Q148"/>
      <c r="R148"/>
      <c r="S148"/>
      <c r="T148"/>
      <c r="V148"/>
      <c r="W148"/>
      <c r="X148"/>
      <c r="Y148"/>
      <c r="AA148"/>
    </row>
    <row r="149" spans="7:27" x14ac:dyDescent="0.25">
      <c r="G149"/>
      <c r="H149"/>
      <c r="I149"/>
      <c r="K149"/>
      <c r="L149"/>
      <c r="M149"/>
      <c r="N149"/>
      <c r="O149"/>
      <c r="P149"/>
      <c r="Q149"/>
      <c r="R149"/>
      <c r="S149"/>
      <c r="T149"/>
      <c r="V149"/>
      <c r="W149"/>
      <c r="X149"/>
      <c r="Y149"/>
      <c r="AA149"/>
    </row>
    <row r="150" spans="7:27" x14ac:dyDescent="0.25">
      <c r="G150"/>
      <c r="H150"/>
      <c r="I150"/>
      <c r="K150"/>
      <c r="L150"/>
      <c r="M150"/>
      <c r="N150"/>
      <c r="O150"/>
      <c r="P150"/>
      <c r="Q150"/>
      <c r="R150"/>
      <c r="S150"/>
      <c r="T150"/>
      <c r="V150"/>
      <c r="W150"/>
      <c r="X150"/>
      <c r="Y150"/>
      <c r="AA150"/>
    </row>
    <row r="151" spans="7:27" x14ac:dyDescent="0.25">
      <c r="G151"/>
      <c r="H151"/>
      <c r="I151"/>
      <c r="K151"/>
      <c r="L151"/>
      <c r="M151"/>
      <c r="N151"/>
      <c r="O151"/>
      <c r="P151"/>
      <c r="Q151"/>
      <c r="R151"/>
      <c r="S151"/>
      <c r="T151"/>
      <c r="V151"/>
      <c r="W151"/>
      <c r="X151"/>
      <c r="Y151"/>
      <c r="AA151"/>
    </row>
    <row r="152" spans="7:27" x14ac:dyDescent="0.25">
      <c r="G152"/>
      <c r="H152"/>
      <c r="I152"/>
      <c r="K152"/>
      <c r="L152"/>
      <c r="M152"/>
      <c r="N152"/>
      <c r="O152"/>
      <c r="P152"/>
      <c r="Q152"/>
      <c r="R152"/>
      <c r="S152"/>
      <c r="T152"/>
      <c r="V152"/>
      <c r="W152"/>
      <c r="X152"/>
      <c r="Y152"/>
      <c r="AA152"/>
    </row>
    <row r="153" spans="7:27" x14ac:dyDescent="0.25">
      <c r="G153"/>
      <c r="H153"/>
      <c r="I153"/>
      <c r="K153"/>
      <c r="L153"/>
      <c r="M153"/>
      <c r="N153"/>
      <c r="O153"/>
      <c r="P153"/>
      <c r="Q153"/>
      <c r="R153"/>
      <c r="S153"/>
      <c r="T153"/>
      <c r="V153"/>
      <c r="W153"/>
      <c r="X153"/>
      <c r="Y153"/>
      <c r="AA153"/>
    </row>
    <row r="154" spans="7:27" x14ac:dyDescent="0.25">
      <c r="G154"/>
      <c r="H154"/>
      <c r="I154"/>
      <c r="K154"/>
      <c r="L154"/>
      <c r="M154"/>
      <c r="N154"/>
      <c r="O154"/>
      <c r="P154"/>
      <c r="Q154"/>
      <c r="R154"/>
      <c r="S154"/>
      <c r="T154"/>
      <c r="V154"/>
      <c r="W154"/>
      <c r="X154"/>
      <c r="Y154"/>
      <c r="AA154"/>
    </row>
    <row r="155" spans="7:27" x14ac:dyDescent="0.25">
      <c r="G155"/>
      <c r="H155"/>
      <c r="I155"/>
      <c r="K155"/>
      <c r="L155"/>
      <c r="M155"/>
      <c r="N155"/>
      <c r="O155"/>
      <c r="P155"/>
      <c r="Q155"/>
      <c r="R155"/>
      <c r="S155"/>
      <c r="T155"/>
      <c r="V155"/>
      <c r="W155"/>
      <c r="X155"/>
      <c r="Y155"/>
      <c r="AA155"/>
    </row>
    <row r="156" spans="7:27" x14ac:dyDescent="0.25">
      <c r="G156"/>
      <c r="H156"/>
      <c r="I156"/>
      <c r="K156"/>
      <c r="L156"/>
      <c r="M156"/>
      <c r="N156"/>
      <c r="O156"/>
      <c r="P156"/>
      <c r="Q156"/>
      <c r="R156"/>
      <c r="S156"/>
      <c r="T156"/>
      <c r="V156"/>
      <c r="W156"/>
      <c r="X156"/>
      <c r="Y156"/>
      <c r="AA156"/>
    </row>
    <row r="157" spans="7:27" x14ac:dyDescent="0.25">
      <c r="G157"/>
      <c r="H157"/>
      <c r="I157"/>
      <c r="K157"/>
      <c r="L157"/>
      <c r="M157"/>
      <c r="N157"/>
      <c r="O157"/>
      <c r="P157"/>
      <c r="Q157"/>
      <c r="R157"/>
      <c r="S157"/>
      <c r="T157"/>
      <c r="V157"/>
      <c r="W157"/>
      <c r="X157"/>
      <c r="Y157"/>
      <c r="AA157"/>
    </row>
    <row r="158" spans="7:27" x14ac:dyDescent="0.25">
      <c r="G158"/>
      <c r="H158"/>
      <c r="I158"/>
      <c r="K158"/>
      <c r="L158"/>
      <c r="M158"/>
      <c r="N158"/>
      <c r="O158"/>
      <c r="P158"/>
      <c r="Q158"/>
      <c r="R158"/>
      <c r="S158"/>
      <c r="T158"/>
      <c r="V158"/>
      <c r="W158"/>
      <c r="X158"/>
      <c r="Y158"/>
      <c r="AA158"/>
    </row>
    <row r="159" spans="7:27" x14ac:dyDescent="0.25">
      <c r="G159"/>
      <c r="H159"/>
      <c r="I159"/>
      <c r="K159"/>
      <c r="L159"/>
      <c r="M159"/>
      <c r="N159"/>
      <c r="O159"/>
      <c r="P159"/>
      <c r="Q159"/>
      <c r="R159"/>
      <c r="S159"/>
      <c r="T159"/>
      <c r="V159"/>
      <c r="W159"/>
      <c r="X159"/>
      <c r="Y159"/>
      <c r="AA159"/>
    </row>
    <row r="160" spans="7:27" x14ac:dyDescent="0.25">
      <c r="G160"/>
      <c r="H160"/>
      <c r="I160"/>
      <c r="K160"/>
      <c r="L160"/>
      <c r="M160"/>
      <c r="N160"/>
      <c r="O160"/>
      <c r="P160"/>
      <c r="Q160"/>
      <c r="R160"/>
      <c r="S160"/>
      <c r="T160"/>
      <c r="V160"/>
      <c r="W160"/>
      <c r="X160"/>
      <c r="Y160"/>
      <c r="AA160"/>
    </row>
    <row r="161" spans="7:27" x14ac:dyDescent="0.25">
      <c r="G161"/>
      <c r="H161"/>
      <c r="I161"/>
      <c r="K161"/>
      <c r="L161"/>
      <c r="M161"/>
      <c r="N161"/>
      <c r="O161"/>
      <c r="P161"/>
      <c r="Q161"/>
      <c r="R161"/>
      <c r="S161"/>
      <c r="T161"/>
      <c r="V161"/>
      <c r="W161"/>
      <c r="X161"/>
      <c r="Y161"/>
      <c r="AA161"/>
    </row>
    <row r="162" spans="7:27" x14ac:dyDescent="0.25">
      <c r="G162"/>
      <c r="H162"/>
      <c r="I162"/>
      <c r="K162"/>
      <c r="L162"/>
      <c r="M162"/>
      <c r="N162"/>
      <c r="O162"/>
      <c r="P162"/>
      <c r="Q162"/>
      <c r="R162"/>
      <c r="S162"/>
      <c r="T162"/>
      <c r="V162"/>
      <c r="W162"/>
      <c r="X162"/>
      <c r="Y162"/>
      <c r="AA162"/>
    </row>
    <row r="163" spans="7:27" x14ac:dyDescent="0.25">
      <c r="G163"/>
      <c r="H163"/>
      <c r="I163"/>
      <c r="K163"/>
      <c r="L163"/>
      <c r="M163"/>
      <c r="N163"/>
      <c r="O163"/>
      <c r="P163"/>
      <c r="Q163"/>
      <c r="R163"/>
      <c r="S163"/>
      <c r="T163"/>
      <c r="V163"/>
      <c r="W163"/>
      <c r="X163"/>
      <c r="Y163"/>
      <c r="AA163"/>
    </row>
    <row r="164" spans="7:27" x14ac:dyDescent="0.25">
      <c r="G164"/>
      <c r="H164"/>
      <c r="I164"/>
      <c r="K164"/>
      <c r="L164"/>
      <c r="M164"/>
      <c r="N164"/>
      <c r="O164"/>
      <c r="P164"/>
      <c r="Q164"/>
      <c r="R164"/>
      <c r="S164"/>
      <c r="T164"/>
      <c r="V164"/>
      <c r="W164"/>
      <c r="X164"/>
      <c r="Y164"/>
      <c r="AA164"/>
    </row>
    <row r="165" spans="7:27" x14ac:dyDescent="0.25">
      <c r="G165"/>
      <c r="H165"/>
      <c r="I165"/>
      <c r="K165"/>
      <c r="L165"/>
      <c r="M165"/>
      <c r="N165"/>
      <c r="O165"/>
      <c r="P165"/>
      <c r="Q165"/>
      <c r="R165"/>
      <c r="S165"/>
      <c r="T165"/>
      <c r="V165"/>
      <c r="W165"/>
      <c r="X165"/>
      <c r="Y165"/>
      <c r="AA165"/>
    </row>
    <row r="166" spans="7:27" x14ac:dyDescent="0.25">
      <c r="G166"/>
      <c r="H166"/>
      <c r="I166"/>
      <c r="K166"/>
      <c r="L166"/>
      <c r="M166"/>
      <c r="N166"/>
      <c r="O166"/>
      <c r="P166"/>
      <c r="Q166"/>
      <c r="R166"/>
      <c r="S166"/>
      <c r="T166"/>
      <c r="V166"/>
      <c r="W166"/>
      <c r="X166"/>
      <c r="Y166"/>
      <c r="AA166"/>
    </row>
    <row r="167" spans="7:27" x14ac:dyDescent="0.25">
      <c r="G167"/>
      <c r="H167"/>
      <c r="I167"/>
      <c r="K167"/>
      <c r="L167"/>
      <c r="M167"/>
      <c r="N167"/>
      <c r="O167"/>
      <c r="P167"/>
      <c r="Q167"/>
      <c r="R167"/>
      <c r="S167"/>
      <c r="T167"/>
      <c r="V167"/>
      <c r="W167"/>
      <c r="X167"/>
      <c r="Y167"/>
      <c r="AA167"/>
    </row>
    <row r="168" spans="7:27" x14ac:dyDescent="0.25">
      <c r="G168"/>
      <c r="H168"/>
      <c r="I168"/>
      <c r="K168"/>
      <c r="L168"/>
      <c r="M168"/>
      <c r="N168"/>
      <c r="O168"/>
      <c r="P168"/>
      <c r="Q168"/>
      <c r="R168"/>
      <c r="S168"/>
      <c r="T168"/>
      <c r="V168"/>
      <c r="W168"/>
      <c r="X168"/>
      <c r="Y168"/>
      <c r="AA168"/>
    </row>
    <row r="169" spans="7:27" x14ac:dyDescent="0.25">
      <c r="G169"/>
      <c r="H169"/>
      <c r="I169"/>
      <c r="K169"/>
      <c r="L169"/>
      <c r="M169"/>
      <c r="N169"/>
      <c r="O169"/>
      <c r="P169"/>
      <c r="Q169"/>
      <c r="R169"/>
      <c r="S169"/>
      <c r="T169"/>
      <c r="V169"/>
      <c r="W169"/>
      <c r="X169"/>
      <c r="Y169"/>
      <c r="AA169"/>
    </row>
    <row r="170" spans="7:27" x14ac:dyDescent="0.25">
      <c r="G170"/>
      <c r="H170"/>
      <c r="I170"/>
      <c r="K170"/>
      <c r="L170"/>
      <c r="M170"/>
      <c r="N170"/>
      <c r="O170"/>
      <c r="P170"/>
      <c r="Q170"/>
      <c r="R170"/>
      <c r="S170"/>
      <c r="T170"/>
      <c r="V170"/>
      <c r="W170"/>
      <c r="X170"/>
      <c r="Y170"/>
      <c r="AA170"/>
    </row>
    <row r="171" spans="7:27" x14ac:dyDescent="0.25">
      <c r="G171"/>
      <c r="H171"/>
      <c r="I171"/>
      <c r="K171"/>
      <c r="L171"/>
      <c r="M171"/>
      <c r="N171"/>
      <c r="O171"/>
      <c r="P171"/>
      <c r="Q171"/>
      <c r="R171"/>
      <c r="S171"/>
      <c r="T171"/>
      <c r="V171"/>
      <c r="W171"/>
      <c r="X171"/>
      <c r="Y171"/>
      <c r="AA171"/>
    </row>
    <row r="172" spans="7:27" x14ac:dyDescent="0.25">
      <c r="G172"/>
      <c r="H172"/>
      <c r="I172"/>
      <c r="K172"/>
      <c r="L172"/>
      <c r="M172"/>
      <c r="N172"/>
      <c r="O172"/>
      <c r="P172"/>
      <c r="Q172"/>
      <c r="R172"/>
      <c r="S172"/>
      <c r="T172"/>
      <c r="V172"/>
      <c r="W172"/>
      <c r="X172"/>
      <c r="Y172"/>
      <c r="AA172"/>
    </row>
    <row r="173" spans="7:27" x14ac:dyDescent="0.25">
      <c r="G173"/>
      <c r="H173"/>
      <c r="I173"/>
      <c r="K173"/>
      <c r="L173"/>
      <c r="M173"/>
      <c r="N173"/>
      <c r="O173"/>
      <c r="P173"/>
      <c r="Q173"/>
      <c r="R173"/>
      <c r="S173"/>
      <c r="T173"/>
      <c r="V173"/>
      <c r="W173"/>
      <c r="X173"/>
      <c r="Y173"/>
      <c r="AA173"/>
    </row>
    <row r="174" spans="7:27" x14ac:dyDescent="0.25">
      <c r="G174"/>
      <c r="H174"/>
      <c r="I174"/>
      <c r="K174"/>
      <c r="L174"/>
      <c r="M174"/>
      <c r="N174"/>
      <c r="O174"/>
      <c r="P174"/>
      <c r="Q174"/>
      <c r="R174"/>
      <c r="S174"/>
      <c r="T174"/>
      <c r="V174"/>
      <c r="W174"/>
      <c r="X174"/>
      <c r="Y174"/>
      <c r="AA174"/>
    </row>
    <row r="175" spans="7:27" x14ac:dyDescent="0.25">
      <c r="G175"/>
      <c r="H175"/>
      <c r="I175"/>
      <c r="K175"/>
      <c r="L175"/>
      <c r="M175"/>
      <c r="N175"/>
      <c r="O175"/>
      <c r="P175"/>
      <c r="Q175"/>
      <c r="R175"/>
      <c r="S175"/>
      <c r="T175"/>
      <c r="V175"/>
      <c r="W175"/>
      <c r="X175"/>
      <c r="Y175"/>
      <c r="AA175"/>
    </row>
    <row r="176" spans="7:27" x14ac:dyDescent="0.25">
      <c r="G176"/>
      <c r="H176"/>
      <c r="I176"/>
      <c r="K176"/>
      <c r="L176"/>
      <c r="M176"/>
      <c r="N176"/>
      <c r="O176"/>
      <c r="P176"/>
      <c r="Q176"/>
      <c r="R176"/>
      <c r="S176"/>
      <c r="T176"/>
      <c r="V176"/>
      <c r="W176"/>
      <c r="X176"/>
      <c r="Y176"/>
      <c r="AA176"/>
    </row>
    <row r="177" spans="7:27" x14ac:dyDescent="0.25">
      <c r="G177"/>
      <c r="H177"/>
      <c r="I177"/>
      <c r="K177"/>
      <c r="L177"/>
      <c r="M177"/>
      <c r="N177"/>
      <c r="O177"/>
      <c r="P177"/>
      <c r="Q177"/>
      <c r="R177"/>
      <c r="S177"/>
      <c r="T177"/>
      <c r="V177"/>
      <c r="W177"/>
      <c r="X177"/>
      <c r="Y177"/>
      <c r="AA177"/>
    </row>
    <row r="178" spans="7:27" x14ac:dyDescent="0.25">
      <c r="G178"/>
      <c r="H178"/>
      <c r="I178"/>
      <c r="K178"/>
      <c r="L178"/>
      <c r="M178"/>
      <c r="N178"/>
      <c r="O178"/>
      <c r="P178"/>
      <c r="Q178"/>
      <c r="R178"/>
      <c r="S178"/>
      <c r="T178"/>
      <c r="V178"/>
      <c r="W178"/>
      <c r="X178"/>
      <c r="Y178"/>
      <c r="AA178"/>
    </row>
    <row r="179" spans="7:27" x14ac:dyDescent="0.25">
      <c r="G179"/>
      <c r="H179"/>
      <c r="I179"/>
      <c r="K179"/>
      <c r="L179"/>
      <c r="M179"/>
      <c r="N179"/>
      <c r="O179"/>
      <c r="P179"/>
      <c r="Q179"/>
      <c r="R179"/>
      <c r="S179"/>
      <c r="T179"/>
      <c r="V179"/>
      <c r="W179"/>
      <c r="X179"/>
      <c r="Y179"/>
      <c r="AA179"/>
    </row>
    <row r="180" spans="7:27" x14ac:dyDescent="0.25">
      <c r="G180"/>
      <c r="H180"/>
      <c r="I180"/>
      <c r="K180"/>
      <c r="L180"/>
      <c r="M180"/>
      <c r="N180"/>
      <c r="O180"/>
      <c r="P180"/>
      <c r="Q180"/>
      <c r="R180"/>
      <c r="S180"/>
      <c r="T180"/>
      <c r="V180"/>
      <c r="W180"/>
      <c r="X180"/>
      <c r="Y180"/>
      <c r="AA180"/>
    </row>
    <row r="181" spans="7:27" x14ac:dyDescent="0.25">
      <c r="G181"/>
      <c r="H181"/>
      <c r="I181"/>
      <c r="K181"/>
      <c r="L181"/>
      <c r="M181"/>
      <c r="N181"/>
      <c r="O181"/>
      <c r="P181"/>
      <c r="Q181"/>
      <c r="R181"/>
      <c r="S181"/>
      <c r="T181"/>
      <c r="V181"/>
      <c r="W181"/>
      <c r="X181"/>
      <c r="Y181"/>
      <c r="AA181"/>
    </row>
    <row r="182" spans="7:27" x14ac:dyDescent="0.25">
      <c r="G182"/>
      <c r="H182"/>
      <c r="I182"/>
      <c r="K182"/>
      <c r="L182"/>
      <c r="M182"/>
      <c r="N182"/>
      <c r="O182"/>
      <c r="P182"/>
      <c r="Q182"/>
      <c r="R182"/>
      <c r="S182"/>
      <c r="T182"/>
      <c r="V182"/>
      <c r="W182"/>
      <c r="X182"/>
      <c r="Y182"/>
      <c r="AA182"/>
    </row>
    <row r="183" spans="7:27" x14ac:dyDescent="0.25">
      <c r="G183"/>
      <c r="H183"/>
      <c r="I183"/>
      <c r="K183"/>
      <c r="L183"/>
      <c r="M183"/>
      <c r="N183"/>
      <c r="O183"/>
      <c r="P183"/>
      <c r="Q183"/>
      <c r="R183"/>
      <c r="S183"/>
      <c r="T183"/>
      <c r="V183"/>
      <c r="W183"/>
      <c r="X183"/>
      <c r="Y183"/>
      <c r="AA183"/>
    </row>
    <row r="184" spans="7:27" x14ac:dyDescent="0.25">
      <c r="G184"/>
      <c r="H184"/>
      <c r="I184"/>
      <c r="K184"/>
      <c r="L184"/>
      <c r="M184"/>
      <c r="N184"/>
      <c r="O184"/>
      <c r="P184"/>
      <c r="Q184"/>
      <c r="R184"/>
      <c r="S184"/>
      <c r="T184"/>
      <c r="V184"/>
      <c r="W184"/>
      <c r="X184"/>
      <c r="Y184"/>
      <c r="AA184"/>
    </row>
    <row r="185" spans="7:27" x14ac:dyDescent="0.25">
      <c r="G185"/>
      <c r="H185"/>
      <c r="I185"/>
      <c r="K185"/>
      <c r="L185"/>
      <c r="M185"/>
      <c r="N185"/>
      <c r="O185"/>
      <c r="P185"/>
      <c r="Q185"/>
      <c r="R185"/>
      <c r="S185"/>
      <c r="T185"/>
      <c r="V185"/>
      <c r="W185"/>
      <c r="X185"/>
      <c r="Y185"/>
      <c r="AA185"/>
    </row>
    <row r="186" spans="7:27" x14ac:dyDescent="0.25">
      <c r="G186"/>
      <c r="H186"/>
      <c r="I186"/>
      <c r="K186"/>
      <c r="L186"/>
      <c r="M186"/>
      <c r="N186"/>
      <c r="O186"/>
      <c r="P186"/>
      <c r="Q186"/>
      <c r="R186"/>
      <c r="S186"/>
      <c r="T186"/>
      <c r="V186"/>
      <c r="W186"/>
      <c r="X186"/>
      <c r="Y186"/>
      <c r="AA186"/>
    </row>
    <row r="187" spans="7:27" x14ac:dyDescent="0.25">
      <c r="G187"/>
      <c r="H187"/>
      <c r="I187"/>
      <c r="K187"/>
      <c r="L187"/>
      <c r="M187"/>
      <c r="N187"/>
      <c r="O187"/>
      <c r="P187"/>
      <c r="Q187"/>
      <c r="R187"/>
      <c r="S187"/>
      <c r="T187"/>
      <c r="V187"/>
      <c r="W187"/>
      <c r="X187"/>
      <c r="Y187"/>
      <c r="AA187"/>
    </row>
    <row r="188" spans="7:27" x14ac:dyDescent="0.25">
      <c r="G188"/>
      <c r="H188"/>
      <c r="I188"/>
      <c r="K188"/>
      <c r="L188"/>
      <c r="M188"/>
      <c r="N188"/>
      <c r="O188"/>
      <c r="P188"/>
      <c r="Q188"/>
      <c r="R188"/>
      <c r="S188"/>
      <c r="T188"/>
      <c r="V188"/>
      <c r="W188"/>
      <c r="X188"/>
      <c r="Y188"/>
      <c r="AA188"/>
    </row>
    <row r="189" spans="7:27" x14ac:dyDescent="0.25">
      <c r="G189"/>
      <c r="H189"/>
      <c r="I189"/>
      <c r="K189"/>
      <c r="L189"/>
      <c r="M189"/>
      <c r="N189"/>
      <c r="O189"/>
      <c r="P189"/>
      <c r="Q189"/>
      <c r="R189"/>
      <c r="S189"/>
      <c r="T189"/>
      <c r="V189"/>
      <c r="W189"/>
      <c r="X189"/>
      <c r="Y189"/>
      <c r="AA189"/>
    </row>
    <row r="190" spans="7:27" x14ac:dyDescent="0.25">
      <c r="G190"/>
      <c r="H190"/>
      <c r="I190"/>
      <c r="K190"/>
      <c r="L190"/>
      <c r="M190"/>
      <c r="N190"/>
      <c r="O190"/>
      <c r="P190"/>
      <c r="Q190"/>
      <c r="R190"/>
      <c r="S190"/>
      <c r="T190"/>
      <c r="V190"/>
      <c r="W190"/>
      <c r="X190"/>
      <c r="Y190"/>
      <c r="AA190"/>
    </row>
    <row r="191" spans="7:27" x14ac:dyDescent="0.25">
      <c r="G191"/>
      <c r="H191"/>
      <c r="I191"/>
      <c r="K191"/>
      <c r="L191"/>
      <c r="M191"/>
      <c r="N191"/>
      <c r="O191"/>
      <c r="P191"/>
      <c r="Q191"/>
      <c r="R191"/>
      <c r="S191"/>
      <c r="T191"/>
      <c r="V191"/>
      <c r="W191"/>
      <c r="X191"/>
      <c r="Y191"/>
      <c r="AA191"/>
    </row>
    <row r="192" spans="7:27" x14ac:dyDescent="0.25">
      <c r="G192"/>
      <c r="H192"/>
      <c r="I192"/>
      <c r="K192"/>
      <c r="L192"/>
      <c r="M192"/>
      <c r="N192"/>
      <c r="O192"/>
      <c r="P192"/>
      <c r="Q192"/>
      <c r="R192"/>
      <c r="S192"/>
      <c r="T192"/>
      <c r="V192"/>
      <c r="W192"/>
      <c r="X192"/>
      <c r="Y192"/>
      <c r="AA192"/>
    </row>
    <row r="193" spans="7:27" x14ac:dyDescent="0.25">
      <c r="G193"/>
      <c r="H193"/>
      <c r="I193"/>
      <c r="K193"/>
      <c r="L193"/>
      <c r="M193"/>
      <c r="N193"/>
      <c r="O193"/>
      <c r="P193"/>
      <c r="Q193"/>
      <c r="R193"/>
      <c r="S193"/>
      <c r="T193"/>
      <c r="V193"/>
      <c r="W193"/>
      <c r="X193"/>
      <c r="Y193"/>
      <c r="AA193"/>
    </row>
    <row r="194" spans="7:27" x14ac:dyDescent="0.25">
      <c r="G194"/>
      <c r="H194"/>
      <c r="I194"/>
      <c r="K194"/>
      <c r="L194"/>
      <c r="M194"/>
      <c r="N194"/>
      <c r="O194"/>
      <c r="P194"/>
      <c r="Q194"/>
      <c r="R194"/>
      <c r="S194"/>
      <c r="T194"/>
      <c r="V194"/>
      <c r="W194"/>
      <c r="X194"/>
      <c r="Y194"/>
      <c r="AA194"/>
    </row>
    <row r="195" spans="7:27" x14ac:dyDescent="0.25">
      <c r="G195"/>
      <c r="H195"/>
      <c r="I195"/>
      <c r="K195"/>
      <c r="L195"/>
      <c r="M195"/>
      <c r="N195"/>
      <c r="O195"/>
      <c r="P195"/>
      <c r="Q195"/>
      <c r="R195"/>
      <c r="S195"/>
      <c r="T195"/>
      <c r="V195"/>
      <c r="W195"/>
      <c r="X195"/>
      <c r="Y195"/>
      <c r="AA195"/>
    </row>
    <row r="196" spans="7:27" x14ac:dyDescent="0.25">
      <c r="G196"/>
      <c r="H196"/>
      <c r="I196"/>
      <c r="K196"/>
      <c r="L196"/>
      <c r="M196"/>
      <c r="N196"/>
      <c r="O196"/>
      <c r="P196"/>
      <c r="Q196"/>
      <c r="R196"/>
      <c r="S196"/>
      <c r="T196"/>
      <c r="V196"/>
      <c r="W196"/>
      <c r="X196"/>
      <c r="Y196"/>
      <c r="AA196"/>
    </row>
    <row r="197" spans="7:27" x14ac:dyDescent="0.25">
      <c r="G197"/>
      <c r="H197"/>
      <c r="I197"/>
      <c r="K197"/>
      <c r="L197"/>
      <c r="M197"/>
      <c r="N197"/>
      <c r="O197"/>
      <c r="P197"/>
      <c r="Q197"/>
      <c r="R197"/>
      <c r="S197"/>
      <c r="T197"/>
      <c r="V197"/>
      <c r="W197"/>
      <c r="X197"/>
      <c r="Y197"/>
      <c r="AA197"/>
    </row>
    <row r="198" spans="7:27" x14ac:dyDescent="0.25">
      <c r="G198"/>
      <c r="H198"/>
      <c r="I198"/>
      <c r="K198"/>
      <c r="L198"/>
      <c r="M198"/>
      <c r="N198"/>
      <c r="O198"/>
      <c r="P198"/>
      <c r="Q198"/>
      <c r="R198"/>
      <c r="S198"/>
      <c r="T198"/>
      <c r="V198"/>
      <c r="W198"/>
      <c r="X198"/>
      <c r="Y198"/>
      <c r="AA198"/>
    </row>
    <row r="199" spans="7:27" x14ac:dyDescent="0.25">
      <c r="G199"/>
      <c r="H199"/>
      <c r="I199"/>
      <c r="K199"/>
      <c r="L199"/>
      <c r="M199"/>
      <c r="N199"/>
      <c r="O199"/>
      <c r="P199"/>
      <c r="Q199"/>
      <c r="R199"/>
      <c r="S199"/>
      <c r="T199"/>
      <c r="V199"/>
      <c r="W199"/>
      <c r="X199"/>
      <c r="Y199"/>
      <c r="AA199"/>
    </row>
    <row r="200" spans="7:27" x14ac:dyDescent="0.25">
      <c r="G200"/>
      <c r="H200"/>
      <c r="I200"/>
      <c r="K200"/>
      <c r="L200"/>
      <c r="M200"/>
      <c r="N200"/>
      <c r="O200"/>
      <c r="P200"/>
      <c r="Q200"/>
      <c r="R200"/>
      <c r="S200"/>
      <c r="T200"/>
      <c r="V200"/>
      <c r="W200"/>
      <c r="X200"/>
      <c r="Y200"/>
      <c r="AA200"/>
    </row>
    <row r="201" spans="7:27" x14ac:dyDescent="0.25">
      <c r="G201"/>
      <c r="H201"/>
      <c r="I201"/>
      <c r="K201"/>
      <c r="L201"/>
      <c r="M201"/>
      <c r="N201"/>
      <c r="O201"/>
      <c r="P201"/>
      <c r="Q201"/>
      <c r="R201"/>
      <c r="S201"/>
      <c r="T201"/>
      <c r="V201"/>
      <c r="W201"/>
      <c r="X201"/>
      <c r="Y201"/>
      <c r="AA201"/>
    </row>
    <row r="202" spans="7:27" x14ac:dyDescent="0.25">
      <c r="G202"/>
      <c r="H202"/>
      <c r="I202"/>
      <c r="K202"/>
      <c r="L202"/>
      <c r="M202"/>
      <c r="N202"/>
      <c r="O202"/>
      <c r="P202"/>
      <c r="Q202"/>
      <c r="R202"/>
      <c r="S202"/>
      <c r="T202"/>
      <c r="V202"/>
      <c r="W202"/>
      <c r="X202"/>
      <c r="Y202"/>
      <c r="AA202"/>
    </row>
    <row r="203" spans="7:27" x14ac:dyDescent="0.25">
      <c r="G203"/>
      <c r="H203"/>
      <c r="I203"/>
      <c r="K203"/>
      <c r="L203"/>
      <c r="M203"/>
      <c r="N203"/>
      <c r="O203"/>
      <c r="P203"/>
      <c r="Q203"/>
      <c r="R203"/>
      <c r="S203"/>
      <c r="T203"/>
      <c r="V203"/>
      <c r="W203"/>
      <c r="X203"/>
      <c r="Y203"/>
      <c r="AA203"/>
    </row>
    <row r="204" spans="7:27" x14ac:dyDescent="0.25">
      <c r="G204"/>
      <c r="H204"/>
      <c r="I204"/>
      <c r="K204"/>
      <c r="L204"/>
      <c r="M204"/>
      <c r="N204"/>
      <c r="O204"/>
      <c r="P204"/>
      <c r="Q204"/>
      <c r="R204"/>
      <c r="S204"/>
      <c r="T204"/>
      <c r="V204"/>
      <c r="W204"/>
      <c r="X204"/>
      <c r="Y204"/>
      <c r="AA204"/>
    </row>
    <row r="205" spans="7:27" x14ac:dyDescent="0.25">
      <c r="G205"/>
      <c r="H205"/>
      <c r="I205"/>
      <c r="K205"/>
      <c r="L205"/>
      <c r="M205"/>
      <c r="N205"/>
      <c r="O205"/>
      <c r="P205"/>
      <c r="Q205"/>
      <c r="R205"/>
      <c r="S205"/>
      <c r="T205"/>
      <c r="V205"/>
      <c r="W205"/>
      <c r="X205"/>
      <c r="Y205"/>
      <c r="AA205"/>
    </row>
    <row r="206" spans="7:27" x14ac:dyDescent="0.25">
      <c r="G206"/>
      <c r="H206"/>
      <c r="I206"/>
      <c r="K206"/>
      <c r="L206"/>
      <c r="M206"/>
      <c r="N206"/>
      <c r="O206"/>
      <c r="P206"/>
      <c r="Q206"/>
      <c r="R206"/>
      <c r="S206"/>
      <c r="T206"/>
      <c r="V206"/>
      <c r="W206"/>
      <c r="X206"/>
      <c r="Y206"/>
      <c r="AA206"/>
    </row>
    <row r="207" spans="7:27" x14ac:dyDescent="0.25">
      <c r="G207"/>
      <c r="H207"/>
      <c r="I207"/>
      <c r="K207"/>
      <c r="L207"/>
      <c r="M207"/>
      <c r="N207"/>
      <c r="O207"/>
      <c r="P207"/>
      <c r="Q207"/>
      <c r="R207"/>
      <c r="S207"/>
      <c r="T207"/>
      <c r="V207"/>
      <c r="W207"/>
      <c r="X207"/>
      <c r="Y207"/>
      <c r="AA207"/>
    </row>
    <row r="208" spans="7:27" x14ac:dyDescent="0.25">
      <c r="G208"/>
      <c r="H208"/>
      <c r="I208"/>
      <c r="K208"/>
      <c r="L208"/>
      <c r="M208"/>
      <c r="N208"/>
      <c r="O208"/>
      <c r="P208"/>
      <c r="Q208"/>
      <c r="R208"/>
      <c r="S208"/>
      <c r="T208"/>
      <c r="V208"/>
      <c r="W208"/>
      <c r="X208"/>
      <c r="Y208"/>
      <c r="AA208"/>
    </row>
    <row r="209" spans="7:27" x14ac:dyDescent="0.25">
      <c r="G209"/>
      <c r="H209"/>
      <c r="I209"/>
      <c r="K209"/>
      <c r="L209"/>
      <c r="M209"/>
      <c r="N209"/>
      <c r="O209"/>
      <c r="P209"/>
      <c r="Q209"/>
      <c r="R209"/>
      <c r="S209"/>
      <c r="T209"/>
      <c r="V209"/>
      <c r="W209"/>
      <c r="X209"/>
      <c r="Y209"/>
      <c r="AA209"/>
    </row>
    <row r="210" spans="7:27" x14ac:dyDescent="0.25">
      <c r="G210"/>
      <c r="H210"/>
      <c r="I210"/>
      <c r="K210"/>
      <c r="L210"/>
      <c r="M210"/>
      <c r="N210"/>
      <c r="O210"/>
      <c r="P210"/>
      <c r="Q210"/>
      <c r="R210"/>
      <c r="S210"/>
      <c r="T210"/>
      <c r="V210"/>
      <c r="W210"/>
      <c r="X210"/>
      <c r="Y210"/>
      <c r="AA210"/>
    </row>
    <row r="211" spans="7:27" x14ac:dyDescent="0.25">
      <c r="G211"/>
      <c r="H211"/>
      <c r="I211"/>
      <c r="K211"/>
      <c r="L211"/>
      <c r="M211"/>
      <c r="N211"/>
      <c r="O211"/>
      <c r="P211"/>
      <c r="Q211"/>
      <c r="R211"/>
      <c r="S211"/>
      <c r="T211"/>
      <c r="V211"/>
      <c r="W211"/>
      <c r="X211"/>
      <c r="Y211"/>
      <c r="AA211"/>
    </row>
    <row r="212" spans="7:27" x14ac:dyDescent="0.25">
      <c r="G212"/>
      <c r="H212"/>
      <c r="I212"/>
      <c r="K212"/>
      <c r="L212"/>
      <c r="M212"/>
      <c r="N212"/>
      <c r="O212"/>
      <c r="P212"/>
      <c r="Q212"/>
      <c r="R212"/>
      <c r="S212"/>
      <c r="T212"/>
      <c r="V212"/>
      <c r="W212"/>
      <c r="X212"/>
      <c r="Y212"/>
      <c r="AA212"/>
    </row>
    <row r="213" spans="7:27" x14ac:dyDescent="0.25">
      <c r="G213"/>
      <c r="H213"/>
      <c r="I213"/>
      <c r="K213"/>
      <c r="L213"/>
      <c r="M213"/>
      <c r="N213"/>
      <c r="O213"/>
      <c r="P213"/>
      <c r="Q213"/>
      <c r="R213"/>
      <c r="S213"/>
      <c r="T213"/>
      <c r="V213"/>
      <c r="W213"/>
      <c r="X213"/>
      <c r="Y213"/>
      <c r="AA213"/>
    </row>
    <row r="214" spans="7:27" x14ac:dyDescent="0.25">
      <c r="G214"/>
      <c r="H214"/>
      <c r="I214"/>
      <c r="K214"/>
      <c r="L214"/>
      <c r="M214"/>
      <c r="N214"/>
      <c r="O214"/>
      <c r="P214"/>
      <c r="Q214"/>
      <c r="R214"/>
      <c r="S214"/>
      <c r="T214"/>
      <c r="V214"/>
      <c r="W214"/>
      <c r="X214"/>
      <c r="Y214"/>
      <c r="AA214"/>
    </row>
    <row r="215" spans="7:27" x14ac:dyDescent="0.25">
      <c r="G215"/>
      <c r="H215"/>
      <c r="I215"/>
      <c r="K215"/>
      <c r="L215"/>
      <c r="M215"/>
      <c r="N215"/>
      <c r="O215"/>
      <c r="P215"/>
      <c r="Q215"/>
      <c r="R215"/>
      <c r="S215"/>
      <c r="T215"/>
      <c r="V215"/>
      <c r="W215"/>
      <c r="X215"/>
      <c r="Y215"/>
      <c r="AA215"/>
    </row>
    <row r="216" spans="7:27" x14ac:dyDescent="0.25">
      <c r="G216"/>
      <c r="H216"/>
      <c r="I216"/>
      <c r="K216"/>
      <c r="L216"/>
      <c r="M216"/>
      <c r="N216"/>
      <c r="O216"/>
      <c r="P216"/>
      <c r="Q216"/>
      <c r="R216"/>
      <c r="S216"/>
      <c r="T216"/>
      <c r="V216"/>
      <c r="W216"/>
      <c r="X216"/>
      <c r="Y216"/>
      <c r="AA216"/>
    </row>
    <row r="217" spans="7:27" x14ac:dyDescent="0.25">
      <c r="G217"/>
      <c r="H217"/>
      <c r="I217"/>
      <c r="K217"/>
      <c r="L217"/>
      <c r="M217"/>
      <c r="N217"/>
      <c r="O217"/>
      <c r="P217"/>
      <c r="Q217"/>
      <c r="R217"/>
      <c r="S217"/>
      <c r="T217"/>
      <c r="V217"/>
      <c r="W217"/>
      <c r="X217"/>
      <c r="Y217"/>
      <c r="AA217"/>
    </row>
    <row r="218" spans="7:27" x14ac:dyDescent="0.25">
      <c r="G218"/>
      <c r="H218"/>
      <c r="I218"/>
      <c r="K218"/>
      <c r="L218"/>
      <c r="M218"/>
      <c r="N218"/>
      <c r="O218"/>
      <c r="P218"/>
      <c r="Q218"/>
      <c r="R218"/>
      <c r="S218"/>
      <c r="T218"/>
      <c r="V218"/>
      <c r="W218"/>
      <c r="X218"/>
      <c r="Y218"/>
      <c r="AA218"/>
    </row>
    <row r="219" spans="7:27" x14ac:dyDescent="0.25">
      <c r="G219"/>
      <c r="H219"/>
      <c r="I219"/>
      <c r="K219"/>
      <c r="L219"/>
      <c r="M219"/>
      <c r="N219"/>
      <c r="O219"/>
      <c r="P219"/>
      <c r="Q219"/>
      <c r="R219"/>
      <c r="S219"/>
      <c r="T219"/>
      <c r="V219"/>
      <c r="W219"/>
      <c r="X219"/>
      <c r="Y219"/>
      <c r="AA219"/>
    </row>
    <row r="220" spans="7:27" x14ac:dyDescent="0.25">
      <c r="G220"/>
      <c r="H220"/>
      <c r="I220"/>
      <c r="K220"/>
      <c r="L220"/>
      <c r="M220"/>
      <c r="N220"/>
      <c r="O220"/>
      <c r="P220"/>
      <c r="Q220"/>
      <c r="R220"/>
      <c r="S220"/>
      <c r="T220"/>
      <c r="V220"/>
      <c r="W220"/>
      <c r="X220"/>
      <c r="Y220"/>
      <c r="AA220"/>
    </row>
    <row r="221" spans="7:27" x14ac:dyDescent="0.25">
      <c r="G221"/>
      <c r="H221"/>
      <c r="I221"/>
      <c r="K221"/>
      <c r="L221"/>
      <c r="M221"/>
      <c r="N221"/>
      <c r="O221"/>
      <c r="P221"/>
      <c r="Q221"/>
      <c r="R221"/>
      <c r="S221"/>
      <c r="T221"/>
      <c r="V221"/>
      <c r="W221"/>
      <c r="X221"/>
      <c r="Y221"/>
      <c r="AA221"/>
    </row>
    <row r="222" spans="7:27" x14ac:dyDescent="0.25">
      <c r="G222"/>
      <c r="H222"/>
      <c r="I222"/>
      <c r="K222"/>
      <c r="L222"/>
      <c r="M222"/>
      <c r="N222"/>
      <c r="O222"/>
      <c r="P222"/>
      <c r="Q222"/>
      <c r="R222"/>
      <c r="S222"/>
      <c r="T222"/>
      <c r="V222"/>
      <c r="W222"/>
      <c r="X222"/>
      <c r="Y222"/>
      <c r="AA222"/>
    </row>
    <row r="223" spans="7:27" x14ac:dyDescent="0.25">
      <c r="G223"/>
      <c r="H223"/>
      <c r="I223"/>
      <c r="K223"/>
      <c r="L223"/>
      <c r="M223"/>
      <c r="N223"/>
      <c r="O223"/>
      <c r="P223"/>
      <c r="Q223"/>
      <c r="R223"/>
      <c r="S223"/>
      <c r="T223"/>
      <c r="V223"/>
      <c r="W223"/>
      <c r="X223"/>
      <c r="Y223"/>
      <c r="AA223"/>
    </row>
    <row r="224" spans="7:27" x14ac:dyDescent="0.25">
      <c r="G224"/>
      <c r="H224"/>
      <c r="I224"/>
      <c r="K224"/>
      <c r="L224"/>
      <c r="M224"/>
      <c r="N224"/>
      <c r="O224"/>
      <c r="P224"/>
      <c r="Q224"/>
      <c r="R224"/>
      <c r="S224"/>
      <c r="T224"/>
      <c r="V224"/>
      <c r="W224"/>
      <c r="X224"/>
      <c r="Y224"/>
      <c r="AA224"/>
    </row>
    <row r="225" spans="7:27" x14ac:dyDescent="0.25">
      <c r="G225"/>
      <c r="H225"/>
      <c r="I225"/>
      <c r="K225"/>
      <c r="L225"/>
      <c r="M225"/>
      <c r="N225"/>
      <c r="O225"/>
      <c r="P225"/>
      <c r="Q225"/>
      <c r="R225"/>
      <c r="S225"/>
      <c r="T225"/>
      <c r="V225"/>
      <c r="W225"/>
      <c r="X225"/>
      <c r="Y225"/>
      <c r="AA225"/>
    </row>
    <row r="226" spans="7:27" x14ac:dyDescent="0.25">
      <c r="G226"/>
      <c r="H226"/>
      <c r="I226"/>
      <c r="K226"/>
      <c r="L226"/>
      <c r="M226"/>
      <c r="N226"/>
      <c r="O226"/>
      <c r="P226"/>
      <c r="Q226"/>
      <c r="R226"/>
      <c r="S226"/>
      <c r="T226"/>
      <c r="V226"/>
      <c r="W226"/>
      <c r="X226"/>
      <c r="Y226"/>
      <c r="AA226"/>
    </row>
    <row r="227" spans="7:27" x14ac:dyDescent="0.25">
      <c r="G227"/>
      <c r="H227"/>
      <c r="I227"/>
      <c r="K227"/>
      <c r="L227"/>
      <c r="M227"/>
      <c r="N227"/>
      <c r="O227"/>
      <c r="P227"/>
      <c r="Q227"/>
      <c r="R227"/>
      <c r="S227"/>
      <c r="T227"/>
      <c r="V227"/>
      <c r="W227"/>
      <c r="X227"/>
      <c r="Y227"/>
      <c r="AA227"/>
    </row>
    <row r="228" spans="7:27" x14ac:dyDescent="0.25">
      <c r="G228"/>
      <c r="H228"/>
      <c r="I228"/>
      <c r="K228"/>
      <c r="L228"/>
      <c r="M228"/>
      <c r="N228"/>
      <c r="O228"/>
      <c r="P228"/>
      <c r="Q228"/>
      <c r="R228"/>
      <c r="S228"/>
      <c r="T228"/>
      <c r="V228"/>
      <c r="W228"/>
      <c r="X228"/>
      <c r="Y228"/>
      <c r="AA228"/>
    </row>
    <row r="229" spans="7:27" x14ac:dyDescent="0.25">
      <c r="G229"/>
      <c r="H229"/>
      <c r="I229"/>
      <c r="K229"/>
      <c r="L229"/>
      <c r="M229"/>
      <c r="N229"/>
      <c r="O229"/>
      <c r="P229"/>
      <c r="Q229"/>
      <c r="R229"/>
      <c r="S229"/>
      <c r="T229"/>
      <c r="V229"/>
      <c r="W229"/>
      <c r="X229"/>
      <c r="Y229"/>
      <c r="AA229"/>
    </row>
    <row r="230" spans="7:27" x14ac:dyDescent="0.25">
      <c r="G230"/>
      <c r="H230"/>
      <c r="I230"/>
      <c r="K230"/>
      <c r="L230"/>
      <c r="M230"/>
      <c r="N230"/>
      <c r="O230"/>
      <c r="P230"/>
      <c r="Q230"/>
      <c r="R230"/>
      <c r="S230"/>
      <c r="T230"/>
      <c r="V230"/>
      <c r="W230"/>
      <c r="X230"/>
      <c r="Y230"/>
      <c r="AA230"/>
    </row>
    <row r="231" spans="7:27" x14ac:dyDescent="0.25">
      <c r="G231"/>
      <c r="H231"/>
      <c r="I231"/>
      <c r="K231"/>
      <c r="L231"/>
      <c r="M231"/>
      <c r="N231"/>
      <c r="O231"/>
      <c r="P231"/>
      <c r="Q231"/>
      <c r="R231"/>
      <c r="S231"/>
      <c r="T231"/>
      <c r="V231"/>
      <c r="W231"/>
      <c r="X231"/>
      <c r="Y231"/>
      <c r="AA231"/>
    </row>
    <row r="232" spans="7:27" x14ac:dyDescent="0.25">
      <c r="G232"/>
      <c r="H232"/>
      <c r="I232"/>
      <c r="K232"/>
      <c r="L232"/>
      <c r="M232"/>
      <c r="N232"/>
      <c r="O232"/>
      <c r="P232"/>
      <c r="Q232"/>
      <c r="R232"/>
      <c r="S232"/>
      <c r="T232"/>
      <c r="V232"/>
      <c r="W232"/>
      <c r="X232"/>
      <c r="Y232"/>
      <c r="AA232"/>
    </row>
    <row r="233" spans="7:27" x14ac:dyDescent="0.25">
      <c r="G233"/>
      <c r="H233"/>
      <c r="I233"/>
      <c r="K233"/>
      <c r="L233"/>
      <c r="M233"/>
      <c r="N233"/>
      <c r="O233"/>
      <c r="P233"/>
      <c r="Q233"/>
      <c r="R233"/>
      <c r="S233"/>
      <c r="T233"/>
      <c r="V233"/>
      <c r="W233"/>
      <c r="X233"/>
      <c r="Y233"/>
      <c r="AA233"/>
    </row>
    <row r="234" spans="7:27" x14ac:dyDescent="0.25">
      <c r="G234"/>
      <c r="H234"/>
      <c r="I234"/>
      <c r="K234"/>
      <c r="L234"/>
      <c r="M234"/>
      <c r="N234"/>
      <c r="O234"/>
      <c r="P234"/>
      <c r="Q234"/>
      <c r="R234"/>
      <c r="S234"/>
      <c r="T234"/>
      <c r="V234"/>
      <c r="W234"/>
      <c r="X234"/>
      <c r="Y234"/>
      <c r="AA234"/>
    </row>
    <row r="235" spans="7:27" x14ac:dyDescent="0.25">
      <c r="G235"/>
      <c r="H235"/>
      <c r="I235"/>
      <c r="K235"/>
      <c r="L235"/>
      <c r="M235"/>
      <c r="N235"/>
      <c r="O235"/>
      <c r="P235"/>
      <c r="Q235"/>
      <c r="R235"/>
      <c r="S235"/>
      <c r="T235"/>
      <c r="V235"/>
      <c r="W235"/>
      <c r="X235"/>
      <c r="Y235"/>
      <c r="AA235"/>
    </row>
    <row r="236" spans="7:27" x14ac:dyDescent="0.25">
      <c r="G236"/>
      <c r="H236"/>
      <c r="I236"/>
      <c r="K236"/>
      <c r="L236"/>
      <c r="M236"/>
      <c r="N236"/>
      <c r="O236"/>
      <c r="P236"/>
      <c r="Q236"/>
      <c r="R236"/>
      <c r="S236"/>
      <c r="T236"/>
      <c r="V236"/>
      <c r="W236"/>
      <c r="X236"/>
      <c r="Y236"/>
      <c r="AA236"/>
    </row>
    <row r="237" spans="7:27" x14ac:dyDescent="0.25">
      <c r="G237"/>
      <c r="H237"/>
      <c r="I237"/>
      <c r="K237"/>
      <c r="L237"/>
      <c r="M237"/>
      <c r="N237"/>
      <c r="O237"/>
      <c r="P237"/>
      <c r="Q237"/>
      <c r="R237"/>
      <c r="S237"/>
      <c r="T237"/>
      <c r="V237"/>
      <c r="W237"/>
      <c r="X237"/>
      <c r="Y237"/>
      <c r="AA237"/>
    </row>
    <row r="238" spans="7:27" x14ac:dyDescent="0.25">
      <c r="G238"/>
      <c r="H238"/>
      <c r="I238"/>
      <c r="K238"/>
      <c r="L238"/>
      <c r="M238"/>
      <c r="N238"/>
      <c r="O238"/>
      <c r="P238"/>
      <c r="Q238"/>
      <c r="R238"/>
      <c r="S238"/>
      <c r="T238"/>
      <c r="V238"/>
      <c r="W238"/>
      <c r="X238"/>
      <c r="Y238"/>
      <c r="AA238"/>
    </row>
    <row r="239" spans="7:27" x14ac:dyDescent="0.25">
      <c r="G239"/>
      <c r="H239"/>
      <c r="I239"/>
      <c r="K239"/>
      <c r="L239"/>
      <c r="M239"/>
      <c r="N239"/>
      <c r="O239"/>
      <c r="P239"/>
      <c r="Q239"/>
      <c r="R239"/>
      <c r="S239"/>
      <c r="T239"/>
      <c r="V239"/>
      <c r="W239"/>
      <c r="X239"/>
      <c r="Y239"/>
      <c r="AA239"/>
    </row>
    <row r="240" spans="7:27" x14ac:dyDescent="0.25">
      <c r="G240"/>
      <c r="H240"/>
      <c r="I240"/>
      <c r="K240"/>
      <c r="L240"/>
      <c r="M240"/>
      <c r="N240"/>
      <c r="O240"/>
      <c r="P240"/>
      <c r="Q240"/>
      <c r="R240"/>
      <c r="S240"/>
      <c r="T240"/>
      <c r="V240"/>
      <c r="W240"/>
      <c r="X240"/>
      <c r="Y240"/>
      <c r="AA240"/>
    </row>
    <row r="241" spans="7:27" x14ac:dyDescent="0.25">
      <c r="G241"/>
      <c r="H241"/>
      <c r="I241"/>
      <c r="K241"/>
      <c r="L241"/>
      <c r="M241"/>
      <c r="N241"/>
      <c r="O241"/>
      <c r="P241"/>
      <c r="Q241"/>
      <c r="R241"/>
      <c r="S241"/>
      <c r="T241"/>
      <c r="V241"/>
      <c r="W241"/>
      <c r="X241"/>
      <c r="Y241"/>
      <c r="AA241"/>
    </row>
    <row r="242" spans="7:27" x14ac:dyDescent="0.25">
      <c r="G242"/>
      <c r="H242"/>
      <c r="I242"/>
      <c r="K242"/>
      <c r="L242"/>
      <c r="M242"/>
      <c r="N242"/>
      <c r="O242"/>
      <c r="P242"/>
      <c r="Q242"/>
      <c r="R242"/>
      <c r="S242"/>
      <c r="T242"/>
      <c r="V242"/>
      <c r="W242"/>
      <c r="X242"/>
      <c r="Y242"/>
      <c r="AA242"/>
    </row>
    <row r="243" spans="7:27" x14ac:dyDescent="0.25">
      <c r="G243"/>
      <c r="H243"/>
      <c r="I243"/>
      <c r="K243"/>
      <c r="L243"/>
      <c r="M243"/>
      <c r="N243"/>
      <c r="O243"/>
      <c r="P243"/>
      <c r="Q243"/>
      <c r="R243"/>
      <c r="S243"/>
      <c r="T243"/>
      <c r="V243"/>
      <c r="W243"/>
      <c r="X243"/>
      <c r="Y243"/>
      <c r="AA243"/>
    </row>
    <row r="244" spans="7:27" x14ac:dyDescent="0.25">
      <c r="G244"/>
      <c r="H244"/>
      <c r="I244"/>
      <c r="K244"/>
      <c r="L244"/>
      <c r="M244"/>
      <c r="N244"/>
      <c r="O244"/>
      <c r="P244"/>
      <c r="Q244"/>
      <c r="R244"/>
      <c r="S244"/>
      <c r="T244"/>
      <c r="V244"/>
      <c r="W244"/>
      <c r="X244"/>
      <c r="Y244"/>
      <c r="AA244"/>
    </row>
    <row r="245" spans="7:27" x14ac:dyDescent="0.25">
      <c r="G245"/>
      <c r="H245"/>
      <c r="I245"/>
      <c r="K245"/>
      <c r="L245"/>
      <c r="M245"/>
      <c r="N245"/>
      <c r="O245"/>
      <c r="P245"/>
      <c r="Q245"/>
      <c r="R245"/>
      <c r="S245"/>
      <c r="T245"/>
      <c r="V245"/>
      <c r="W245"/>
      <c r="X245"/>
      <c r="Y245"/>
      <c r="AA245"/>
    </row>
    <row r="246" spans="7:27" x14ac:dyDescent="0.25">
      <c r="G246"/>
      <c r="H246"/>
      <c r="I246"/>
      <c r="K246"/>
      <c r="L246"/>
      <c r="M246"/>
      <c r="N246"/>
      <c r="O246"/>
      <c r="P246"/>
      <c r="Q246"/>
      <c r="R246"/>
      <c r="S246"/>
      <c r="T246"/>
      <c r="V246"/>
      <c r="W246"/>
      <c r="X246"/>
      <c r="Y246"/>
      <c r="AA246"/>
    </row>
    <row r="247" spans="7:27" x14ac:dyDescent="0.25">
      <c r="G247"/>
      <c r="H247"/>
      <c r="I247"/>
      <c r="K247"/>
      <c r="L247"/>
      <c r="M247"/>
      <c r="N247"/>
      <c r="O247"/>
      <c r="P247"/>
      <c r="Q247"/>
      <c r="R247"/>
      <c r="S247"/>
      <c r="T247"/>
      <c r="V247"/>
      <c r="W247"/>
      <c r="X247"/>
      <c r="Y247"/>
      <c r="AA247"/>
    </row>
    <row r="248" spans="7:27" x14ac:dyDescent="0.25">
      <c r="G248"/>
      <c r="H248"/>
      <c r="I248"/>
      <c r="K248"/>
      <c r="L248"/>
      <c r="M248"/>
      <c r="N248"/>
      <c r="O248"/>
      <c r="P248"/>
      <c r="Q248"/>
      <c r="R248"/>
      <c r="S248"/>
      <c r="T248"/>
      <c r="V248"/>
      <c r="W248"/>
      <c r="X248"/>
      <c r="Y248"/>
      <c r="AA248"/>
    </row>
    <row r="249" spans="7:27" x14ac:dyDescent="0.25">
      <c r="G249"/>
      <c r="H249"/>
      <c r="I249"/>
      <c r="K249"/>
      <c r="L249"/>
      <c r="M249"/>
      <c r="N249"/>
      <c r="O249"/>
      <c r="P249"/>
      <c r="Q249"/>
      <c r="R249"/>
      <c r="S249"/>
      <c r="T249"/>
      <c r="V249"/>
      <c r="W249"/>
      <c r="X249"/>
      <c r="Y249"/>
      <c r="AA249"/>
    </row>
    <row r="250" spans="7:27" x14ac:dyDescent="0.25">
      <c r="G250"/>
      <c r="H250"/>
      <c r="I250"/>
      <c r="K250"/>
      <c r="L250"/>
      <c r="M250"/>
      <c r="N250"/>
      <c r="O250"/>
      <c r="P250"/>
      <c r="Q250"/>
      <c r="R250"/>
      <c r="S250"/>
      <c r="T250"/>
      <c r="V250"/>
      <c r="W250"/>
      <c r="X250"/>
      <c r="Y250"/>
      <c r="AA250"/>
    </row>
    <row r="251" spans="7:27" x14ac:dyDescent="0.25">
      <c r="G251"/>
      <c r="H251"/>
      <c r="I251"/>
      <c r="K251"/>
      <c r="L251"/>
      <c r="M251"/>
      <c r="N251"/>
      <c r="O251"/>
      <c r="P251"/>
      <c r="Q251"/>
      <c r="R251"/>
      <c r="S251"/>
      <c r="T251"/>
      <c r="V251"/>
      <c r="W251"/>
      <c r="X251"/>
      <c r="Y251"/>
      <c r="AA251"/>
    </row>
    <row r="252" spans="7:27" x14ac:dyDescent="0.25">
      <c r="G252"/>
      <c r="H252"/>
      <c r="I252"/>
      <c r="K252"/>
      <c r="L252"/>
      <c r="M252"/>
      <c r="N252"/>
      <c r="O252"/>
      <c r="P252"/>
      <c r="Q252"/>
      <c r="R252"/>
      <c r="S252"/>
      <c r="T252"/>
      <c r="V252"/>
      <c r="W252"/>
      <c r="X252"/>
      <c r="Y252"/>
      <c r="AA252"/>
    </row>
    <row r="253" spans="7:27" x14ac:dyDescent="0.25">
      <c r="G253"/>
      <c r="H253"/>
      <c r="I253"/>
      <c r="K253"/>
      <c r="L253"/>
      <c r="M253"/>
      <c r="N253"/>
      <c r="O253"/>
      <c r="P253"/>
      <c r="Q253"/>
      <c r="R253"/>
      <c r="S253"/>
      <c r="T253"/>
      <c r="V253"/>
      <c r="W253"/>
      <c r="X253"/>
      <c r="Y253"/>
      <c r="AA253"/>
    </row>
    <row r="254" spans="7:27" x14ac:dyDescent="0.25">
      <c r="G254"/>
      <c r="H254"/>
      <c r="I254"/>
      <c r="K254"/>
      <c r="L254"/>
      <c r="M254"/>
      <c r="N254"/>
      <c r="O254"/>
      <c r="P254"/>
      <c r="Q254"/>
      <c r="R254"/>
      <c r="S254"/>
      <c r="T254"/>
      <c r="V254"/>
      <c r="W254"/>
      <c r="X254"/>
      <c r="Y254"/>
      <c r="AA254"/>
    </row>
    <row r="255" spans="7:27" x14ac:dyDescent="0.25">
      <c r="G255"/>
      <c r="H255"/>
      <c r="I255"/>
      <c r="K255"/>
      <c r="L255"/>
      <c r="M255"/>
      <c r="N255"/>
      <c r="O255"/>
      <c r="P255"/>
      <c r="Q255"/>
      <c r="R255"/>
      <c r="S255"/>
      <c r="T255"/>
      <c r="V255"/>
      <c r="W255"/>
      <c r="X255"/>
      <c r="Y255"/>
      <c r="AA255"/>
    </row>
    <row r="256" spans="7:27" x14ac:dyDescent="0.25">
      <c r="G256"/>
      <c r="H256"/>
      <c r="I256"/>
      <c r="K256"/>
      <c r="L256"/>
      <c r="M256"/>
      <c r="N256"/>
      <c r="O256"/>
      <c r="P256"/>
      <c r="Q256"/>
      <c r="R256"/>
      <c r="S256"/>
      <c r="T256"/>
      <c r="V256"/>
      <c r="W256"/>
      <c r="X256"/>
      <c r="Y256"/>
      <c r="AA256"/>
    </row>
    <row r="257" spans="7:27" x14ac:dyDescent="0.25">
      <c r="G257"/>
      <c r="H257"/>
      <c r="I257"/>
      <c r="K257"/>
      <c r="L257"/>
      <c r="M257"/>
      <c r="N257"/>
      <c r="O257"/>
      <c r="P257"/>
      <c r="Q257"/>
      <c r="R257"/>
      <c r="S257"/>
      <c r="T257"/>
      <c r="V257"/>
      <c r="W257"/>
      <c r="X257"/>
      <c r="Y257"/>
      <c r="AA257"/>
    </row>
    <row r="258" spans="7:27" x14ac:dyDescent="0.25">
      <c r="G258"/>
      <c r="H258"/>
      <c r="I258"/>
      <c r="K258"/>
      <c r="L258"/>
      <c r="M258"/>
      <c r="N258"/>
      <c r="O258"/>
      <c r="P258"/>
      <c r="Q258"/>
      <c r="R258"/>
      <c r="S258"/>
      <c r="T258"/>
      <c r="V258"/>
      <c r="W258"/>
      <c r="X258"/>
      <c r="Y258"/>
      <c r="AA258"/>
    </row>
    <row r="259" spans="7:27" x14ac:dyDescent="0.25">
      <c r="G259"/>
      <c r="H259"/>
      <c r="I259"/>
      <c r="K259"/>
      <c r="L259"/>
      <c r="M259"/>
      <c r="N259"/>
      <c r="O259"/>
      <c r="P259"/>
      <c r="Q259"/>
      <c r="R259"/>
      <c r="S259"/>
      <c r="T259"/>
      <c r="V259"/>
      <c r="W259"/>
      <c r="X259"/>
      <c r="Y259"/>
      <c r="AA259"/>
    </row>
    <row r="260" spans="7:27" x14ac:dyDescent="0.25">
      <c r="G260"/>
      <c r="H260"/>
      <c r="I260"/>
      <c r="K260"/>
      <c r="L260"/>
      <c r="M260"/>
      <c r="N260"/>
      <c r="O260"/>
      <c r="P260"/>
      <c r="Q260"/>
      <c r="R260"/>
      <c r="S260"/>
      <c r="T260"/>
      <c r="V260"/>
      <c r="W260"/>
      <c r="X260"/>
      <c r="Y260"/>
      <c r="AA260"/>
    </row>
    <row r="261" spans="7:27" x14ac:dyDescent="0.25">
      <c r="G261"/>
      <c r="H261"/>
      <c r="I261"/>
      <c r="K261"/>
      <c r="L261"/>
      <c r="M261"/>
      <c r="N261"/>
      <c r="O261"/>
      <c r="P261"/>
      <c r="Q261"/>
      <c r="R261"/>
      <c r="S261"/>
      <c r="T261"/>
      <c r="V261"/>
      <c r="W261"/>
      <c r="X261"/>
      <c r="Y261"/>
      <c r="AA261"/>
    </row>
    <row r="262" spans="7:27" x14ac:dyDescent="0.25">
      <c r="G262"/>
      <c r="H262"/>
      <c r="I262"/>
      <c r="K262"/>
      <c r="L262"/>
      <c r="M262"/>
      <c r="N262"/>
      <c r="O262"/>
      <c r="P262"/>
      <c r="Q262"/>
      <c r="R262"/>
      <c r="S262"/>
      <c r="T262"/>
      <c r="V262"/>
      <c r="W262"/>
      <c r="X262"/>
      <c r="Y262"/>
      <c r="AA262"/>
    </row>
    <row r="263" spans="7:27" x14ac:dyDescent="0.25">
      <c r="G263"/>
      <c r="H263"/>
      <c r="I263"/>
      <c r="K263"/>
      <c r="L263"/>
      <c r="M263"/>
      <c r="N263"/>
      <c r="O263"/>
      <c r="P263"/>
      <c r="Q263"/>
      <c r="R263"/>
      <c r="S263"/>
      <c r="T263"/>
      <c r="V263"/>
      <c r="W263"/>
      <c r="X263"/>
      <c r="Y263"/>
      <c r="AA263"/>
    </row>
    <row r="264" spans="7:27" x14ac:dyDescent="0.25">
      <c r="G264"/>
      <c r="H264"/>
      <c r="I264"/>
      <c r="K264"/>
      <c r="L264"/>
      <c r="M264"/>
      <c r="N264"/>
      <c r="O264"/>
      <c r="P264"/>
      <c r="Q264"/>
      <c r="R264"/>
      <c r="S264"/>
      <c r="T264"/>
      <c r="V264"/>
      <c r="W264"/>
      <c r="X264"/>
      <c r="Y264"/>
      <c r="AA264"/>
    </row>
    <row r="265" spans="7:27" x14ac:dyDescent="0.25">
      <c r="G265"/>
      <c r="H265"/>
      <c r="I265"/>
      <c r="K265"/>
      <c r="L265"/>
      <c r="M265"/>
      <c r="N265"/>
      <c r="O265"/>
      <c r="P265"/>
      <c r="Q265"/>
      <c r="R265"/>
      <c r="S265"/>
      <c r="T265"/>
      <c r="V265"/>
      <c r="W265"/>
      <c r="X265"/>
      <c r="Y265"/>
      <c r="AA265"/>
    </row>
    <row r="266" spans="7:27" x14ac:dyDescent="0.25">
      <c r="G266"/>
      <c r="H266"/>
      <c r="I266"/>
      <c r="K266"/>
      <c r="L266"/>
      <c r="M266"/>
      <c r="N266"/>
      <c r="O266"/>
      <c r="P266"/>
      <c r="Q266"/>
      <c r="R266"/>
      <c r="S266"/>
      <c r="T266"/>
      <c r="V266"/>
      <c r="W266"/>
      <c r="X266"/>
      <c r="Y266"/>
      <c r="AA266"/>
    </row>
    <row r="267" spans="7:27" x14ac:dyDescent="0.25">
      <c r="G267"/>
      <c r="H267"/>
      <c r="I267"/>
      <c r="K267"/>
      <c r="L267"/>
      <c r="M267"/>
      <c r="N267"/>
      <c r="O267"/>
      <c r="P267"/>
      <c r="Q267"/>
      <c r="R267"/>
      <c r="S267"/>
      <c r="T267"/>
      <c r="V267"/>
      <c r="W267"/>
      <c r="X267"/>
      <c r="Y267"/>
      <c r="AA267"/>
    </row>
    <row r="268" spans="7:27" x14ac:dyDescent="0.25">
      <c r="G268"/>
      <c r="H268"/>
      <c r="I268"/>
      <c r="K268"/>
      <c r="L268"/>
      <c r="M268"/>
      <c r="N268"/>
      <c r="O268"/>
      <c r="P268"/>
      <c r="Q268"/>
      <c r="R268"/>
      <c r="S268"/>
      <c r="T268"/>
      <c r="V268"/>
      <c r="W268"/>
      <c r="X268"/>
      <c r="Y268"/>
      <c r="AA268"/>
    </row>
    <row r="269" spans="7:27" x14ac:dyDescent="0.25">
      <c r="G269"/>
      <c r="H269"/>
      <c r="I269"/>
      <c r="K269"/>
      <c r="L269"/>
      <c r="M269"/>
      <c r="N269"/>
      <c r="O269"/>
      <c r="P269"/>
      <c r="Q269"/>
      <c r="R269"/>
      <c r="S269"/>
      <c r="T269"/>
      <c r="V269"/>
      <c r="W269"/>
      <c r="X269"/>
      <c r="Y269"/>
      <c r="AA269"/>
    </row>
    <row r="270" spans="7:27" x14ac:dyDescent="0.25">
      <c r="G270"/>
      <c r="H270"/>
      <c r="I270"/>
      <c r="K270"/>
      <c r="L270"/>
      <c r="M270"/>
      <c r="N270"/>
      <c r="O270"/>
      <c r="P270"/>
      <c r="Q270"/>
      <c r="R270"/>
      <c r="S270"/>
      <c r="T270"/>
      <c r="V270"/>
      <c r="W270"/>
      <c r="X270"/>
      <c r="Y270"/>
      <c r="AA270"/>
    </row>
    <row r="271" spans="7:27" x14ac:dyDescent="0.25">
      <c r="G271"/>
      <c r="H271"/>
      <c r="I271"/>
      <c r="K271"/>
      <c r="L271"/>
      <c r="M271"/>
      <c r="N271"/>
      <c r="O271"/>
      <c r="P271"/>
      <c r="Q271"/>
      <c r="R271"/>
      <c r="S271"/>
      <c r="T271"/>
      <c r="V271"/>
      <c r="W271"/>
      <c r="X271"/>
      <c r="Y271"/>
      <c r="AA271"/>
    </row>
    <row r="272" spans="7:27" x14ac:dyDescent="0.25">
      <c r="G272"/>
      <c r="H272"/>
      <c r="I272"/>
      <c r="K272"/>
      <c r="L272"/>
      <c r="M272"/>
      <c r="N272"/>
      <c r="O272"/>
      <c r="P272"/>
      <c r="Q272"/>
      <c r="R272"/>
      <c r="S272"/>
      <c r="T272"/>
      <c r="V272"/>
      <c r="W272"/>
      <c r="X272"/>
      <c r="Y272"/>
      <c r="AA272"/>
    </row>
    <row r="273" spans="7:27" x14ac:dyDescent="0.25">
      <c r="G273"/>
      <c r="H273"/>
      <c r="I273"/>
      <c r="K273"/>
      <c r="L273"/>
      <c r="M273"/>
      <c r="N273"/>
      <c r="O273"/>
      <c r="P273"/>
      <c r="Q273"/>
      <c r="R273"/>
      <c r="S273"/>
      <c r="T273"/>
      <c r="V273"/>
      <c r="W273"/>
      <c r="X273"/>
      <c r="Y273"/>
      <c r="AA273"/>
    </row>
    <row r="274" spans="7:27" x14ac:dyDescent="0.25">
      <c r="G274"/>
      <c r="H274"/>
      <c r="I274"/>
      <c r="K274"/>
      <c r="L274"/>
      <c r="M274"/>
      <c r="N274"/>
      <c r="O274"/>
      <c r="P274"/>
      <c r="Q274"/>
      <c r="R274"/>
      <c r="S274"/>
      <c r="T274"/>
      <c r="V274"/>
      <c r="W274"/>
      <c r="X274"/>
      <c r="Y274"/>
      <c r="AA274"/>
    </row>
    <row r="275" spans="7:27" x14ac:dyDescent="0.25">
      <c r="G275"/>
      <c r="H275"/>
      <c r="I275"/>
      <c r="K275"/>
      <c r="L275"/>
      <c r="M275"/>
      <c r="N275"/>
      <c r="O275"/>
      <c r="P275"/>
      <c r="Q275"/>
      <c r="R275"/>
      <c r="S275"/>
      <c r="T275"/>
      <c r="V275"/>
      <c r="W275"/>
      <c r="X275"/>
      <c r="Y275"/>
      <c r="AA275"/>
    </row>
    <row r="276" spans="7:27" x14ac:dyDescent="0.25">
      <c r="G276"/>
      <c r="H276"/>
      <c r="I276"/>
      <c r="K276"/>
      <c r="L276"/>
      <c r="M276"/>
      <c r="N276"/>
      <c r="O276"/>
      <c r="P276"/>
      <c r="Q276"/>
      <c r="R276"/>
      <c r="S276"/>
      <c r="T276"/>
      <c r="V276"/>
      <c r="W276"/>
      <c r="X276"/>
      <c r="Y276"/>
      <c r="AA276"/>
    </row>
    <row r="277" spans="7:27" x14ac:dyDescent="0.25">
      <c r="G277"/>
      <c r="H277"/>
      <c r="I277"/>
      <c r="K277"/>
      <c r="L277"/>
      <c r="M277"/>
      <c r="N277"/>
      <c r="O277"/>
      <c r="P277"/>
      <c r="Q277"/>
      <c r="R277"/>
      <c r="S277"/>
      <c r="T277"/>
      <c r="V277"/>
      <c r="W277"/>
      <c r="X277"/>
      <c r="Y277"/>
      <c r="AA277"/>
    </row>
    <row r="278" spans="7:27" x14ac:dyDescent="0.25">
      <c r="G278"/>
      <c r="H278"/>
      <c r="I278"/>
      <c r="K278"/>
      <c r="L278"/>
      <c r="M278"/>
      <c r="N278"/>
      <c r="O278"/>
      <c r="P278"/>
      <c r="Q278"/>
      <c r="R278"/>
      <c r="S278"/>
      <c r="T278"/>
      <c r="V278"/>
      <c r="W278"/>
      <c r="X278"/>
      <c r="Y278"/>
      <c r="AA278"/>
    </row>
    <row r="279" spans="7:27" x14ac:dyDescent="0.25">
      <c r="G279"/>
      <c r="H279"/>
      <c r="I279"/>
      <c r="K279"/>
      <c r="L279"/>
      <c r="M279"/>
      <c r="N279"/>
      <c r="O279"/>
      <c r="P279"/>
      <c r="Q279"/>
      <c r="R279"/>
      <c r="S279"/>
      <c r="T279"/>
      <c r="V279"/>
      <c r="W279"/>
      <c r="X279"/>
      <c r="Y279"/>
      <c r="AA279"/>
    </row>
    <row r="280" spans="7:27" x14ac:dyDescent="0.25">
      <c r="G280"/>
      <c r="H280"/>
      <c r="I280"/>
      <c r="K280"/>
      <c r="L280"/>
      <c r="M280"/>
      <c r="N280"/>
      <c r="O280"/>
      <c r="P280"/>
      <c r="Q280"/>
      <c r="R280"/>
      <c r="S280"/>
      <c r="T280"/>
      <c r="V280"/>
      <c r="W280"/>
      <c r="X280"/>
      <c r="Y280"/>
      <c r="AA280"/>
    </row>
    <row r="281" spans="7:27" x14ac:dyDescent="0.25">
      <c r="G281"/>
      <c r="H281"/>
      <c r="I281"/>
      <c r="K281"/>
      <c r="L281"/>
      <c r="M281"/>
      <c r="N281"/>
      <c r="O281"/>
      <c r="P281"/>
      <c r="Q281"/>
      <c r="R281"/>
      <c r="S281"/>
      <c r="T281"/>
      <c r="V281"/>
      <c r="W281"/>
      <c r="X281"/>
      <c r="Y281"/>
      <c r="AA281"/>
    </row>
    <row r="282" spans="7:27" x14ac:dyDescent="0.25">
      <c r="G282"/>
      <c r="H282"/>
      <c r="I282"/>
      <c r="K282"/>
      <c r="L282"/>
      <c r="M282"/>
      <c r="N282"/>
      <c r="O282"/>
      <c r="P282"/>
      <c r="Q282"/>
      <c r="R282"/>
      <c r="S282"/>
      <c r="T282"/>
      <c r="V282"/>
      <c r="W282"/>
      <c r="X282"/>
      <c r="Y282"/>
      <c r="AA282"/>
    </row>
    <row r="283" spans="7:27" x14ac:dyDescent="0.25">
      <c r="G283"/>
      <c r="H283"/>
      <c r="I283"/>
      <c r="K283"/>
      <c r="L283"/>
      <c r="M283"/>
      <c r="N283"/>
      <c r="O283"/>
      <c r="P283"/>
      <c r="Q283"/>
      <c r="R283"/>
      <c r="S283"/>
      <c r="T283"/>
      <c r="V283"/>
      <c r="W283"/>
      <c r="X283"/>
      <c r="Y283"/>
      <c r="AA283"/>
    </row>
    <row r="284" spans="7:27" x14ac:dyDescent="0.25">
      <c r="G284"/>
      <c r="H284"/>
      <c r="I284"/>
      <c r="K284"/>
      <c r="L284"/>
      <c r="M284"/>
      <c r="N284"/>
      <c r="O284"/>
      <c r="P284"/>
      <c r="Q284"/>
      <c r="R284"/>
      <c r="S284"/>
      <c r="T284"/>
      <c r="V284"/>
      <c r="W284"/>
      <c r="X284"/>
      <c r="Y284"/>
      <c r="AA284"/>
    </row>
    <row r="285" spans="7:27" x14ac:dyDescent="0.25">
      <c r="G285"/>
      <c r="H285"/>
      <c r="I285"/>
      <c r="K285"/>
      <c r="L285"/>
      <c r="M285"/>
      <c r="N285"/>
      <c r="O285"/>
      <c r="P285"/>
      <c r="Q285"/>
      <c r="R285"/>
      <c r="S285"/>
      <c r="T285"/>
      <c r="V285"/>
      <c r="W285"/>
      <c r="X285"/>
      <c r="Y285"/>
      <c r="AA285"/>
    </row>
    <row r="286" spans="7:27" x14ac:dyDescent="0.25">
      <c r="G286"/>
      <c r="H286"/>
      <c r="I286"/>
      <c r="K286"/>
      <c r="L286"/>
      <c r="M286"/>
      <c r="N286"/>
      <c r="O286"/>
      <c r="P286"/>
      <c r="Q286"/>
      <c r="R286"/>
      <c r="S286"/>
      <c r="T286"/>
      <c r="V286"/>
      <c r="W286"/>
      <c r="X286"/>
      <c r="Y286"/>
      <c r="AA286"/>
    </row>
    <row r="287" spans="7:27" x14ac:dyDescent="0.25">
      <c r="G287"/>
      <c r="H287"/>
      <c r="I287"/>
      <c r="K287"/>
      <c r="L287"/>
      <c r="M287"/>
      <c r="N287"/>
      <c r="O287"/>
      <c r="P287"/>
      <c r="Q287"/>
      <c r="R287"/>
      <c r="S287"/>
      <c r="T287"/>
      <c r="V287"/>
      <c r="W287"/>
      <c r="X287"/>
      <c r="Y287"/>
      <c r="AA287"/>
    </row>
    <row r="288" spans="7:27" x14ac:dyDescent="0.25">
      <c r="G288"/>
      <c r="H288"/>
      <c r="I288"/>
      <c r="K288"/>
      <c r="L288"/>
      <c r="M288"/>
      <c r="N288"/>
      <c r="O288"/>
      <c r="P288"/>
      <c r="Q288"/>
      <c r="R288"/>
      <c r="S288"/>
      <c r="T288"/>
      <c r="V288"/>
      <c r="W288"/>
      <c r="X288"/>
      <c r="Y288"/>
      <c r="AA288"/>
    </row>
    <row r="289" spans="7:27" x14ac:dyDescent="0.25">
      <c r="G289"/>
      <c r="H289"/>
      <c r="I289"/>
      <c r="K289"/>
      <c r="L289"/>
      <c r="M289"/>
      <c r="N289"/>
      <c r="O289"/>
      <c r="P289"/>
      <c r="Q289"/>
      <c r="R289"/>
      <c r="S289"/>
      <c r="T289"/>
      <c r="V289"/>
      <c r="W289"/>
      <c r="X289"/>
      <c r="Y289"/>
      <c r="AA289"/>
    </row>
    <row r="290" spans="7:27" x14ac:dyDescent="0.25">
      <c r="G290"/>
      <c r="H290"/>
      <c r="I290"/>
      <c r="K290"/>
      <c r="L290"/>
      <c r="M290"/>
      <c r="N290"/>
      <c r="O290"/>
      <c r="P290"/>
      <c r="Q290"/>
      <c r="R290"/>
      <c r="S290"/>
      <c r="T290"/>
      <c r="V290"/>
      <c r="W290"/>
      <c r="X290"/>
      <c r="Y290"/>
      <c r="AA290"/>
    </row>
    <row r="291" spans="7:27" x14ac:dyDescent="0.25">
      <c r="G291"/>
      <c r="H291"/>
      <c r="I291"/>
      <c r="K291"/>
      <c r="L291"/>
      <c r="M291"/>
      <c r="N291"/>
      <c r="O291"/>
      <c r="P291"/>
      <c r="Q291"/>
      <c r="R291"/>
      <c r="S291"/>
      <c r="T291"/>
      <c r="V291"/>
      <c r="W291"/>
      <c r="X291"/>
      <c r="Y291"/>
      <c r="AA291"/>
    </row>
    <row r="292" spans="7:27" x14ac:dyDescent="0.25">
      <c r="G292"/>
      <c r="H292"/>
      <c r="I292"/>
      <c r="K292"/>
      <c r="L292"/>
      <c r="M292"/>
      <c r="N292"/>
      <c r="O292"/>
      <c r="P292"/>
      <c r="Q292"/>
      <c r="R292"/>
      <c r="S292"/>
      <c r="T292"/>
      <c r="V292"/>
      <c r="W292"/>
      <c r="X292"/>
      <c r="Y292"/>
      <c r="AA292"/>
    </row>
    <row r="293" spans="7:27" x14ac:dyDescent="0.25">
      <c r="G293"/>
      <c r="H293"/>
      <c r="I293"/>
      <c r="K293"/>
      <c r="L293"/>
      <c r="M293"/>
      <c r="N293"/>
      <c r="O293"/>
      <c r="P293"/>
      <c r="Q293"/>
      <c r="R293"/>
      <c r="S293"/>
      <c r="T293"/>
      <c r="V293"/>
      <c r="W293"/>
      <c r="X293"/>
      <c r="Y293"/>
      <c r="AA293"/>
    </row>
    <row r="294" spans="7:27" x14ac:dyDescent="0.25">
      <c r="G294"/>
      <c r="H294"/>
      <c r="I294"/>
      <c r="K294"/>
      <c r="L294"/>
      <c r="M294"/>
      <c r="N294"/>
      <c r="O294"/>
      <c r="P294"/>
      <c r="Q294"/>
      <c r="R294"/>
      <c r="S294"/>
      <c r="T294"/>
      <c r="V294"/>
      <c r="W294"/>
      <c r="X294"/>
      <c r="Y294"/>
      <c r="AA294"/>
    </row>
    <row r="295" spans="7:27" x14ac:dyDescent="0.25">
      <c r="G295"/>
      <c r="H295"/>
      <c r="I295"/>
      <c r="K295"/>
      <c r="L295"/>
      <c r="M295"/>
      <c r="N295"/>
      <c r="O295"/>
      <c r="P295"/>
      <c r="Q295"/>
      <c r="R295"/>
      <c r="S295"/>
      <c r="T295"/>
      <c r="V295"/>
      <c r="W295"/>
      <c r="X295"/>
      <c r="Y295"/>
      <c r="AA295"/>
    </row>
    <row r="296" spans="7:27" x14ac:dyDescent="0.25">
      <c r="G296"/>
      <c r="H296"/>
      <c r="I296"/>
      <c r="K296"/>
      <c r="L296"/>
      <c r="M296"/>
      <c r="N296"/>
      <c r="O296"/>
      <c r="P296"/>
      <c r="Q296"/>
      <c r="R296"/>
      <c r="S296"/>
      <c r="T296"/>
      <c r="V296"/>
      <c r="W296"/>
      <c r="X296"/>
      <c r="Y296"/>
      <c r="AA296"/>
    </row>
    <row r="297" spans="7:27" x14ac:dyDescent="0.25">
      <c r="G297"/>
      <c r="H297"/>
      <c r="I297"/>
      <c r="K297"/>
      <c r="L297"/>
      <c r="M297"/>
      <c r="N297"/>
      <c r="O297"/>
      <c r="P297"/>
      <c r="Q297"/>
      <c r="R297"/>
      <c r="S297"/>
      <c r="T297"/>
      <c r="V297"/>
      <c r="W297"/>
      <c r="X297"/>
      <c r="Y297"/>
      <c r="AA297"/>
    </row>
    <row r="298" spans="7:27" x14ac:dyDescent="0.25">
      <c r="G298"/>
      <c r="H298"/>
      <c r="I298"/>
      <c r="K298"/>
      <c r="L298"/>
      <c r="M298"/>
      <c r="N298"/>
      <c r="O298"/>
      <c r="P298"/>
      <c r="Q298"/>
      <c r="R298"/>
      <c r="S298"/>
      <c r="T298"/>
      <c r="V298"/>
      <c r="W298"/>
      <c r="X298"/>
      <c r="Y298"/>
      <c r="AA298"/>
    </row>
    <row r="299" spans="7:27" x14ac:dyDescent="0.25">
      <c r="G299"/>
      <c r="H299"/>
      <c r="I299"/>
      <c r="K299"/>
      <c r="L299"/>
      <c r="M299"/>
      <c r="N299"/>
      <c r="O299"/>
      <c r="P299"/>
      <c r="Q299"/>
      <c r="R299"/>
      <c r="S299"/>
      <c r="T299"/>
      <c r="V299"/>
      <c r="W299"/>
      <c r="X299"/>
      <c r="Y299"/>
      <c r="AA299"/>
    </row>
    <row r="300" spans="7:27" x14ac:dyDescent="0.25">
      <c r="G300"/>
      <c r="H300"/>
      <c r="I300"/>
      <c r="K300"/>
      <c r="L300"/>
      <c r="M300"/>
      <c r="N300"/>
      <c r="O300"/>
      <c r="P300"/>
      <c r="Q300"/>
      <c r="R300"/>
      <c r="S300"/>
      <c r="T300"/>
      <c r="V300"/>
      <c r="W300"/>
      <c r="X300"/>
      <c r="Y300"/>
      <c r="AA300"/>
    </row>
    <row r="301" spans="7:27" x14ac:dyDescent="0.25">
      <c r="G301"/>
      <c r="H301"/>
      <c r="I301"/>
      <c r="K301"/>
      <c r="L301"/>
      <c r="M301"/>
      <c r="N301"/>
      <c r="O301"/>
      <c r="P301"/>
      <c r="Q301"/>
      <c r="R301"/>
      <c r="S301"/>
      <c r="T301"/>
      <c r="V301"/>
      <c r="W301"/>
      <c r="X301"/>
      <c r="Y301"/>
      <c r="AA301"/>
    </row>
    <row r="302" spans="7:27" x14ac:dyDescent="0.25">
      <c r="G302"/>
      <c r="H302"/>
      <c r="I302"/>
      <c r="K302"/>
      <c r="L302"/>
      <c r="M302"/>
      <c r="N302"/>
      <c r="O302"/>
      <c r="P302"/>
      <c r="Q302"/>
      <c r="R302"/>
      <c r="S302"/>
      <c r="T302"/>
      <c r="V302"/>
      <c r="W302"/>
      <c r="X302"/>
      <c r="Y302"/>
      <c r="AA302"/>
    </row>
    <row r="303" spans="7:27" x14ac:dyDescent="0.25">
      <c r="G303"/>
      <c r="H303"/>
      <c r="I303"/>
      <c r="K303"/>
      <c r="L303"/>
      <c r="M303"/>
      <c r="N303"/>
      <c r="O303"/>
      <c r="P303"/>
      <c r="Q303"/>
      <c r="R303"/>
      <c r="S303"/>
      <c r="T303"/>
      <c r="V303"/>
      <c r="W303"/>
      <c r="X303"/>
      <c r="Y303"/>
      <c r="AA303"/>
    </row>
    <row r="304" spans="7:27" x14ac:dyDescent="0.25">
      <c r="G304"/>
      <c r="H304"/>
      <c r="I304"/>
      <c r="K304"/>
      <c r="L304"/>
      <c r="M304"/>
      <c r="N304"/>
      <c r="O304"/>
      <c r="P304"/>
      <c r="Q304"/>
      <c r="R304"/>
      <c r="S304"/>
      <c r="T304"/>
      <c r="V304"/>
      <c r="W304"/>
      <c r="X304"/>
      <c r="Y304"/>
      <c r="AA304"/>
    </row>
    <row r="305" spans="7:27" x14ac:dyDescent="0.25">
      <c r="G305"/>
      <c r="H305"/>
      <c r="I305"/>
      <c r="K305"/>
      <c r="L305"/>
      <c r="M305"/>
      <c r="N305"/>
      <c r="O305"/>
      <c r="P305"/>
      <c r="Q305"/>
      <c r="R305"/>
      <c r="S305"/>
      <c r="T305"/>
      <c r="V305"/>
      <c r="W305"/>
      <c r="X305"/>
      <c r="Y305"/>
      <c r="AA305"/>
    </row>
    <row r="306" spans="7:27" x14ac:dyDescent="0.25">
      <c r="G306"/>
      <c r="H306"/>
      <c r="I306"/>
      <c r="K306"/>
      <c r="L306"/>
      <c r="M306"/>
      <c r="N306"/>
      <c r="O306"/>
      <c r="P306"/>
      <c r="Q306"/>
      <c r="R306"/>
      <c r="S306"/>
      <c r="T306"/>
      <c r="V306"/>
      <c r="W306"/>
      <c r="X306"/>
      <c r="Y306"/>
      <c r="AA306"/>
    </row>
    <row r="307" spans="7:27" x14ac:dyDescent="0.25">
      <c r="G307"/>
      <c r="H307"/>
      <c r="I307"/>
      <c r="K307"/>
      <c r="L307"/>
      <c r="M307"/>
      <c r="N307"/>
      <c r="O307"/>
      <c r="P307"/>
      <c r="Q307"/>
      <c r="R307"/>
      <c r="S307"/>
      <c r="T307"/>
      <c r="V307"/>
      <c r="W307"/>
      <c r="X307"/>
      <c r="Y307"/>
      <c r="AA307"/>
    </row>
    <row r="308" spans="7:27" x14ac:dyDescent="0.25">
      <c r="G308"/>
      <c r="H308"/>
      <c r="I308"/>
      <c r="K308"/>
      <c r="L308"/>
      <c r="M308"/>
      <c r="N308"/>
      <c r="O308"/>
      <c r="P308"/>
      <c r="Q308"/>
      <c r="R308"/>
      <c r="S308"/>
      <c r="T308"/>
      <c r="V308"/>
      <c r="W308"/>
      <c r="X308"/>
      <c r="Y308"/>
      <c r="AA308"/>
    </row>
    <row r="309" spans="7:27" x14ac:dyDescent="0.25">
      <c r="G309"/>
      <c r="H309"/>
      <c r="I309"/>
      <c r="K309"/>
      <c r="L309"/>
      <c r="M309"/>
      <c r="N309"/>
      <c r="O309"/>
      <c r="P309"/>
      <c r="Q309"/>
      <c r="R309"/>
      <c r="S309"/>
      <c r="T309"/>
      <c r="V309"/>
      <c r="W309"/>
      <c r="X309"/>
      <c r="Y309"/>
      <c r="AA309"/>
    </row>
    <row r="310" spans="7:27" x14ac:dyDescent="0.25">
      <c r="G310"/>
      <c r="H310"/>
      <c r="I310"/>
      <c r="K310"/>
      <c r="L310"/>
      <c r="M310"/>
      <c r="N310"/>
      <c r="O310"/>
      <c r="P310"/>
      <c r="Q310"/>
      <c r="R310"/>
      <c r="S310"/>
      <c r="T310"/>
      <c r="V310"/>
      <c r="W310"/>
      <c r="X310"/>
      <c r="Y310"/>
      <c r="AA310"/>
    </row>
    <row r="311" spans="7:27" x14ac:dyDescent="0.25">
      <c r="G311"/>
      <c r="H311"/>
      <c r="I311"/>
      <c r="K311"/>
      <c r="L311"/>
      <c r="M311"/>
      <c r="N311"/>
      <c r="O311"/>
      <c r="P311"/>
      <c r="Q311"/>
      <c r="R311"/>
      <c r="S311"/>
      <c r="T311"/>
      <c r="V311"/>
      <c r="W311"/>
      <c r="X311"/>
      <c r="Y311"/>
      <c r="AA311"/>
    </row>
    <row r="312" spans="7:27" x14ac:dyDescent="0.25">
      <c r="G312"/>
      <c r="H312"/>
      <c r="I312"/>
      <c r="K312"/>
      <c r="L312"/>
      <c r="M312"/>
      <c r="N312"/>
      <c r="O312"/>
      <c r="P312"/>
      <c r="Q312"/>
      <c r="R312"/>
      <c r="S312"/>
      <c r="T312"/>
      <c r="V312"/>
      <c r="W312"/>
      <c r="X312"/>
      <c r="Y312"/>
      <c r="AA312"/>
    </row>
    <row r="313" spans="7:27" x14ac:dyDescent="0.25">
      <c r="G313"/>
      <c r="H313"/>
      <c r="I313"/>
      <c r="K313"/>
      <c r="L313"/>
      <c r="M313"/>
      <c r="N313"/>
      <c r="O313"/>
      <c r="P313"/>
      <c r="Q313"/>
      <c r="R313"/>
      <c r="S313"/>
      <c r="T313"/>
      <c r="V313"/>
      <c r="W313"/>
      <c r="X313"/>
      <c r="Y313"/>
      <c r="AA313"/>
    </row>
    <row r="314" spans="7:27" x14ac:dyDescent="0.25">
      <c r="G314"/>
      <c r="H314"/>
      <c r="I314"/>
      <c r="K314"/>
      <c r="L314"/>
      <c r="M314"/>
      <c r="N314"/>
      <c r="O314"/>
      <c r="P314"/>
      <c r="Q314"/>
      <c r="R314"/>
      <c r="S314"/>
      <c r="T314"/>
      <c r="V314"/>
      <c r="W314"/>
      <c r="X314"/>
      <c r="Y314"/>
      <c r="AA314"/>
    </row>
    <row r="315" spans="7:27" x14ac:dyDescent="0.25">
      <c r="G315"/>
      <c r="H315"/>
      <c r="I315"/>
      <c r="K315"/>
      <c r="L315"/>
      <c r="M315"/>
      <c r="N315"/>
      <c r="O315"/>
      <c r="P315"/>
      <c r="Q315"/>
      <c r="R315"/>
      <c r="S315"/>
      <c r="T315"/>
      <c r="V315"/>
      <c r="W315"/>
      <c r="X315"/>
      <c r="Y315"/>
      <c r="AA315"/>
    </row>
    <row r="316" spans="7:27" x14ac:dyDescent="0.25">
      <c r="G316"/>
      <c r="H316"/>
      <c r="I316"/>
      <c r="K316"/>
      <c r="L316"/>
      <c r="M316"/>
      <c r="N316"/>
      <c r="O316"/>
      <c r="P316"/>
      <c r="Q316"/>
      <c r="R316"/>
      <c r="S316"/>
      <c r="T316"/>
      <c r="V316"/>
      <c r="W316"/>
      <c r="X316"/>
      <c r="Y316"/>
      <c r="AA316"/>
    </row>
    <row r="317" spans="7:27" x14ac:dyDescent="0.25">
      <c r="G317"/>
      <c r="H317"/>
      <c r="I317"/>
      <c r="K317"/>
      <c r="L317"/>
      <c r="M317"/>
      <c r="N317"/>
      <c r="O317"/>
      <c r="P317"/>
      <c r="Q317"/>
      <c r="R317"/>
      <c r="S317"/>
      <c r="T317"/>
      <c r="V317"/>
      <c r="W317"/>
      <c r="X317"/>
      <c r="Y317"/>
      <c r="AA317"/>
    </row>
    <row r="318" spans="7:27" x14ac:dyDescent="0.25">
      <c r="G318"/>
      <c r="H318"/>
      <c r="I318"/>
      <c r="K318"/>
      <c r="L318"/>
      <c r="M318"/>
      <c r="N318"/>
      <c r="O318"/>
      <c r="P318"/>
      <c r="Q318"/>
      <c r="R318"/>
      <c r="S318"/>
      <c r="T318"/>
      <c r="V318"/>
      <c r="W318"/>
      <c r="X318"/>
      <c r="Y318"/>
      <c r="AA318"/>
    </row>
    <row r="319" spans="7:27" x14ac:dyDescent="0.25">
      <c r="G319"/>
      <c r="H319"/>
      <c r="I319"/>
      <c r="K319"/>
      <c r="L319"/>
      <c r="M319"/>
      <c r="N319"/>
      <c r="O319"/>
      <c r="P319"/>
      <c r="Q319"/>
      <c r="R319"/>
      <c r="S319"/>
      <c r="T319"/>
      <c r="V319"/>
      <c r="W319"/>
      <c r="X319"/>
      <c r="Y319"/>
      <c r="AA319"/>
    </row>
    <row r="320" spans="7:27" x14ac:dyDescent="0.25">
      <c r="G320"/>
      <c r="H320"/>
      <c r="I320"/>
      <c r="K320"/>
      <c r="L320"/>
      <c r="M320"/>
      <c r="N320"/>
      <c r="O320"/>
      <c r="P320"/>
      <c r="Q320"/>
      <c r="R320"/>
      <c r="S320"/>
      <c r="T320"/>
      <c r="V320"/>
      <c r="W320"/>
      <c r="X320"/>
      <c r="Y320"/>
      <c r="AA320"/>
    </row>
    <row r="321" spans="7:27" x14ac:dyDescent="0.25">
      <c r="G321"/>
      <c r="H321"/>
      <c r="I321"/>
      <c r="K321"/>
      <c r="L321"/>
      <c r="M321"/>
      <c r="N321"/>
      <c r="O321"/>
      <c r="P321"/>
      <c r="Q321"/>
      <c r="R321"/>
      <c r="S321"/>
      <c r="T321"/>
      <c r="V321"/>
      <c r="W321"/>
      <c r="X321"/>
      <c r="Y321"/>
      <c r="AA321"/>
    </row>
    <row r="322" spans="7:27" x14ac:dyDescent="0.25">
      <c r="G322"/>
      <c r="H322"/>
      <c r="I322"/>
      <c r="K322"/>
      <c r="L322"/>
      <c r="M322"/>
      <c r="N322"/>
      <c r="O322"/>
      <c r="P322"/>
      <c r="Q322"/>
      <c r="R322"/>
      <c r="S322"/>
      <c r="T322"/>
      <c r="V322"/>
      <c r="W322"/>
      <c r="X322"/>
      <c r="Y322"/>
      <c r="AA322"/>
    </row>
    <row r="323" spans="7:27" x14ac:dyDescent="0.25">
      <c r="G323"/>
      <c r="H323"/>
      <c r="I323"/>
      <c r="K323"/>
      <c r="L323"/>
      <c r="M323"/>
      <c r="N323"/>
      <c r="O323"/>
      <c r="P323"/>
      <c r="Q323"/>
      <c r="R323"/>
      <c r="S323"/>
      <c r="T323"/>
      <c r="V323"/>
      <c r="W323"/>
      <c r="X323"/>
      <c r="Y323"/>
      <c r="AA323"/>
    </row>
    <row r="324" spans="7:27" x14ac:dyDescent="0.25">
      <c r="G324"/>
      <c r="H324"/>
      <c r="I324"/>
      <c r="K324"/>
      <c r="L324"/>
      <c r="M324"/>
      <c r="N324"/>
      <c r="O324"/>
      <c r="P324"/>
      <c r="Q324"/>
      <c r="R324"/>
      <c r="S324"/>
      <c r="T324"/>
      <c r="V324"/>
      <c r="W324"/>
      <c r="X324"/>
      <c r="Y324"/>
      <c r="AA324"/>
    </row>
    <row r="325" spans="7:27" x14ac:dyDescent="0.25">
      <c r="G325"/>
      <c r="H325"/>
      <c r="I325"/>
      <c r="K325"/>
      <c r="L325"/>
      <c r="M325"/>
      <c r="N325"/>
      <c r="O325"/>
      <c r="P325"/>
      <c r="Q325"/>
      <c r="R325"/>
      <c r="S325"/>
      <c r="T325"/>
      <c r="V325"/>
      <c r="W325"/>
      <c r="X325"/>
      <c r="Y325"/>
      <c r="AA325"/>
    </row>
    <row r="326" spans="7:27" x14ac:dyDescent="0.25">
      <c r="G326"/>
      <c r="H326"/>
      <c r="I326"/>
      <c r="K326"/>
      <c r="L326"/>
      <c r="M326"/>
      <c r="N326"/>
      <c r="O326"/>
      <c r="P326"/>
      <c r="Q326"/>
      <c r="R326"/>
      <c r="S326"/>
      <c r="T326"/>
      <c r="V326"/>
      <c r="W326"/>
      <c r="X326"/>
      <c r="Y326"/>
      <c r="AA326"/>
    </row>
    <row r="327" spans="7:27" x14ac:dyDescent="0.25">
      <c r="G327"/>
      <c r="H327"/>
      <c r="I327"/>
      <c r="K327"/>
      <c r="L327"/>
      <c r="M327"/>
      <c r="N327"/>
      <c r="O327"/>
      <c r="P327"/>
      <c r="Q327"/>
      <c r="R327"/>
      <c r="S327"/>
      <c r="T327"/>
      <c r="V327"/>
      <c r="W327"/>
      <c r="X327"/>
      <c r="Y327"/>
      <c r="AA327"/>
    </row>
    <row r="328" spans="7:27" x14ac:dyDescent="0.25">
      <c r="G328"/>
      <c r="H328"/>
      <c r="I328"/>
      <c r="K328"/>
      <c r="L328"/>
      <c r="M328"/>
      <c r="N328"/>
      <c r="O328"/>
      <c r="P328"/>
      <c r="Q328"/>
      <c r="R328"/>
      <c r="S328"/>
      <c r="T328"/>
      <c r="V328"/>
      <c r="W328"/>
      <c r="X328"/>
      <c r="Y328"/>
      <c r="AA328"/>
    </row>
    <row r="329" spans="7:27" x14ac:dyDescent="0.25">
      <c r="G329"/>
      <c r="H329"/>
      <c r="I329"/>
      <c r="K329"/>
      <c r="L329"/>
      <c r="M329"/>
      <c r="N329"/>
      <c r="O329"/>
      <c r="P329"/>
      <c r="Q329"/>
      <c r="R329"/>
      <c r="S329"/>
      <c r="T329"/>
      <c r="V329"/>
      <c r="W329"/>
      <c r="X329"/>
      <c r="Y329"/>
      <c r="AA329"/>
    </row>
    <row r="330" spans="7:27" x14ac:dyDescent="0.25">
      <c r="G330"/>
      <c r="H330"/>
      <c r="I330"/>
      <c r="K330"/>
      <c r="L330"/>
      <c r="M330"/>
      <c r="N330"/>
      <c r="O330"/>
      <c r="P330"/>
      <c r="Q330"/>
      <c r="R330"/>
      <c r="S330"/>
      <c r="T330"/>
      <c r="V330"/>
      <c r="W330"/>
      <c r="X330"/>
      <c r="Y330"/>
      <c r="AA330"/>
    </row>
    <row r="331" spans="7:27" x14ac:dyDescent="0.25">
      <c r="G331"/>
      <c r="H331"/>
      <c r="I331"/>
      <c r="K331"/>
      <c r="L331"/>
      <c r="M331"/>
      <c r="N331"/>
      <c r="O331"/>
      <c r="P331"/>
      <c r="Q331"/>
      <c r="R331"/>
      <c r="S331"/>
      <c r="T331"/>
      <c r="V331"/>
      <c r="W331"/>
      <c r="X331"/>
      <c r="Y331"/>
      <c r="AA331"/>
    </row>
    <row r="332" spans="7:27" x14ac:dyDescent="0.25">
      <c r="G332"/>
      <c r="H332"/>
      <c r="I332"/>
      <c r="K332"/>
      <c r="L332"/>
      <c r="M332"/>
      <c r="N332"/>
      <c r="O332"/>
      <c r="P332"/>
      <c r="Q332"/>
      <c r="R332"/>
      <c r="S332"/>
      <c r="T332"/>
      <c r="V332"/>
      <c r="W332"/>
      <c r="X332"/>
      <c r="Y332"/>
      <c r="AA332"/>
    </row>
    <row r="333" spans="7:27" x14ac:dyDescent="0.25">
      <c r="G333"/>
      <c r="H333"/>
      <c r="I333"/>
      <c r="K333"/>
      <c r="L333"/>
      <c r="M333"/>
      <c r="N333"/>
      <c r="O333"/>
      <c r="P333"/>
      <c r="Q333"/>
      <c r="R333"/>
      <c r="S333"/>
      <c r="T333"/>
      <c r="V333"/>
      <c r="W333"/>
      <c r="X333"/>
      <c r="Y333"/>
      <c r="AA333"/>
    </row>
    <row r="334" spans="7:27" x14ac:dyDescent="0.25">
      <c r="G334"/>
      <c r="H334"/>
      <c r="I334"/>
      <c r="K334"/>
      <c r="L334"/>
      <c r="M334"/>
      <c r="N334"/>
      <c r="O334"/>
      <c r="P334"/>
      <c r="Q334"/>
      <c r="R334"/>
      <c r="S334"/>
      <c r="T334"/>
      <c r="V334"/>
      <c r="W334"/>
      <c r="X334"/>
      <c r="Y334"/>
      <c r="AA334"/>
    </row>
    <row r="335" spans="7:27" x14ac:dyDescent="0.25">
      <c r="G335"/>
      <c r="H335"/>
      <c r="I335"/>
      <c r="K335"/>
      <c r="L335"/>
      <c r="M335"/>
      <c r="N335"/>
      <c r="O335"/>
      <c r="P335"/>
      <c r="Q335"/>
      <c r="R335"/>
      <c r="S335"/>
      <c r="T335"/>
      <c r="V335"/>
      <c r="W335"/>
      <c r="X335"/>
      <c r="Y335"/>
      <c r="AA335"/>
    </row>
    <row r="336" spans="7:27" x14ac:dyDescent="0.25">
      <c r="G336"/>
      <c r="H336"/>
      <c r="I336"/>
      <c r="K336"/>
      <c r="L336"/>
      <c r="M336"/>
      <c r="N336"/>
      <c r="O336"/>
      <c r="P336"/>
      <c r="Q336"/>
      <c r="R336"/>
      <c r="S336"/>
      <c r="T336"/>
      <c r="V336"/>
      <c r="W336"/>
      <c r="X336"/>
      <c r="Y336"/>
      <c r="AA336"/>
    </row>
    <row r="337" spans="7:27" x14ac:dyDescent="0.25">
      <c r="G337"/>
      <c r="H337"/>
      <c r="I337"/>
      <c r="K337"/>
      <c r="L337"/>
      <c r="M337"/>
      <c r="N337"/>
      <c r="O337"/>
      <c r="P337"/>
      <c r="Q337"/>
      <c r="R337"/>
      <c r="S337"/>
      <c r="T337"/>
      <c r="V337"/>
      <c r="W337"/>
      <c r="X337"/>
      <c r="Y337"/>
      <c r="AA337"/>
    </row>
    <row r="338" spans="7:27" x14ac:dyDescent="0.25">
      <c r="G338"/>
      <c r="H338"/>
      <c r="I338"/>
      <c r="K338"/>
      <c r="L338"/>
      <c r="M338"/>
      <c r="N338"/>
      <c r="O338"/>
      <c r="P338"/>
      <c r="Q338"/>
      <c r="R338"/>
      <c r="S338"/>
      <c r="T338"/>
      <c r="V338"/>
      <c r="W338"/>
      <c r="X338"/>
      <c r="Y338"/>
      <c r="AA338"/>
    </row>
    <row r="339" spans="7:27" x14ac:dyDescent="0.25">
      <c r="G339"/>
      <c r="H339"/>
      <c r="I339"/>
      <c r="K339"/>
      <c r="L339"/>
      <c r="M339"/>
      <c r="N339"/>
      <c r="O339"/>
      <c r="P339"/>
      <c r="Q339"/>
      <c r="R339"/>
      <c r="S339"/>
      <c r="T339"/>
      <c r="V339"/>
      <c r="W339"/>
      <c r="X339"/>
      <c r="Y339"/>
      <c r="AA339"/>
    </row>
    <row r="340" spans="7:27" x14ac:dyDescent="0.25">
      <c r="G340"/>
      <c r="H340"/>
      <c r="I340"/>
      <c r="K340"/>
      <c r="L340"/>
      <c r="M340"/>
      <c r="N340"/>
      <c r="O340"/>
      <c r="P340"/>
      <c r="Q340"/>
      <c r="R340"/>
      <c r="S340"/>
      <c r="T340"/>
      <c r="V340"/>
      <c r="W340"/>
      <c r="X340"/>
      <c r="Y340"/>
      <c r="AA340"/>
    </row>
    <row r="341" spans="7:27" x14ac:dyDescent="0.25">
      <c r="G341"/>
      <c r="H341"/>
      <c r="I341"/>
      <c r="K341"/>
      <c r="L341"/>
      <c r="M341"/>
      <c r="N341"/>
      <c r="O341"/>
      <c r="P341"/>
      <c r="Q341"/>
      <c r="R341"/>
      <c r="S341"/>
      <c r="T341"/>
      <c r="V341"/>
      <c r="W341"/>
      <c r="X341"/>
      <c r="Y341"/>
      <c r="AA341"/>
    </row>
    <row r="342" spans="7:27" x14ac:dyDescent="0.25">
      <c r="G342"/>
      <c r="H342"/>
      <c r="I342"/>
      <c r="K342"/>
      <c r="L342"/>
      <c r="M342"/>
      <c r="N342"/>
      <c r="O342"/>
      <c r="P342"/>
      <c r="Q342"/>
      <c r="R342"/>
      <c r="S342"/>
      <c r="T342"/>
      <c r="V342"/>
      <c r="W342"/>
      <c r="X342"/>
      <c r="Y342"/>
      <c r="AA342"/>
    </row>
    <row r="343" spans="7:27" x14ac:dyDescent="0.25">
      <c r="G343"/>
      <c r="H343"/>
      <c r="I343"/>
      <c r="K343"/>
      <c r="L343"/>
      <c r="M343"/>
      <c r="N343"/>
      <c r="O343"/>
      <c r="P343"/>
      <c r="Q343"/>
      <c r="R343"/>
      <c r="S343"/>
      <c r="T343"/>
      <c r="V343"/>
      <c r="W343"/>
      <c r="X343"/>
      <c r="Y343"/>
      <c r="AA343"/>
    </row>
    <row r="344" spans="7:27" x14ac:dyDescent="0.25">
      <c r="G344"/>
      <c r="H344"/>
      <c r="I344"/>
      <c r="K344"/>
      <c r="L344"/>
      <c r="M344"/>
      <c r="N344"/>
      <c r="O344"/>
      <c r="P344"/>
      <c r="Q344"/>
      <c r="R344"/>
      <c r="S344"/>
      <c r="T344"/>
      <c r="V344"/>
      <c r="W344"/>
      <c r="X344"/>
      <c r="Y344"/>
      <c r="AA344"/>
    </row>
    <row r="345" spans="7:27" x14ac:dyDescent="0.25">
      <c r="G345"/>
      <c r="H345"/>
      <c r="I345"/>
      <c r="K345"/>
      <c r="L345"/>
      <c r="M345"/>
      <c r="N345"/>
      <c r="O345"/>
      <c r="P345"/>
      <c r="Q345"/>
      <c r="R345"/>
      <c r="S345"/>
      <c r="T345"/>
      <c r="V345"/>
      <c r="W345"/>
      <c r="X345"/>
      <c r="Y345"/>
      <c r="AA345"/>
    </row>
    <row r="346" spans="7:27" x14ac:dyDescent="0.25">
      <c r="G346"/>
      <c r="H346"/>
      <c r="I346"/>
      <c r="K346"/>
      <c r="L346"/>
      <c r="M346"/>
      <c r="N346"/>
      <c r="O346"/>
      <c r="P346"/>
      <c r="Q346"/>
      <c r="R346"/>
      <c r="S346"/>
      <c r="T346"/>
      <c r="V346"/>
      <c r="W346"/>
      <c r="X346"/>
      <c r="Y346"/>
      <c r="AA346"/>
    </row>
    <row r="347" spans="7:27" x14ac:dyDescent="0.25">
      <c r="G347"/>
      <c r="H347"/>
      <c r="I347"/>
      <c r="K347"/>
      <c r="L347"/>
      <c r="M347"/>
      <c r="N347"/>
      <c r="O347"/>
      <c r="P347"/>
      <c r="Q347"/>
      <c r="R347"/>
      <c r="S347"/>
      <c r="T347"/>
      <c r="V347"/>
      <c r="W347"/>
      <c r="X347"/>
      <c r="Y347"/>
      <c r="AA347"/>
    </row>
    <row r="348" spans="7:27" x14ac:dyDescent="0.25">
      <c r="G348"/>
      <c r="H348"/>
      <c r="I348"/>
      <c r="K348"/>
      <c r="L348"/>
      <c r="M348"/>
      <c r="N348"/>
      <c r="O348"/>
      <c r="P348"/>
      <c r="Q348"/>
      <c r="R348"/>
      <c r="S348"/>
      <c r="T348"/>
      <c r="V348"/>
      <c r="W348"/>
      <c r="X348"/>
      <c r="Y348"/>
      <c r="AA348"/>
    </row>
    <row r="349" spans="7:27" x14ac:dyDescent="0.25">
      <c r="G349"/>
      <c r="H349"/>
      <c r="I349"/>
      <c r="K349"/>
      <c r="L349"/>
      <c r="M349"/>
      <c r="N349"/>
      <c r="O349"/>
      <c r="P349"/>
      <c r="Q349"/>
      <c r="R349"/>
      <c r="S349"/>
      <c r="T349"/>
      <c r="V349"/>
      <c r="W349"/>
      <c r="X349"/>
      <c r="Y349"/>
      <c r="AA349"/>
    </row>
    <row r="350" spans="7:27" x14ac:dyDescent="0.25">
      <c r="G350"/>
      <c r="H350"/>
      <c r="I350"/>
      <c r="K350"/>
      <c r="L350"/>
      <c r="M350"/>
      <c r="N350"/>
      <c r="O350"/>
      <c r="P350"/>
      <c r="Q350"/>
      <c r="R350"/>
      <c r="S350"/>
      <c r="T350"/>
      <c r="V350"/>
      <c r="W350"/>
      <c r="X350"/>
      <c r="Y350"/>
      <c r="AA350"/>
    </row>
    <row r="351" spans="7:27" x14ac:dyDescent="0.25">
      <c r="G351"/>
      <c r="H351"/>
      <c r="I351"/>
      <c r="K351"/>
      <c r="L351"/>
      <c r="M351"/>
      <c r="N351"/>
      <c r="O351"/>
      <c r="P351"/>
      <c r="Q351"/>
      <c r="R351"/>
      <c r="S351"/>
      <c r="T351"/>
      <c r="V351"/>
      <c r="W351"/>
      <c r="X351"/>
      <c r="Y351"/>
      <c r="AA351"/>
    </row>
    <row r="352" spans="7:27" x14ac:dyDescent="0.25">
      <c r="G352"/>
      <c r="H352"/>
      <c r="I352"/>
      <c r="K352"/>
      <c r="L352"/>
      <c r="M352"/>
      <c r="N352"/>
      <c r="O352"/>
      <c r="P352"/>
      <c r="Q352"/>
      <c r="R352"/>
      <c r="S352"/>
      <c r="T352"/>
      <c r="V352"/>
      <c r="W352"/>
      <c r="X352"/>
      <c r="Y352"/>
      <c r="AA352"/>
    </row>
    <row r="353" spans="7:27" x14ac:dyDescent="0.25">
      <c r="G353"/>
      <c r="H353"/>
      <c r="I353"/>
      <c r="K353"/>
      <c r="L353"/>
      <c r="M353"/>
      <c r="N353"/>
      <c r="O353"/>
      <c r="P353"/>
      <c r="Q353"/>
      <c r="R353"/>
      <c r="S353"/>
      <c r="T353"/>
      <c r="V353"/>
      <c r="W353"/>
      <c r="X353"/>
      <c r="Y353"/>
      <c r="AA353"/>
    </row>
    <row r="354" spans="7:27" x14ac:dyDescent="0.25">
      <c r="G354"/>
      <c r="H354"/>
      <c r="I354"/>
      <c r="K354"/>
      <c r="L354"/>
      <c r="M354"/>
      <c r="N354"/>
      <c r="O354"/>
      <c r="P354"/>
      <c r="Q354"/>
      <c r="R354"/>
      <c r="S354"/>
      <c r="T354"/>
      <c r="V354"/>
      <c r="W354"/>
      <c r="X354"/>
      <c r="Y354"/>
      <c r="AA354"/>
    </row>
    <row r="355" spans="7:27" x14ac:dyDescent="0.25">
      <c r="G355"/>
      <c r="H355"/>
      <c r="I355"/>
      <c r="K355"/>
      <c r="L355"/>
      <c r="M355"/>
      <c r="N355"/>
      <c r="O355"/>
      <c r="P355"/>
      <c r="Q355"/>
      <c r="R355"/>
      <c r="S355"/>
      <c r="T355"/>
      <c r="V355"/>
      <c r="W355"/>
      <c r="X355"/>
      <c r="Y355"/>
      <c r="AA355"/>
    </row>
    <row r="356" spans="7:27" x14ac:dyDescent="0.25">
      <c r="G356"/>
      <c r="H356"/>
      <c r="I356"/>
      <c r="K356"/>
      <c r="L356"/>
      <c r="M356"/>
      <c r="N356"/>
      <c r="O356"/>
      <c r="P356"/>
      <c r="Q356"/>
      <c r="R356"/>
      <c r="S356"/>
      <c r="T356"/>
      <c r="V356"/>
      <c r="W356"/>
      <c r="X356"/>
      <c r="Y356"/>
      <c r="AA356"/>
    </row>
    <row r="357" spans="7:27" x14ac:dyDescent="0.25">
      <c r="G357"/>
      <c r="H357"/>
      <c r="I357"/>
      <c r="K357"/>
      <c r="L357"/>
      <c r="M357"/>
      <c r="N357"/>
      <c r="O357"/>
      <c r="P357"/>
      <c r="Q357"/>
      <c r="R357"/>
      <c r="S357"/>
      <c r="T357"/>
      <c r="V357"/>
      <c r="W357"/>
      <c r="X357"/>
      <c r="Y357"/>
      <c r="AA357"/>
    </row>
    <row r="358" spans="7:27" x14ac:dyDescent="0.25">
      <c r="G358"/>
      <c r="H358"/>
      <c r="I358"/>
      <c r="K358"/>
      <c r="L358"/>
      <c r="M358"/>
      <c r="N358"/>
      <c r="O358"/>
      <c r="P358"/>
      <c r="Q358"/>
      <c r="R358"/>
      <c r="S358"/>
      <c r="T358"/>
      <c r="V358"/>
      <c r="W358"/>
      <c r="X358"/>
      <c r="Y358"/>
      <c r="AA358"/>
    </row>
    <row r="359" spans="7:27" x14ac:dyDescent="0.25">
      <c r="G359"/>
      <c r="H359"/>
      <c r="I359"/>
      <c r="K359"/>
      <c r="L359"/>
      <c r="M359"/>
      <c r="N359"/>
      <c r="O359"/>
      <c r="P359"/>
      <c r="Q359"/>
      <c r="R359"/>
      <c r="S359"/>
      <c r="T359"/>
      <c r="V359"/>
      <c r="W359"/>
      <c r="X359"/>
      <c r="Y359"/>
      <c r="AA359"/>
    </row>
    <row r="360" spans="7:27" x14ac:dyDescent="0.25">
      <c r="G360"/>
      <c r="H360"/>
      <c r="I360"/>
      <c r="K360"/>
      <c r="L360"/>
      <c r="M360"/>
      <c r="N360"/>
      <c r="O360"/>
      <c r="P360"/>
      <c r="Q360"/>
      <c r="R360"/>
      <c r="S360"/>
      <c r="T360"/>
      <c r="V360"/>
      <c r="W360"/>
      <c r="X360"/>
      <c r="Y360"/>
      <c r="AA360"/>
    </row>
    <row r="361" spans="7:27" x14ac:dyDescent="0.25">
      <c r="G361"/>
      <c r="H361"/>
      <c r="I361"/>
      <c r="K361"/>
      <c r="L361"/>
      <c r="M361"/>
      <c r="N361"/>
      <c r="O361"/>
      <c r="P361"/>
      <c r="Q361"/>
      <c r="R361"/>
      <c r="S361"/>
      <c r="T361"/>
      <c r="V361"/>
      <c r="W361"/>
      <c r="X361"/>
      <c r="Y361"/>
      <c r="AA361"/>
    </row>
    <row r="362" spans="7:27" x14ac:dyDescent="0.25">
      <c r="G362"/>
      <c r="H362"/>
      <c r="I362"/>
      <c r="K362"/>
      <c r="L362"/>
      <c r="M362"/>
      <c r="N362"/>
      <c r="O362"/>
      <c r="P362"/>
      <c r="Q362"/>
      <c r="R362"/>
      <c r="S362"/>
      <c r="T362"/>
      <c r="V362"/>
      <c r="W362"/>
      <c r="X362"/>
      <c r="Y362"/>
      <c r="AA362"/>
    </row>
    <row r="363" spans="7:27" x14ac:dyDescent="0.25">
      <c r="G363"/>
      <c r="H363"/>
      <c r="I363"/>
      <c r="K363"/>
      <c r="L363"/>
      <c r="M363"/>
      <c r="N363"/>
      <c r="O363"/>
      <c r="P363"/>
      <c r="Q363"/>
      <c r="R363"/>
      <c r="S363"/>
      <c r="T363"/>
      <c r="V363"/>
      <c r="W363"/>
      <c r="X363"/>
      <c r="Y363"/>
      <c r="AA363"/>
    </row>
    <row r="364" spans="7:27" x14ac:dyDescent="0.25">
      <c r="G364"/>
      <c r="H364"/>
      <c r="I364"/>
      <c r="K364"/>
      <c r="L364"/>
      <c r="M364"/>
      <c r="N364"/>
      <c r="O364"/>
      <c r="P364"/>
      <c r="Q364"/>
      <c r="R364"/>
      <c r="S364"/>
      <c r="T364"/>
      <c r="V364"/>
      <c r="W364"/>
      <c r="X364"/>
      <c r="Y364"/>
      <c r="AA364"/>
    </row>
    <row r="365" spans="7:27" x14ac:dyDescent="0.25">
      <c r="G365"/>
      <c r="H365"/>
      <c r="I365"/>
      <c r="K365"/>
      <c r="L365"/>
      <c r="M365"/>
      <c r="N365"/>
      <c r="O365"/>
      <c r="P365"/>
      <c r="Q365"/>
      <c r="R365"/>
      <c r="S365"/>
      <c r="T365"/>
      <c r="V365"/>
      <c r="W365"/>
      <c r="X365"/>
      <c r="Y365"/>
      <c r="AA365"/>
    </row>
    <row r="366" spans="7:27" x14ac:dyDescent="0.25">
      <c r="G366"/>
      <c r="H366"/>
      <c r="I366"/>
      <c r="K366"/>
      <c r="L366"/>
      <c r="M366"/>
      <c r="N366"/>
      <c r="O366"/>
      <c r="P366"/>
      <c r="Q366"/>
      <c r="R366"/>
      <c r="S366"/>
      <c r="T366"/>
      <c r="V366"/>
      <c r="W366"/>
      <c r="X366"/>
      <c r="Y366"/>
      <c r="AA366"/>
    </row>
    <row r="367" spans="7:27" x14ac:dyDescent="0.25">
      <c r="G367"/>
      <c r="H367"/>
      <c r="I367"/>
      <c r="K367"/>
      <c r="L367"/>
      <c r="M367"/>
      <c r="N367"/>
      <c r="O367"/>
      <c r="P367"/>
      <c r="Q367"/>
      <c r="R367"/>
      <c r="S367"/>
      <c r="T367"/>
      <c r="V367"/>
      <c r="W367"/>
      <c r="X367"/>
      <c r="Y367"/>
      <c r="AA367"/>
    </row>
    <row r="368" spans="7:27" x14ac:dyDescent="0.25">
      <c r="G368"/>
      <c r="H368"/>
      <c r="I368"/>
      <c r="K368"/>
      <c r="L368"/>
      <c r="M368"/>
      <c r="N368"/>
      <c r="O368"/>
      <c r="P368"/>
      <c r="Q368"/>
      <c r="R368"/>
      <c r="S368"/>
      <c r="T368"/>
      <c r="V368"/>
      <c r="W368"/>
      <c r="X368"/>
      <c r="Y368"/>
      <c r="AA368"/>
    </row>
    <row r="369" spans="7:27" x14ac:dyDescent="0.25">
      <c r="G369"/>
      <c r="H369"/>
      <c r="I369"/>
      <c r="K369"/>
      <c r="L369"/>
      <c r="M369"/>
      <c r="N369"/>
      <c r="O369"/>
      <c r="P369"/>
      <c r="Q369"/>
      <c r="R369"/>
      <c r="S369"/>
      <c r="T369"/>
      <c r="V369"/>
      <c r="W369"/>
      <c r="X369"/>
      <c r="Y369"/>
      <c r="AA369"/>
    </row>
    <row r="370" spans="7:27" x14ac:dyDescent="0.25">
      <c r="G370"/>
      <c r="H370"/>
      <c r="I370"/>
      <c r="K370"/>
      <c r="L370"/>
      <c r="M370"/>
      <c r="N370"/>
      <c r="O370"/>
      <c r="P370"/>
      <c r="Q370"/>
      <c r="R370"/>
      <c r="S370"/>
      <c r="T370"/>
      <c r="V370"/>
      <c r="W370"/>
      <c r="X370"/>
      <c r="Y370"/>
      <c r="AA370"/>
    </row>
    <row r="371" spans="7:27" x14ac:dyDescent="0.25">
      <c r="G371"/>
      <c r="H371"/>
      <c r="I371"/>
      <c r="K371"/>
      <c r="L371"/>
      <c r="M371"/>
      <c r="N371"/>
      <c r="O371"/>
      <c r="P371"/>
      <c r="Q371"/>
      <c r="R371"/>
      <c r="S371"/>
      <c r="T371"/>
      <c r="V371"/>
      <c r="W371"/>
      <c r="X371"/>
      <c r="Y371"/>
      <c r="AA371"/>
    </row>
    <row r="372" spans="7:27" x14ac:dyDescent="0.25">
      <c r="G372"/>
      <c r="H372"/>
      <c r="I372"/>
      <c r="K372"/>
      <c r="L372"/>
      <c r="M372"/>
      <c r="N372"/>
      <c r="O372"/>
      <c r="P372"/>
      <c r="Q372"/>
      <c r="R372"/>
      <c r="S372"/>
      <c r="T372"/>
      <c r="V372"/>
      <c r="W372"/>
      <c r="X372"/>
      <c r="Y372"/>
      <c r="AA372"/>
    </row>
    <row r="373" spans="7:27" x14ac:dyDescent="0.25">
      <c r="G373"/>
      <c r="H373"/>
      <c r="I373"/>
      <c r="K373"/>
      <c r="L373"/>
      <c r="M373"/>
      <c r="N373"/>
      <c r="O373"/>
      <c r="P373"/>
      <c r="Q373"/>
      <c r="R373"/>
      <c r="S373"/>
      <c r="T373"/>
      <c r="V373"/>
      <c r="W373"/>
      <c r="X373"/>
      <c r="Y373"/>
      <c r="AA373"/>
    </row>
    <row r="374" spans="7:27" x14ac:dyDescent="0.25">
      <c r="G374"/>
      <c r="H374"/>
      <c r="I374"/>
      <c r="K374"/>
      <c r="L374"/>
      <c r="M374"/>
      <c r="N374"/>
      <c r="O374"/>
      <c r="P374"/>
      <c r="Q374"/>
      <c r="R374"/>
      <c r="S374"/>
      <c r="T374"/>
      <c r="V374"/>
      <c r="W374"/>
      <c r="X374"/>
      <c r="Y374"/>
      <c r="AA374"/>
    </row>
    <row r="375" spans="7:27" x14ac:dyDescent="0.25">
      <c r="G375"/>
      <c r="H375"/>
      <c r="I375"/>
      <c r="K375"/>
      <c r="L375"/>
      <c r="M375"/>
      <c r="N375"/>
      <c r="O375"/>
      <c r="P375"/>
      <c r="Q375"/>
      <c r="R375"/>
      <c r="S375"/>
      <c r="T375"/>
      <c r="V375"/>
      <c r="W375"/>
      <c r="X375"/>
      <c r="Y375"/>
      <c r="AA375"/>
    </row>
    <row r="376" spans="7:27" x14ac:dyDescent="0.25">
      <c r="G376"/>
      <c r="H376"/>
      <c r="I376"/>
      <c r="K376"/>
      <c r="L376"/>
      <c r="M376"/>
      <c r="N376"/>
      <c r="O376"/>
      <c r="P376"/>
      <c r="Q376"/>
      <c r="R376"/>
      <c r="S376"/>
      <c r="T376"/>
      <c r="V376"/>
      <c r="W376"/>
      <c r="X376"/>
      <c r="Y376"/>
      <c r="AA376"/>
    </row>
    <row r="377" spans="7:27" x14ac:dyDescent="0.25">
      <c r="G377"/>
      <c r="H377"/>
      <c r="I377"/>
      <c r="K377"/>
      <c r="L377"/>
      <c r="M377"/>
      <c r="N377"/>
      <c r="O377"/>
      <c r="P377"/>
      <c r="Q377"/>
      <c r="R377"/>
      <c r="S377"/>
      <c r="T377"/>
      <c r="V377"/>
      <c r="W377"/>
      <c r="X377"/>
      <c r="Y377"/>
      <c r="AA377"/>
    </row>
    <row r="378" spans="7:27" x14ac:dyDescent="0.25">
      <c r="G378"/>
      <c r="H378"/>
      <c r="I378"/>
      <c r="K378"/>
      <c r="L378"/>
      <c r="M378"/>
      <c r="N378"/>
      <c r="O378"/>
      <c r="P378"/>
      <c r="Q378"/>
      <c r="R378"/>
      <c r="S378"/>
      <c r="T378"/>
      <c r="V378"/>
      <c r="W378"/>
      <c r="X378"/>
      <c r="Y378"/>
      <c r="AA378"/>
    </row>
    <row r="379" spans="7:27" x14ac:dyDescent="0.25">
      <c r="G379"/>
      <c r="H379"/>
      <c r="I379"/>
      <c r="K379"/>
      <c r="L379"/>
      <c r="M379"/>
      <c r="N379"/>
      <c r="O379"/>
      <c r="P379"/>
      <c r="Q379"/>
      <c r="R379"/>
      <c r="S379"/>
      <c r="T379"/>
      <c r="V379"/>
      <c r="W379"/>
      <c r="X379"/>
      <c r="Y379"/>
      <c r="AA379"/>
    </row>
    <row r="380" spans="7:27" x14ac:dyDescent="0.25">
      <c r="G380"/>
      <c r="H380"/>
      <c r="I380"/>
      <c r="K380"/>
      <c r="L380"/>
      <c r="M380"/>
      <c r="N380"/>
      <c r="O380"/>
      <c r="P380"/>
      <c r="Q380"/>
      <c r="R380"/>
      <c r="S380"/>
      <c r="T380"/>
      <c r="V380"/>
      <c r="W380"/>
      <c r="X380"/>
      <c r="Y380"/>
      <c r="AA380"/>
    </row>
    <row r="381" spans="7:27" x14ac:dyDescent="0.25">
      <c r="G381"/>
      <c r="H381"/>
      <c r="I381"/>
      <c r="K381"/>
      <c r="L381"/>
      <c r="M381"/>
      <c r="N381"/>
      <c r="O381"/>
      <c r="P381"/>
      <c r="Q381"/>
      <c r="R381"/>
      <c r="S381"/>
      <c r="T381"/>
      <c r="V381"/>
      <c r="W381"/>
      <c r="X381"/>
      <c r="Y381"/>
      <c r="AA381"/>
    </row>
    <row r="382" spans="7:27" x14ac:dyDescent="0.25">
      <c r="G382"/>
      <c r="H382"/>
      <c r="I382"/>
      <c r="K382"/>
      <c r="L382"/>
      <c r="M382"/>
      <c r="N382"/>
      <c r="O382"/>
      <c r="P382"/>
      <c r="Q382"/>
      <c r="R382"/>
      <c r="S382"/>
      <c r="T382"/>
      <c r="V382"/>
      <c r="W382"/>
      <c r="X382"/>
      <c r="Y382"/>
      <c r="AA382"/>
    </row>
    <row r="383" spans="7:27" x14ac:dyDescent="0.25">
      <c r="G383"/>
      <c r="H383"/>
      <c r="I383"/>
      <c r="K383"/>
      <c r="L383"/>
      <c r="M383"/>
      <c r="N383"/>
      <c r="O383"/>
      <c r="P383"/>
      <c r="Q383"/>
      <c r="R383"/>
      <c r="S383"/>
      <c r="T383"/>
      <c r="V383"/>
      <c r="W383"/>
      <c r="X383"/>
      <c r="Y383"/>
      <c r="AA383"/>
    </row>
    <row r="384" spans="7:27" x14ac:dyDescent="0.25">
      <c r="G384"/>
      <c r="H384"/>
      <c r="I384"/>
      <c r="K384"/>
      <c r="L384"/>
      <c r="M384"/>
      <c r="N384"/>
      <c r="O384"/>
      <c r="P384"/>
      <c r="Q384"/>
      <c r="R384"/>
      <c r="S384"/>
      <c r="T384"/>
      <c r="V384"/>
      <c r="W384"/>
      <c r="X384"/>
      <c r="Y384"/>
      <c r="AA384"/>
    </row>
    <row r="385" spans="7:27" x14ac:dyDescent="0.25">
      <c r="G385"/>
      <c r="H385"/>
      <c r="I385"/>
      <c r="K385"/>
      <c r="L385"/>
      <c r="M385"/>
      <c r="N385"/>
      <c r="O385"/>
      <c r="P385"/>
      <c r="Q385"/>
      <c r="R385"/>
      <c r="S385"/>
      <c r="T385"/>
      <c r="V385"/>
      <c r="W385"/>
      <c r="X385"/>
      <c r="Y385"/>
      <c r="AA385"/>
    </row>
    <row r="386" spans="7:27" x14ac:dyDescent="0.25">
      <c r="G386"/>
      <c r="H386"/>
      <c r="I386"/>
      <c r="K386"/>
      <c r="L386"/>
      <c r="M386"/>
      <c r="N386"/>
      <c r="O386"/>
      <c r="P386"/>
      <c r="Q386"/>
      <c r="R386"/>
      <c r="S386"/>
      <c r="T386"/>
      <c r="V386"/>
      <c r="W386"/>
      <c r="X386"/>
      <c r="Y386"/>
      <c r="AA386"/>
    </row>
    <row r="387" spans="7:27" x14ac:dyDescent="0.25">
      <c r="G387"/>
      <c r="H387"/>
      <c r="I387"/>
      <c r="K387"/>
      <c r="L387"/>
      <c r="M387"/>
      <c r="N387"/>
      <c r="O387"/>
      <c r="P387"/>
      <c r="Q387"/>
      <c r="R387"/>
      <c r="S387"/>
      <c r="T387"/>
      <c r="V387"/>
      <c r="W387"/>
      <c r="X387"/>
      <c r="Y387"/>
      <c r="AA387"/>
    </row>
    <row r="388" spans="7:27" x14ac:dyDescent="0.25">
      <c r="G388"/>
      <c r="H388"/>
      <c r="I388"/>
      <c r="K388"/>
      <c r="L388"/>
      <c r="M388"/>
      <c r="N388"/>
      <c r="O388"/>
      <c r="P388"/>
      <c r="Q388"/>
      <c r="R388"/>
      <c r="S388"/>
      <c r="T388"/>
      <c r="V388"/>
      <c r="W388"/>
      <c r="X388"/>
      <c r="Y388"/>
      <c r="AA388"/>
    </row>
    <row r="389" spans="7:27" x14ac:dyDescent="0.25">
      <c r="G389"/>
      <c r="H389"/>
      <c r="I389"/>
      <c r="K389"/>
      <c r="L389"/>
      <c r="M389"/>
      <c r="N389"/>
      <c r="O389"/>
      <c r="P389"/>
      <c r="Q389"/>
      <c r="R389"/>
      <c r="S389"/>
      <c r="T389"/>
      <c r="V389"/>
      <c r="W389"/>
      <c r="X389"/>
      <c r="Y389"/>
      <c r="AA389"/>
    </row>
    <row r="390" spans="7:27" x14ac:dyDescent="0.25">
      <c r="G390"/>
      <c r="H390"/>
      <c r="I390"/>
      <c r="K390"/>
      <c r="L390"/>
      <c r="M390"/>
      <c r="N390"/>
      <c r="O390"/>
      <c r="P390"/>
      <c r="Q390"/>
      <c r="R390"/>
      <c r="S390"/>
      <c r="T390"/>
      <c r="V390"/>
      <c r="W390"/>
      <c r="X390"/>
      <c r="Y390"/>
      <c r="AA390"/>
    </row>
    <row r="391" spans="7:27" x14ac:dyDescent="0.25">
      <c r="G391"/>
      <c r="H391"/>
      <c r="I391"/>
      <c r="K391"/>
      <c r="L391"/>
      <c r="M391"/>
      <c r="N391"/>
      <c r="O391"/>
      <c r="P391"/>
      <c r="Q391"/>
      <c r="R391"/>
      <c r="S391"/>
      <c r="T391"/>
      <c r="V391"/>
      <c r="W391"/>
      <c r="X391"/>
      <c r="Y391"/>
      <c r="AA391"/>
    </row>
    <row r="392" spans="7:27" x14ac:dyDescent="0.25">
      <c r="G392"/>
      <c r="H392"/>
      <c r="I392"/>
      <c r="K392"/>
      <c r="L392"/>
      <c r="M392"/>
      <c r="N392"/>
      <c r="O392"/>
      <c r="P392"/>
      <c r="Q392"/>
      <c r="R392"/>
      <c r="S392"/>
      <c r="T392"/>
      <c r="V392"/>
      <c r="W392"/>
      <c r="X392"/>
      <c r="Y392"/>
      <c r="AA392"/>
    </row>
    <row r="393" spans="7:27" x14ac:dyDescent="0.25">
      <c r="G393"/>
      <c r="H393"/>
      <c r="I393"/>
      <c r="K393"/>
      <c r="L393"/>
      <c r="M393"/>
      <c r="N393"/>
      <c r="O393"/>
      <c r="P393"/>
      <c r="Q393"/>
      <c r="R393"/>
      <c r="S393"/>
      <c r="T393"/>
      <c r="V393"/>
      <c r="W393"/>
      <c r="X393"/>
      <c r="Y393"/>
      <c r="AA393"/>
    </row>
    <row r="394" spans="7:27" x14ac:dyDescent="0.25">
      <c r="G394"/>
      <c r="H394"/>
      <c r="I394"/>
      <c r="K394"/>
      <c r="L394"/>
      <c r="M394"/>
      <c r="N394"/>
      <c r="O394"/>
      <c r="P394"/>
      <c r="Q394"/>
      <c r="R394"/>
      <c r="S394"/>
      <c r="T394"/>
      <c r="V394"/>
      <c r="W394"/>
      <c r="X394"/>
      <c r="Y394"/>
      <c r="AA394"/>
    </row>
    <row r="395" spans="7:27" x14ac:dyDescent="0.25">
      <c r="G395"/>
      <c r="H395"/>
      <c r="I395"/>
      <c r="K395"/>
      <c r="L395"/>
      <c r="M395"/>
      <c r="N395"/>
      <c r="O395"/>
      <c r="P395"/>
      <c r="Q395"/>
      <c r="R395"/>
      <c r="S395"/>
      <c r="T395"/>
      <c r="V395"/>
      <c r="W395"/>
      <c r="X395"/>
      <c r="Y395"/>
      <c r="AA395"/>
    </row>
    <row r="396" spans="7:27" x14ac:dyDescent="0.25">
      <c r="G396"/>
      <c r="H396"/>
      <c r="I396"/>
      <c r="K396"/>
      <c r="L396"/>
      <c r="M396"/>
      <c r="N396"/>
      <c r="O396"/>
      <c r="P396"/>
      <c r="Q396"/>
      <c r="R396"/>
      <c r="S396"/>
      <c r="T396"/>
      <c r="V396"/>
      <c r="W396"/>
      <c r="X396"/>
      <c r="Y396"/>
      <c r="AA396"/>
    </row>
    <row r="397" spans="7:27" x14ac:dyDescent="0.25">
      <c r="G397"/>
      <c r="H397"/>
      <c r="I397"/>
      <c r="K397"/>
      <c r="L397"/>
      <c r="M397"/>
      <c r="N397"/>
      <c r="O397"/>
      <c r="P397"/>
      <c r="Q397"/>
      <c r="R397"/>
      <c r="S397"/>
      <c r="T397"/>
      <c r="V397"/>
      <c r="W397"/>
      <c r="X397"/>
      <c r="Y397"/>
      <c r="AA397"/>
    </row>
    <row r="398" spans="7:27" x14ac:dyDescent="0.25">
      <c r="G398"/>
      <c r="H398"/>
      <c r="I398"/>
      <c r="K398"/>
      <c r="L398"/>
      <c r="M398"/>
      <c r="N398"/>
      <c r="O398"/>
      <c r="P398"/>
      <c r="Q398"/>
      <c r="R398"/>
      <c r="S398"/>
      <c r="T398"/>
      <c r="V398"/>
      <c r="W398"/>
      <c r="X398"/>
      <c r="Y398"/>
      <c r="AA398"/>
    </row>
    <row r="399" spans="7:27" x14ac:dyDescent="0.25">
      <c r="G399"/>
      <c r="H399"/>
      <c r="I399"/>
      <c r="K399"/>
      <c r="L399"/>
      <c r="M399"/>
      <c r="N399"/>
      <c r="O399"/>
      <c r="P399"/>
      <c r="Q399"/>
      <c r="R399"/>
      <c r="S399"/>
      <c r="T399"/>
      <c r="V399"/>
      <c r="W399"/>
      <c r="X399"/>
      <c r="Y399"/>
      <c r="AA399"/>
    </row>
    <row r="400" spans="7:27" x14ac:dyDescent="0.25">
      <c r="G400"/>
      <c r="H400"/>
      <c r="I400"/>
      <c r="K400"/>
      <c r="L400"/>
      <c r="M400"/>
      <c r="N400"/>
      <c r="O400"/>
      <c r="P400"/>
      <c r="Q400"/>
      <c r="R400"/>
      <c r="S400"/>
      <c r="T400"/>
      <c r="V400"/>
      <c r="W400"/>
      <c r="X400"/>
      <c r="Y400"/>
      <c r="AA400"/>
    </row>
    <row r="401" spans="7:27" x14ac:dyDescent="0.25">
      <c r="G401"/>
      <c r="H401"/>
      <c r="I401"/>
      <c r="K401"/>
      <c r="L401"/>
      <c r="M401"/>
      <c r="N401"/>
      <c r="O401"/>
      <c r="P401"/>
      <c r="Q401"/>
      <c r="R401"/>
      <c r="S401"/>
      <c r="T401"/>
      <c r="V401"/>
      <c r="W401"/>
      <c r="X401"/>
      <c r="Y401"/>
      <c r="AA401"/>
    </row>
    <row r="402" spans="7:27" x14ac:dyDescent="0.25">
      <c r="G402"/>
      <c r="H402"/>
      <c r="I402"/>
      <c r="K402"/>
      <c r="L402"/>
      <c r="M402"/>
      <c r="N402"/>
      <c r="O402"/>
      <c r="P402"/>
      <c r="Q402"/>
      <c r="R402"/>
      <c r="S402"/>
      <c r="T402"/>
      <c r="V402"/>
      <c r="W402"/>
      <c r="X402"/>
      <c r="Y402"/>
      <c r="AA402"/>
    </row>
    <row r="403" spans="7:27" x14ac:dyDescent="0.25">
      <c r="G403"/>
      <c r="H403"/>
      <c r="I403"/>
      <c r="K403"/>
      <c r="L403"/>
      <c r="M403"/>
      <c r="N403"/>
      <c r="O403"/>
      <c r="P403"/>
      <c r="Q403"/>
      <c r="R403"/>
      <c r="S403"/>
      <c r="T403"/>
      <c r="V403"/>
      <c r="W403"/>
      <c r="X403"/>
      <c r="Y403"/>
      <c r="AA403"/>
    </row>
    <row r="404" spans="7:27" x14ac:dyDescent="0.25">
      <c r="G404"/>
      <c r="H404"/>
      <c r="I404"/>
      <c r="K404"/>
      <c r="L404"/>
      <c r="M404"/>
      <c r="N404"/>
      <c r="O404"/>
      <c r="P404"/>
      <c r="Q404"/>
      <c r="R404"/>
      <c r="S404"/>
      <c r="T404"/>
      <c r="V404"/>
      <c r="W404"/>
      <c r="X404"/>
      <c r="Y404"/>
      <c r="AA404"/>
    </row>
    <row r="405" spans="7:27" x14ac:dyDescent="0.25">
      <c r="G405"/>
      <c r="H405"/>
      <c r="I405"/>
      <c r="K405"/>
      <c r="L405"/>
      <c r="M405"/>
      <c r="N405"/>
      <c r="O405"/>
      <c r="P405"/>
      <c r="Q405"/>
      <c r="R405"/>
      <c r="S405"/>
      <c r="T405"/>
      <c r="V405"/>
      <c r="W405"/>
      <c r="X405"/>
      <c r="Y405"/>
      <c r="AA405"/>
    </row>
    <row r="406" spans="7:27" x14ac:dyDescent="0.25">
      <c r="G406"/>
      <c r="H406"/>
      <c r="I406"/>
      <c r="K406"/>
      <c r="L406"/>
      <c r="M406"/>
      <c r="N406"/>
      <c r="O406"/>
      <c r="P406"/>
      <c r="Q406"/>
      <c r="R406"/>
      <c r="S406"/>
      <c r="T406"/>
      <c r="V406"/>
      <c r="W406"/>
      <c r="X406"/>
      <c r="Y406"/>
      <c r="AA406"/>
    </row>
    <row r="407" spans="7:27" x14ac:dyDescent="0.25">
      <c r="G407"/>
      <c r="H407"/>
      <c r="I407"/>
      <c r="K407"/>
      <c r="L407"/>
      <c r="M407"/>
      <c r="N407"/>
      <c r="O407"/>
      <c r="P407"/>
      <c r="Q407"/>
      <c r="R407"/>
      <c r="S407"/>
      <c r="T407"/>
      <c r="V407"/>
      <c r="W407"/>
      <c r="X407"/>
      <c r="Y407"/>
      <c r="AA407"/>
    </row>
    <row r="408" spans="7:27" x14ac:dyDescent="0.25">
      <c r="G408"/>
      <c r="H408"/>
      <c r="I408"/>
      <c r="K408"/>
      <c r="L408"/>
      <c r="M408"/>
      <c r="N408"/>
      <c r="O408"/>
      <c r="P408"/>
      <c r="Q408"/>
      <c r="R408"/>
      <c r="S408"/>
      <c r="T408"/>
      <c r="V408"/>
      <c r="W408"/>
      <c r="X408"/>
      <c r="Y408"/>
      <c r="AA408"/>
    </row>
    <row r="409" spans="7:27" x14ac:dyDescent="0.25">
      <c r="G409"/>
      <c r="H409"/>
      <c r="I409"/>
      <c r="K409"/>
      <c r="L409"/>
      <c r="M409"/>
      <c r="N409"/>
      <c r="O409"/>
      <c r="P409"/>
      <c r="Q409"/>
      <c r="R409"/>
      <c r="S409"/>
      <c r="T409"/>
      <c r="V409"/>
      <c r="W409"/>
      <c r="X409"/>
      <c r="Y409"/>
      <c r="AA409"/>
    </row>
    <row r="410" spans="7:27" x14ac:dyDescent="0.25">
      <c r="G410"/>
      <c r="H410"/>
      <c r="I410"/>
      <c r="K410"/>
      <c r="L410"/>
      <c r="M410"/>
      <c r="N410"/>
      <c r="O410"/>
      <c r="P410"/>
      <c r="Q410"/>
      <c r="R410"/>
      <c r="S410"/>
      <c r="T410"/>
      <c r="V410"/>
      <c r="W410"/>
      <c r="X410"/>
      <c r="Y410"/>
      <c r="AA410"/>
    </row>
    <row r="411" spans="7:27" x14ac:dyDescent="0.25">
      <c r="G411"/>
      <c r="H411"/>
      <c r="I411"/>
      <c r="K411"/>
      <c r="L411"/>
      <c r="M411"/>
      <c r="N411"/>
      <c r="O411"/>
      <c r="P411"/>
      <c r="Q411"/>
      <c r="R411"/>
      <c r="S411"/>
      <c r="T411"/>
      <c r="V411"/>
      <c r="W411"/>
      <c r="X411"/>
      <c r="Y411"/>
      <c r="AA411"/>
    </row>
    <row r="412" spans="7:27" x14ac:dyDescent="0.25">
      <c r="G412"/>
      <c r="H412"/>
      <c r="I412"/>
      <c r="K412"/>
      <c r="L412"/>
      <c r="M412"/>
      <c r="N412"/>
      <c r="O412"/>
      <c r="P412"/>
      <c r="Q412"/>
      <c r="R412"/>
      <c r="S412"/>
      <c r="T412"/>
      <c r="V412"/>
      <c r="W412"/>
      <c r="X412"/>
      <c r="Y412"/>
      <c r="AA412"/>
    </row>
    <row r="413" spans="7:27" x14ac:dyDescent="0.25">
      <c r="G413"/>
      <c r="H413"/>
      <c r="I413"/>
      <c r="K413"/>
      <c r="L413"/>
      <c r="M413"/>
      <c r="N413"/>
      <c r="O413"/>
      <c r="P413"/>
      <c r="Q413"/>
      <c r="R413"/>
      <c r="S413"/>
      <c r="T413"/>
      <c r="V413"/>
      <c r="W413"/>
      <c r="X413"/>
      <c r="Y413"/>
      <c r="AA413"/>
    </row>
    <row r="414" spans="7:27" x14ac:dyDescent="0.25">
      <c r="G414"/>
      <c r="H414"/>
      <c r="I414"/>
      <c r="K414"/>
      <c r="L414"/>
      <c r="M414"/>
      <c r="N414"/>
      <c r="O414"/>
      <c r="P414"/>
      <c r="Q414"/>
      <c r="R414"/>
      <c r="S414"/>
      <c r="T414"/>
      <c r="V414"/>
      <c r="W414"/>
      <c r="X414"/>
      <c r="Y414"/>
      <c r="AA414"/>
    </row>
    <row r="415" spans="7:27" x14ac:dyDescent="0.25">
      <c r="G415"/>
      <c r="H415"/>
      <c r="I415"/>
      <c r="K415"/>
      <c r="L415"/>
      <c r="M415"/>
      <c r="N415"/>
      <c r="O415"/>
      <c r="P415"/>
      <c r="Q415"/>
      <c r="R415"/>
      <c r="S415"/>
      <c r="T415"/>
      <c r="V415"/>
      <c r="W415"/>
      <c r="X415"/>
      <c r="Y415"/>
      <c r="AA415"/>
    </row>
    <row r="416" spans="7:27" x14ac:dyDescent="0.25">
      <c r="G416"/>
      <c r="H416"/>
      <c r="I416"/>
      <c r="K416"/>
      <c r="L416"/>
      <c r="M416"/>
      <c r="N416"/>
      <c r="O416"/>
      <c r="P416"/>
      <c r="Q416"/>
      <c r="R416"/>
      <c r="S416"/>
      <c r="T416"/>
      <c r="V416"/>
      <c r="W416"/>
      <c r="X416"/>
      <c r="Y416"/>
      <c r="AA416"/>
    </row>
    <row r="417" spans="7:27" x14ac:dyDescent="0.25">
      <c r="G417"/>
      <c r="H417"/>
      <c r="I417"/>
      <c r="K417"/>
      <c r="L417"/>
      <c r="M417"/>
      <c r="N417"/>
      <c r="O417"/>
      <c r="P417"/>
      <c r="Q417"/>
      <c r="R417"/>
      <c r="S417"/>
      <c r="T417"/>
      <c r="V417"/>
      <c r="W417"/>
      <c r="X417"/>
      <c r="Y417"/>
      <c r="AA417"/>
    </row>
    <row r="418" spans="7:27" x14ac:dyDescent="0.25">
      <c r="G418"/>
      <c r="H418"/>
      <c r="I418"/>
      <c r="K418"/>
      <c r="L418"/>
      <c r="M418"/>
      <c r="N418"/>
      <c r="O418"/>
      <c r="P418"/>
      <c r="Q418"/>
      <c r="R418"/>
      <c r="S418"/>
      <c r="T418"/>
      <c r="V418"/>
      <c r="W418"/>
      <c r="X418"/>
      <c r="Y418"/>
      <c r="AA418"/>
    </row>
    <row r="419" spans="7:27" x14ac:dyDescent="0.25">
      <c r="G419"/>
      <c r="H419"/>
      <c r="I419"/>
      <c r="K419"/>
      <c r="L419"/>
      <c r="M419"/>
      <c r="N419"/>
      <c r="O419"/>
      <c r="P419"/>
      <c r="Q419"/>
      <c r="R419"/>
      <c r="S419"/>
      <c r="T419"/>
      <c r="V419"/>
      <c r="W419"/>
      <c r="X419"/>
      <c r="Y419"/>
      <c r="AA419"/>
    </row>
    <row r="420" spans="7:27" x14ac:dyDescent="0.25">
      <c r="G420"/>
      <c r="H420"/>
      <c r="I420"/>
      <c r="K420"/>
      <c r="L420"/>
      <c r="M420"/>
      <c r="N420"/>
      <c r="O420"/>
      <c r="P420"/>
      <c r="Q420"/>
      <c r="R420"/>
      <c r="S420"/>
      <c r="T420"/>
      <c r="V420"/>
      <c r="W420"/>
      <c r="X420"/>
      <c r="Y420"/>
      <c r="AA420"/>
    </row>
    <row r="421" spans="7:27" x14ac:dyDescent="0.25">
      <c r="G421"/>
      <c r="H421"/>
      <c r="I421"/>
      <c r="K421"/>
      <c r="L421"/>
      <c r="M421"/>
      <c r="N421"/>
      <c r="O421"/>
      <c r="P421"/>
      <c r="Q421"/>
      <c r="R421"/>
      <c r="S421"/>
      <c r="T421"/>
      <c r="V421"/>
      <c r="W421"/>
      <c r="X421"/>
      <c r="Y421"/>
      <c r="AA421"/>
    </row>
    <row r="422" spans="7:27" x14ac:dyDescent="0.25">
      <c r="G422"/>
      <c r="H422"/>
      <c r="I422"/>
      <c r="K422"/>
      <c r="L422"/>
      <c r="M422"/>
      <c r="N422"/>
      <c r="O422"/>
      <c r="P422"/>
      <c r="Q422"/>
      <c r="R422"/>
      <c r="S422"/>
      <c r="T422"/>
      <c r="V422"/>
      <c r="W422"/>
      <c r="X422"/>
      <c r="Y422"/>
      <c r="AA422"/>
    </row>
    <row r="423" spans="7:27" x14ac:dyDescent="0.25">
      <c r="G423"/>
      <c r="H423"/>
      <c r="I423"/>
      <c r="K423"/>
      <c r="L423"/>
      <c r="M423"/>
      <c r="N423"/>
      <c r="O423"/>
      <c r="P423"/>
      <c r="Q423"/>
      <c r="R423"/>
      <c r="S423"/>
      <c r="T423"/>
      <c r="V423"/>
      <c r="W423"/>
      <c r="X423"/>
      <c r="Y423"/>
      <c r="AA423"/>
    </row>
    <row r="424" spans="7:27" x14ac:dyDescent="0.25">
      <c r="G424"/>
      <c r="H424"/>
      <c r="I424"/>
      <c r="K424"/>
      <c r="L424"/>
      <c r="M424"/>
      <c r="N424"/>
      <c r="O424"/>
      <c r="P424"/>
      <c r="Q424"/>
      <c r="R424"/>
      <c r="S424"/>
      <c r="T424"/>
      <c r="V424"/>
      <c r="W424"/>
      <c r="X424"/>
      <c r="Y424"/>
      <c r="AA424"/>
    </row>
    <row r="425" spans="7:27" x14ac:dyDescent="0.25">
      <c r="G425"/>
      <c r="H425"/>
      <c r="I425"/>
      <c r="K425"/>
      <c r="L425"/>
      <c r="M425"/>
      <c r="N425"/>
      <c r="O425"/>
      <c r="P425"/>
      <c r="Q425"/>
      <c r="R425"/>
      <c r="S425"/>
      <c r="T425"/>
      <c r="V425"/>
      <c r="W425"/>
      <c r="X425"/>
      <c r="Y425"/>
      <c r="AA425"/>
    </row>
    <row r="426" spans="7:27" x14ac:dyDescent="0.25">
      <c r="G426"/>
      <c r="H426"/>
      <c r="I426"/>
      <c r="K426"/>
      <c r="L426"/>
      <c r="M426"/>
      <c r="N426"/>
      <c r="O426"/>
      <c r="P426"/>
      <c r="Q426"/>
      <c r="R426"/>
      <c r="S426"/>
      <c r="T426"/>
      <c r="V426"/>
      <c r="W426"/>
      <c r="X426"/>
      <c r="Y426"/>
      <c r="AA426"/>
    </row>
    <row r="427" spans="7:27" x14ac:dyDescent="0.25">
      <c r="G427"/>
      <c r="H427"/>
      <c r="I427"/>
      <c r="K427"/>
      <c r="L427"/>
      <c r="M427"/>
      <c r="N427"/>
      <c r="O427"/>
      <c r="P427"/>
      <c r="Q427"/>
      <c r="R427"/>
      <c r="S427"/>
      <c r="T427"/>
      <c r="V427"/>
      <c r="W427"/>
      <c r="X427"/>
      <c r="Y427"/>
      <c r="AA427"/>
    </row>
    <row r="428" spans="7:27" x14ac:dyDescent="0.25">
      <c r="G428"/>
      <c r="H428"/>
      <c r="I428"/>
      <c r="K428"/>
      <c r="L428"/>
      <c r="M428"/>
      <c r="N428"/>
      <c r="O428"/>
      <c r="P428"/>
      <c r="Q428"/>
      <c r="R428"/>
      <c r="S428"/>
      <c r="T428"/>
      <c r="V428"/>
      <c r="W428"/>
      <c r="X428"/>
      <c r="Y428"/>
      <c r="AA428"/>
    </row>
    <row r="429" spans="7:27" x14ac:dyDescent="0.25">
      <c r="G429"/>
      <c r="H429"/>
      <c r="I429"/>
      <c r="K429"/>
      <c r="L429"/>
      <c r="M429"/>
      <c r="N429"/>
      <c r="O429"/>
      <c r="P429"/>
      <c r="Q429"/>
      <c r="R429"/>
      <c r="S429"/>
      <c r="T429"/>
      <c r="V429"/>
      <c r="W429"/>
      <c r="X429"/>
      <c r="Y429"/>
      <c r="AA429"/>
    </row>
    <row r="430" spans="7:27" x14ac:dyDescent="0.25">
      <c r="G430"/>
      <c r="H430"/>
      <c r="I430"/>
      <c r="K430"/>
      <c r="L430"/>
      <c r="M430"/>
      <c r="N430"/>
      <c r="O430"/>
      <c r="P430"/>
      <c r="Q430"/>
      <c r="R430"/>
      <c r="S430"/>
      <c r="T430"/>
      <c r="V430"/>
      <c r="W430"/>
      <c r="X430"/>
      <c r="Y430"/>
      <c r="AA430"/>
    </row>
    <row r="431" spans="7:27" x14ac:dyDescent="0.25">
      <c r="G431"/>
      <c r="H431"/>
      <c r="I431"/>
      <c r="K431"/>
      <c r="L431"/>
      <c r="M431"/>
      <c r="N431"/>
      <c r="O431"/>
      <c r="P431"/>
      <c r="Q431"/>
      <c r="R431"/>
      <c r="S431"/>
      <c r="T431"/>
      <c r="V431"/>
      <c r="W431"/>
      <c r="X431"/>
      <c r="Y431"/>
      <c r="AA431"/>
    </row>
    <row r="432" spans="7:27" x14ac:dyDescent="0.25">
      <c r="G432"/>
      <c r="H432"/>
      <c r="I432"/>
      <c r="K432"/>
      <c r="L432"/>
      <c r="M432"/>
      <c r="N432"/>
      <c r="O432"/>
      <c r="P432"/>
      <c r="Q432"/>
      <c r="R432"/>
      <c r="S432"/>
      <c r="T432"/>
      <c r="V432"/>
      <c r="W432"/>
      <c r="X432"/>
      <c r="Y432"/>
      <c r="AA432"/>
    </row>
    <row r="433" spans="7:27" x14ac:dyDescent="0.25">
      <c r="G433"/>
      <c r="H433"/>
      <c r="I433"/>
      <c r="K433"/>
      <c r="L433"/>
      <c r="M433"/>
      <c r="N433"/>
      <c r="O433"/>
      <c r="P433"/>
      <c r="Q433"/>
      <c r="R433"/>
      <c r="S433"/>
      <c r="T433"/>
      <c r="V433"/>
      <c r="W433"/>
      <c r="X433"/>
      <c r="Y433"/>
      <c r="AA433"/>
    </row>
    <row r="434" spans="7:27" x14ac:dyDescent="0.25">
      <c r="G434"/>
      <c r="H434"/>
      <c r="I434"/>
      <c r="K434"/>
      <c r="L434"/>
      <c r="M434"/>
      <c r="N434"/>
      <c r="O434"/>
      <c r="P434"/>
      <c r="Q434"/>
      <c r="R434"/>
      <c r="S434"/>
      <c r="T434"/>
      <c r="V434"/>
      <c r="W434"/>
      <c r="X434"/>
      <c r="Y434"/>
      <c r="AA434"/>
    </row>
    <row r="435" spans="7:27" x14ac:dyDescent="0.25">
      <c r="G435"/>
      <c r="H435"/>
      <c r="I435"/>
      <c r="K435"/>
      <c r="L435"/>
      <c r="M435"/>
      <c r="N435"/>
      <c r="O435"/>
      <c r="P435"/>
      <c r="Q435"/>
      <c r="R435"/>
      <c r="S435"/>
      <c r="T435"/>
      <c r="V435"/>
      <c r="W435"/>
      <c r="X435"/>
      <c r="Y435"/>
      <c r="AA435"/>
    </row>
    <row r="436" spans="7:27" x14ac:dyDescent="0.25">
      <c r="G436"/>
      <c r="H436"/>
      <c r="I436"/>
      <c r="K436"/>
      <c r="L436"/>
      <c r="M436"/>
      <c r="N436"/>
      <c r="O436"/>
      <c r="P436"/>
      <c r="Q436"/>
      <c r="R436"/>
      <c r="S436"/>
      <c r="T436"/>
      <c r="V436"/>
      <c r="W436"/>
      <c r="X436"/>
      <c r="Y436"/>
      <c r="AA436"/>
    </row>
    <row r="437" spans="7:27" x14ac:dyDescent="0.25">
      <c r="G437"/>
      <c r="H437"/>
      <c r="I437"/>
      <c r="K437"/>
      <c r="L437"/>
      <c r="M437"/>
      <c r="N437"/>
      <c r="O437"/>
      <c r="P437"/>
      <c r="Q437"/>
      <c r="R437"/>
      <c r="S437"/>
      <c r="T437"/>
      <c r="V437"/>
      <c r="W437"/>
      <c r="X437"/>
      <c r="Y437"/>
      <c r="AA437"/>
    </row>
    <row r="438" spans="7:27" x14ac:dyDescent="0.25">
      <c r="G438"/>
      <c r="H438"/>
      <c r="I438"/>
      <c r="K438"/>
      <c r="L438"/>
      <c r="M438"/>
      <c r="N438"/>
      <c r="O438"/>
      <c r="P438"/>
      <c r="Q438"/>
      <c r="R438"/>
      <c r="S438"/>
      <c r="T438"/>
      <c r="V438"/>
      <c r="W438"/>
      <c r="X438"/>
      <c r="Y438"/>
      <c r="AA438"/>
    </row>
    <row r="439" spans="7:27" x14ac:dyDescent="0.25">
      <c r="G439"/>
      <c r="H439"/>
      <c r="I439"/>
      <c r="K439"/>
      <c r="L439"/>
      <c r="M439"/>
      <c r="N439"/>
      <c r="O439"/>
      <c r="P439"/>
      <c r="Q439"/>
      <c r="R439"/>
      <c r="S439"/>
      <c r="T439"/>
      <c r="V439"/>
      <c r="W439"/>
      <c r="X439"/>
      <c r="Y439"/>
      <c r="AA439"/>
    </row>
    <row r="440" spans="7:27" x14ac:dyDescent="0.25">
      <c r="G440"/>
      <c r="H440"/>
      <c r="I440"/>
      <c r="K440"/>
      <c r="L440"/>
      <c r="M440"/>
      <c r="N440"/>
      <c r="O440"/>
      <c r="P440"/>
      <c r="Q440"/>
      <c r="R440"/>
      <c r="S440"/>
      <c r="T440"/>
      <c r="V440"/>
      <c r="W440"/>
      <c r="X440"/>
      <c r="Y440"/>
      <c r="AA440"/>
    </row>
    <row r="441" spans="7:27" x14ac:dyDescent="0.25">
      <c r="G441"/>
      <c r="H441"/>
      <c r="I441"/>
      <c r="K441"/>
      <c r="L441"/>
      <c r="M441"/>
      <c r="N441"/>
      <c r="O441"/>
      <c r="P441"/>
      <c r="Q441"/>
      <c r="R441"/>
      <c r="S441"/>
      <c r="T441"/>
      <c r="V441"/>
      <c r="W441"/>
      <c r="X441"/>
      <c r="Y441"/>
      <c r="AA441"/>
    </row>
    <row r="442" spans="7:27" x14ac:dyDescent="0.25">
      <c r="G442"/>
      <c r="H442"/>
      <c r="I442"/>
      <c r="K442"/>
      <c r="L442"/>
      <c r="M442"/>
      <c r="N442"/>
      <c r="O442"/>
      <c r="P442"/>
      <c r="Q442"/>
      <c r="R442"/>
      <c r="S442"/>
      <c r="T442"/>
      <c r="V442"/>
      <c r="W442"/>
      <c r="X442"/>
      <c r="Y442"/>
      <c r="AA442"/>
    </row>
    <row r="443" spans="7:27" x14ac:dyDescent="0.25">
      <c r="G443"/>
      <c r="H443"/>
      <c r="I443"/>
      <c r="K443"/>
      <c r="L443"/>
      <c r="M443"/>
      <c r="N443"/>
      <c r="O443"/>
      <c r="P443"/>
      <c r="Q443"/>
      <c r="R443"/>
      <c r="S443"/>
      <c r="T443"/>
      <c r="V443"/>
      <c r="W443"/>
      <c r="X443"/>
      <c r="Y443"/>
      <c r="AA443"/>
    </row>
    <row r="444" spans="7:27" x14ac:dyDescent="0.25">
      <c r="G444"/>
      <c r="H444"/>
      <c r="I444"/>
      <c r="K444"/>
      <c r="L444"/>
      <c r="M444"/>
      <c r="N444"/>
      <c r="O444"/>
      <c r="P444"/>
      <c r="Q444"/>
      <c r="R444"/>
      <c r="S444"/>
      <c r="T444"/>
      <c r="V444"/>
      <c r="W444"/>
      <c r="X444"/>
      <c r="Y444"/>
      <c r="AA444"/>
    </row>
    <row r="445" spans="7:27" x14ac:dyDescent="0.25">
      <c r="G445"/>
      <c r="H445"/>
      <c r="I445"/>
      <c r="K445"/>
      <c r="L445"/>
      <c r="M445"/>
      <c r="N445"/>
      <c r="O445"/>
      <c r="P445"/>
      <c r="Q445"/>
      <c r="R445"/>
      <c r="S445"/>
      <c r="T445"/>
      <c r="V445"/>
      <c r="W445"/>
      <c r="X445"/>
      <c r="Y445"/>
      <c r="AA445"/>
    </row>
    <row r="446" spans="7:27" x14ac:dyDescent="0.25">
      <c r="G446"/>
      <c r="H446"/>
      <c r="I446"/>
      <c r="K446"/>
      <c r="L446"/>
      <c r="M446"/>
      <c r="N446"/>
      <c r="O446"/>
      <c r="P446"/>
      <c r="Q446"/>
      <c r="R446"/>
      <c r="S446"/>
      <c r="T446"/>
      <c r="V446"/>
      <c r="W446"/>
      <c r="X446"/>
      <c r="Y446"/>
      <c r="AA446"/>
    </row>
    <row r="447" spans="7:27" x14ac:dyDescent="0.25">
      <c r="G447"/>
      <c r="H447"/>
      <c r="I447"/>
      <c r="K447"/>
      <c r="L447"/>
      <c r="M447"/>
      <c r="N447"/>
      <c r="O447"/>
      <c r="P447"/>
      <c r="Q447"/>
      <c r="R447"/>
      <c r="S447"/>
      <c r="T447"/>
      <c r="V447"/>
      <c r="W447"/>
      <c r="X447"/>
      <c r="Y447"/>
      <c r="AA447"/>
    </row>
    <row r="448" spans="7:27" x14ac:dyDescent="0.25">
      <c r="G448"/>
      <c r="H448"/>
      <c r="I448"/>
      <c r="K448"/>
      <c r="L448"/>
      <c r="M448"/>
      <c r="N448"/>
      <c r="O448"/>
      <c r="P448"/>
      <c r="Q448"/>
      <c r="R448"/>
      <c r="S448"/>
      <c r="T448"/>
      <c r="V448"/>
      <c r="W448"/>
      <c r="X448"/>
      <c r="Y448"/>
      <c r="AA448"/>
    </row>
    <row r="449" spans="7:27" x14ac:dyDescent="0.25">
      <c r="G449"/>
      <c r="H449"/>
      <c r="I449"/>
      <c r="K449"/>
      <c r="L449"/>
      <c r="M449"/>
      <c r="N449"/>
      <c r="O449"/>
      <c r="P449"/>
      <c r="Q449"/>
      <c r="R449"/>
      <c r="S449"/>
      <c r="T449"/>
      <c r="V449"/>
      <c r="W449"/>
      <c r="X449"/>
      <c r="Y449"/>
      <c r="AA449"/>
    </row>
    <row r="450" spans="7:27" x14ac:dyDescent="0.25">
      <c r="G450"/>
      <c r="H450"/>
      <c r="I450"/>
      <c r="K450"/>
      <c r="L450"/>
      <c r="M450"/>
      <c r="N450"/>
      <c r="O450"/>
      <c r="P450"/>
      <c r="Q450"/>
      <c r="R450"/>
      <c r="S450"/>
      <c r="T450"/>
      <c r="V450"/>
      <c r="W450"/>
      <c r="X450"/>
      <c r="Y450"/>
      <c r="AA450"/>
    </row>
    <row r="451" spans="7:27" x14ac:dyDescent="0.25">
      <c r="G451"/>
      <c r="H451"/>
      <c r="I451"/>
      <c r="K451"/>
      <c r="L451"/>
      <c r="M451"/>
      <c r="N451"/>
      <c r="O451"/>
      <c r="P451"/>
      <c r="Q451"/>
      <c r="R451"/>
      <c r="S451"/>
      <c r="T451"/>
      <c r="V451"/>
      <c r="W451"/>
      <c r="X451"/>
      <c r="Y451"/>
      <c r="AA451"/>
    </row>
    <row r="452" spans="7:27" x14ac:dyDescent="0.25">
      <c r="G452"/>
      <c r="H452"/>
      <c r="I452"/>
      <c r="K452"/>
      <c r="L452"/>
      <c r="M452"/>
      <c r="N452"/>
      <c r="O452"/>
      <c r="P452"/>
      <c r="Q452"/>
      <c r="R452"/>
      <c r="S452"/>
      <c r="T452"/>
      <c r="V452"/>
      <c r="W452"/>
      <c r="X452"/>
      <c r="Y452"/>
      <c r="AA452"/>
    </row>
    <row r="453" spans="7:27" x14ac:dyDescent="0.25">
      <c r="G453"/>
      <c r="H453"/>
      <c r="I453"/>
      <c r="K453"/>
      <c r="L453"/>
      <c r="M453"/>
      <c r="N453"/>
      <c r="O453"/>
      <c r="P453"/>
      <c r="Q453"/>
      <c r="R453"/>
      <c r="S453"/>
      <c r="T453"/>
      <c r="V453"/>
      <c r="W453"/>
      <c r="X453"/>
      <c r="Y453"/>
      <c r="AA453"/>
    </row>
    <row r="454" spans="7:27" x14ac:dyDescent="0.25">
      <c r="G454"/>
      <c r="H454"/>
      <c r="I454"/>
      <c r="K454"/>
      <c r="L454"/>
      <c r="M454"/>
      <c r="N454"/>
      <c r="O454"/>
      <c r="P454"/>
      <c r="Q454"/>
      <c r="R454"/>
      <c r="S454"/>
      <c r="T454"/>
      <c r="V454"/>
      <c r="W454"/>
      <c r="X454"/>
      <c r="Y454"/>
      <c r="AA454"/>
    </row>
    <row r="455" spans="7:27" x14ac:dyDescent="0.25">
      <c r="G455"/>
      <c r="H455"/>
      <c r="I455"/>
      <c r="K455"/>
      <c r="L455"/>
      <c r="M455"/>
      <c r="N455"/>
      <c r="O455"/>
      <c r="P455"/>
      <c r="Q455"/>
      <c r="R455"/>
      <c r="S455"/>
      <c r="T455"/>
      <c r="V455"/>
      <c r="W455"/>
      <c r="X455"/>
      <c r="Y455"/>
      <c r="AA455"/>
    </row>
    <row r="456" spans="7:27" x14ac:dyDescent="0.25">
      <c r="G456"/>
      <c r="H456"/>
      <c r="I456"/>
      <c r="K456"/>
      <c r="L456"/>
      <c r="M456"/>
      <c r="N456"/>
      <c r="O456"/>
      <c r="P456"/>
      <c r="Q456"/>
      <c r="R456"/>
      <c r="S456"/>
      <c r="T456"/>
      <c r="V456"/>
      <c r="W456"/>
      <c r="X456"/>
      <c r="Y456"/>
      <c r="AA456"/>
    </row>
    <row r="457" spans="7:27" x14ac:dyDescent="0.25">
      <c r="G457"/>
      <c r="H457"/>
      <c r="I457"/>
      <c r="K457"/>
      <c r="L457"/>
      <c r="M457"/>
      <c r="N457"/>
      <c r="O457"/>
      <c r="P457"/>
      <c r="Q457"/>
      <c r="R457"/>
      <c r="S457"/>
      <c r="T457"/>
      <c r="V457"/>
      <c r="W457"/>
      <c r="X457"/>
      <c r="Y457"/>
      <c r="AA457"/>
    </row>
    <row r="458" spans="7:27" x14ac:dyDescent="0.25">
      <c r="G458"/>
      <c r="H458"/>
      <c r="I458"/>
      <c r="K458"/>
      <c r="L458"/>
      <c r="M458"/>
      <c r="N458"/>
      <c r="O458"/>
      <c r="P458"/>
      <c r="Q458"/>
      <c r="R458"/>
      <c r="S458"/>
      <c r="T458"/>
      <c r="V458"/>
      <c r="W458"/>
      <c r="X458"/>
      <c r="Y458"/>
      <c r="AA458"/>
    </row>
    <row r="459" spans="7:27" x14ac:dyDescent="0.25">
      <c r="G459"/>
      <c r="H459"/>
      <c r="I459"/>
      <c r="K459"/>
      <c r="L459"/>
      <c r="M459"/>
      <c r="N459"/>
      <c r="O459"/>
      <c r="P459"/>
      <c r="Q459"/>
      <c r="R459"/>
      <c r="S459"/>
      <c r="T459"/>
      <c r="V459"/>
      <c r="W459"/>
      <c r="X459"/>
      <c r="Y459"/>
      <c r="AA459"/>
    </row>
    <row r="460" spans="7:27" x14ac:dyDescent="0.25">
      <c r="G460"/>
      <c r="H460"/>
      <c r="I460"/>
      <c r="K460"/>
      <c r="L460"/>
      <c r="M460"/>
      <c r="N460"/>
      <c r="O460"/>
      <c r="P460"/>
      <c r="Q460"/>
      <c r="R460"/>
      <c r="S460"/>
      <c r="T460"/>
      <c r="V460"/>
      <c r="W460"/>
      <c r="X460"/>
      <c r="Y460"/>
      <c r="AA460"/>
    </row>
    <row r="461" spans="7:27" x14ac:dyDescent="0.25">
      <c r="G461"/>
      <c r="H461"/>
      <c r="I461"/>
      <c r="K461"/>
      <c r="L461"/>
      <c r="M461"/>
      <c r="N461"/>
      <c r="O461"/>
      <c r="P461"/>
      <c r="Q461"/>
      <c r="R461"/>
      <c r="S461"/>
      <c r="T461"/>
      <c r="V461"/>
      <c r="W461"/>
      <c r="X461"/>
      <c r="Y461"/>
      <c r="AA461"/>
    </row>
    <row r="462" spans="7:27" x14ac:dyDescent="0.25">
      <c r="G462"/>
      <c r="H462"/>
      <c r="I462"/>
      <c r="K462"/>
      <c r="L462"/>
      <c r="M462"/>
      <c r="N462"/>
      <c r="O462"/>
      <c r="P462"/>
      <c r="Q462"/>
      <c r="R462"/>
      <c r="S462"/>
      <c r="T462"/>
      <c r="V462"/>
      <c r="W462"/>
      <c r="X462"/>
      <c r="Y462"/>
      <c r="AA462"/>
    </row>
    <row r="463" spans="7:27" x14ac:dyDescent="0.25">
      <c r="G463"/>
      <c r="H463"/>
      <c r="I463"/>
      <c r="K463"/>
      <c r="L463"/>
      <c r="M463"/>
      <c r="N463"/>
      <c r="O463"/>
      <c r="P463"/>
      <c r="Q463"/>
      <c r="R463"/>
      <c r="S463"/>
      <c r="T463"/>
      <c r="V463"/>
      <c r="W463"/>
      <c r="X463"/>
      <c r="Y463"/>
      <c r="AA463"/>
    </row>
    <row r="464" spans="7:27" x14ac:dyDescent="0.25">
      <c r="G464"/>
      <c r="H464"/>
      <c r="I464"/>
      <c r="K464"/>
      <c r="L464"/>
      <c r="M464"/>
      <c r="N464"/>
      <c r="O464"/>
      <c r="P464"/>
      <c r="Q464"/>
      <c r="R464"/>
      <c r="S464"/>
      <c r="T464"/>
      <c r="V464"/>
      <c r="W464"/>
      <c r="X464"/>
      <c r="Y464"/>
      <c r="AA464"/>
    </row>
    <row r="465" spans="7:27" x14ac:dyDescent="0.25">
      <c r="G465"/>
      <c r="H465"/>
      <c r="I465"/>
      <c r="K465"/>
      <c r="L465"/>
      <c r="M465"/>
      <c r="N465"/>
      <c r="O465"/>
      <c r="P465"/>
      <c r="Q465"/>
      <c r="R465"/>
      <c r="S465"/>
      <c r="T465"/>
      <c r="V465"/>
      <c r="W465"/>
      <c r="X465"/>
      <c r="Y465"/>
      <c r="AA465"/>
    </row>
    <row r="466" spans="7:27" x14ac:dyDescent="0.25">
      <c r="G466"/>
      <c r="H466"/>
      <c r="I466"/>
      <c r="K466"/>
      <c r="L466"/>
      <c r="M466"/>
      <c r="N466"/>
      <c r="O466"/>
      <c r="P466"/>
      <c r="Q466"/>
      <c r="R466"/>
      <c r="S466"/>
      <c r="T466"/>
      <c r="V466"/>
      <c r="W466"/>
      <c r="X466"/>
      <c r="Y466"/>
      <c r="AA466"/>
    </row>
    <row r="467" spans="7:27" x14ac:dyDescent="0.25">
      <c r="G467"/>
      <c r="H467"/>
      <c r="I467"/>
      <c r="K467"/>
      <c r="L467"/>
      <c r="M467"/>
      <c r="N467"/>
      <c r="O467"/>
      <c r="P467"/>
      <c r="Q467"/>
      <c r="R467"/>
      <c r="S467"/>
      <c r="T467"/>
      <c r="V467"/>
      <c r="W467"/>
      <c r="X467"/>
      <c r="Y467"/>
      <c r="AA467"/>
    </row>
    <row r="468" spans="7:27" x14ac:dyDescent="0.25">
      <c r="G468"/>
      <c r="H468"/>
      <c r="I468"/>
      <c r="K468"/>
      <c r="L468"/>
      <c r="M468"/>
      <c r="N468"/>
      <c r="O468"/>
      <c r="P468"/>
      <c r="Q468"/>
      <c r="R468"/>
      <c r="S468"/>
      <c r="T468"/>
      <c r="V468"/>
      <c r="W468"/>
      <c r="X468"/>
      <c r="Y468"/>
      <c r="AA468"/>
    </row>
    <row r="469" spans="7:27" x14ac:dyDescent="0.25">
      <c r="G469"/>
      <c r="H469"/>
      <c r="I469"/>
      <c r="K469"/>
      <c r="L469"/>
      <c r="M469"/>
      <c r="N469"/>
      <c r="O469"/>
      <c r="P469"/>
      <c r="Q469"/>
      <c r="R469"/>
      <c r="S469"/>
      <c r="T469"/>
      <c r="V469"/>
      <c r="W469"/>
      <c r="X469"/>
      <c r="Y469"/>
      <c r="AA469"/>
    </row>
    <row r="470" spans="7:27" x14ac:dyDescent="0.25">
      <c r="G470"/>
      <c r="H470"/>
      <c r="I470"/>
      <c r="K470"/>
      <c r="L470"/>
      <c r="M470"/>
      <c r="N470"/>
      <c r="O470"/>
      <c r="P470"/>
      <c r="Q470"/>
      <c r="R470"/>
      <c r="S470"/>
      <c r="T470"/>
      <c r="V470"/>
      <c r="W470"/>
      <c r="X470"/>
      <c r="Y470"/>
      <c r="AA470"/>
    </row>
    <row r="471" spans="7:27" x14ac:dyDescent="0.25">
      <c r="G471"/>
      <c r="H471"/>
      <c r="I471"/>
      <c r="K471"/>
      <c r="L471"/>
      <c r="M471"/>
      <c r="N471"/>
      <c r="O471"/>
      <c r="P471"/>
      <c r="Q471"/>
      <c r="R471"/>
      <c r="S471"/>
      <c r="T471"/>
      <c r="V471"/>
      <c r="W471"/>
      <c r="X471"/>
      <c r="Y471"/>
      <c r="AA471"/>
    </row>
    <row r="472" spans="7:27" x14ac:dyDescent="0.25">
      <c r="G472"/>
      <c r="H472"/>
      <c r="I472"/>
      <c r="K472"/>
      <c r="L472"/>
      <c r="M472"/>
      <c r="N472"/>
      <c r="O472"/>
      <c r="P472"/>
      <c r="Q472"/>
      <c r="R472"/>
      <c r="S472"/>
      <c r="T472"/>
      <c r="V472"/>
      <c r="W472"/>
      <c r="X472"/>
      <c r="Y472"/>
      <c r="AA472"/>
    </row>
    <row r="473" spans="7:27" x14ac:dyDescent="0.25">
      <c r="G473"/>
      <c r="H473"/>
      <c r="I473"/>
      <c r="K473"/>
      <c r="L473"/>
      <c r="M473"/>
      <c r="N473"/>
      <c r="O473"/>
      <c r="P473"/>
      <c r="Q473"/>
      <c r="R473"/>
      <c r="S473"/>
      <c r="T473"/>
      <c r="V473"/>
      <c r="W473"/>
      <c r="X473"/>
      <c r="Y473"/>
      <c r="AA473"/>
    </row>
    <row r="474" spans="7:27" x14ac:dyDescent="0.25">
      <c r="G474"/>
      <c r="H474"/>
      <c r="I474"/>
      <c r="K474"/>
      <c r="L474"/>
      <c r="M474"/>
      <c r="N474"/>
      <c r="O474"/>
      <c r="P474"/>
      <c r="Q474"/>
      <c r="R474"/>
      <c r="S474"/>
      <c r="T474"/>
      <c r="V474"/>
      <c r="W474"/>
      <c r="X474"/>
      <c r="Y474"/>
      <c r="AA474"/>
    </row>
    <row r="475" spans="7:27" x14ac:dyDescent="0.25">
      <c r="G475"/>
      <c r="H475"/>
      <c r="I475"/>
      <c r="K475"/>
      <c r="L475"/>
      <c r="M475"/>
      <c r="N475"/>
      <c r="O475"/>
      <c r="P475"/>
      <c r="Q475"/>
      <c r="R475"/>
      <c r="S475"/>
      <c r="T475"/>
      <c r="V475"/>
      <c r="W475"/>
      <c r="X475"/>
      <c r="Y475"/>
      <c r="AA475"/>
    </row>
    <row r="476" spans="7:27" x14ac:dyDescent="0.25">
      <c r="G476"/>
      <c r="H476"/>
      <c r="I476"/>
      <c r="K476"/>
      <c r="L476"/>
      <c r="M476"/>
      <c r="N476"/>
      <c r="O476"/>
      <c r="P476"/>
      <c r="Q476"/>
      <c r="R476"/>
      <c r="S476"/>
      <c r="T476"/>
      <c r="V476"/>
      <c r="W476"/>
      <c r="X476"/>
      <c r="Y476"/>
      <c r="AA476"/>
    </row>
    <row r="477" spans="7:27" x14ac:dyDescent="0.25">
      <c r="G477"/>
      <c r="H477"/>
      <c r="I477"/>
      <c r="K477"/>
      <c r="L477"/>
      <c r="M477"/>
      <c r="N477"/>
      <c r="O477"/>
      <c r="P477"/>
      <c r="Q477"/>
      <c r="R477"/>
      <c r="S477"/>
      <c r="T477"/>
      <c r="V477"/>
      <c r="W477"/>
      <c r="X477"/>
      <c r="Y477"/>
      <c r="AA477"/>
    </row>
    <row r="478" spans="7:27" x14ac:dyDescent="0.25">
      <c r="G478"/>
      <c r="H478"/>
      <c r="I478"/>
      <c r="K478"/>
      <c r="L478"/>
      <c r="M478"/>
      <c r="N478"/>
      <c r="O478"/>
      <c r="P478"/>
      <c r="Q478"/>
      <c r="R478"/>
      <c r="S478"/>
      <c r="T478"/>
      <c r="V478"/>
      <c r="W478"/>
      <c r="X478"/>
      <c r="Y478"/>
      <c r="AA478"/>
    </row>
    <row r="479" spans="7:27" x14ac:dyDescent="0.25">
      <c r="G479"/>
      <c r="H479"/>
      <c r="I479"/>
      <c r="K479"/>
      <c r="L479"/>
      <c r="M479"/>
      <c r="N479"/>
      <c r="O479"/>
      <c r="P479"/>
      <c r="Q479"/>
      <c r="R479"/>
      <c r="S479"/>
      <c r="T479"/>
      <c r="V479"/>
      <c r="W479"/>
      <c r="X479"/>
      <c r="Y479"/>
      <c r="AA479"/>
    </row>
    <row r="480" spans="7:27" x14ac:dyDescent="0.25">
      <c r="G480"/>
      <c r="H480"/>
      <c r="I480"/>
      <c r="K480"/>
      <c r="L480"/>
      <c r="M480"/>
      <c r="N480"/>
      <c r="O480"/>
      <c r="P480"/>
      <c r="Q480"/>
      <c r="R480"/>
      <c r="S480"/>
      <c r="T480"/>
      <c r="V480"/>
      <c r="W480"/>
      <c r="X480"/>
      <c r="Y480"/>
      <c r="AA480"/>
    </row>
    <row r="481" spans="7:27" x14ac:dyDescent="0.25">
      <c r="G481"/>
      <c r="H481"/>
      <c r="I481"/>
      <c r="K481"/>
      <c r="L481"/>
      <c r="M481"/>
      <c r="N481"/>
      <c r="O481"/>
      <c r="P481"/>
      <c r="Q481"/>
      <c r="R481"/>
      <c r="S481"/>
      <c r="T481"/>
      <c r="V481"/>
      <c r="W481"/>
      <c r="X481"/>
      <c r="Y481"/>
      <c r="AA481"/>
    </row>
    <row r="482" spans="7:27" x14ac:dyDescent="0.25">
      <c r="G482"/>
      <c r="H482"/>
      <c r="I482"/>
      <c r="K482"/>
      <c r="L482"/>
      <c r="M482"/>
      <c r="N482"/>
      <c r="O482"/>
      <c r="P482"/>
      <c r="Q482"/>
      <c r="R482"/>
      <c r="S482"/>
      <c r="T482"/>
      <c r="V482"/>
      <c r="W482"/>
      <c r="X482"/>
      <c r="Y482"/>
      <c r="AA482"/>
    </row>
    <row r="483" spans="7:27" x14ac:dyDescent="0.25">
      <c r="G483"/>
      <c r="H483"/>
      <c r="I483"/>
      <c r="K483"/>
      <c r="L483"/>
      <c r="M483"/>
      <c r="N483"/>
      <c r="O483"/>
      <c r="P483"/>
      <c r="Q483"/>
      <c r="R483"/>
      <c r="S483"/>
      <c r="T483"/>
      <c r="V483"/>
      <c r="W483"/>
      <c r="X483"/>
      <c r="Y483"/>
      <c r="AA483"/>
    </row>
    <row r="484" spans="7:27" x14ac:dyDescent="0.25">
      <c r="G484"/>
      <c r="H484"/>
      <c r="I484"/>
      <c r="K484"/>
      <c r="L484"/>
      <c r="M484"/>
      <c r="N484"/>
      <c r="O484"/>
      <c r="P484"/>
      <c r="Q484"/>
      <c r="R484"/>
      <c r="S484"/>
      <c r="T484"/>
      <c r="V484"/>
      <c r="W484"/>
      <c r="X484"/>
      <c r="Y484"/>
      <c r="AA484"/>
    </row>
    <row r="485" spans="7:27" x14ac:dyDescent="0.25">
      <c r="G485"/>
      <c r="H485"/>
      <c r="I485"/>
      <c r="K485"/>
      <c r="L485"/>
      <c r="M485"/>
      <c r="N485"/>
      <c r="O485"/>
      <c r="P485"/>
      <c r="Q485"/>
      <c r="R485"/>
      <c r="S485"/>
      <c r="T485"/>
      <c r="V485"/>
      <c r="W485"/>
      <c r="X485"/>
      <c r="Y485"/>
      <c r="AA485"/>
    </row>
    <row r="486" spans="7:27" x14ac:dyDescent="0.25">
      <c r="G486"/>
      <c r="H486"/>
      <c r="I486"/>
      <c r="K486"/>
      <c r="L486"/>
      <c r="M486"/>
      <c r="N486"/>
      <c r="O486"/>
      <c r="P486"/>
      <c r="Q486"/>
      <c r="R486"/>
      <c r="S486"/>
      <c r="T486"/>
      <c r="V486"/>
      <c r="W486"/>
      <c r="X486"/>
      <c r="Y486"/>
      <c r="AA486"/>
    </row>
    <row r="487" spans="7:27" x14ac:dyDescent="0.25">
      <c r="G487"/>
      <c r="H487"/>
      <c r="I487"/>
      <c r="K487"/>
      <c r="L487"/>
      <c r="M487"/>
      <c r="N487"/>
      <c r="O487"/>
      <c r="P487"/>
      <c r="Q487"/>
      <c r="R487"/>
      <c r="S487"/>
      <c r="T487"/>
      <c r="V487"/>
      <c r="W487"/>
      <c r="X487"/>
      <c r="Y487"/>
      <c r="AA487"/>
    </row>
    <row r="488" spans="7:27" x14ac:dyDescent="0.25">
      <c r="G488"/>
      <c r="H488"/>
      <c r="I488"/>
      <c r="K488"/>
      <c r="L488"/>
      <c r="M488"/>
      <c r="N488"/>
      <c r="O488"/>
      <c r="P488"/>
      <c r="Q488"/>
      <c r="R488"/>
      <c r="S488"/>
      <c r="T488"/>
      <c r="V488"/>
      <c r="W488"/>
      <c r="X488"/>
      <c r="Y488"/>
      <c r="AA488"/>
    </row>
    <row r="489" spans="7:27" x14ac:dyDescent="0.25">
      <c r="G489"/>
      <c r="H489"/>
      <c r="I489"/>
      <c r="K489"/>
      <c r="L489"/>
      <c r="M489"/>
      <c r="N489"/>
      <c r="O489"/>
      <c r="P489"/>
      <c r="Q489"/>
      <c r="R489"/>
      <c r="S489"/>
      <c r="T489"/>
      <c r="V489"/>
      <c r="W489"/>
      <c r="X489"/>
      <c r="Y489"/>
      <c r="AA489"/>
    </row>
    <row r="490" spans="7:27" x14ac:dyDescent="0.25">
      <c r="G490"/>
      <c r="H490"/>
      <c r="I490"/>
      <c r="K490"/>
      <c r="L490"/>
      <c r="M490"/>
      <c r="N490"/>
      <c r="O490"/>
      <c r="P490"/>
      <c r="Q490"/>
      <c r="R490"/>
      <c r="S490"/>
      <c r="T490"/>
      <c r="V490"/>
      <c r="W490"/>
      <c r="X490"/>
      <c r="Y490"/>
      <c r="AA490"/>
    </row>
    <row r="491" spans="7:27" x14ac:dyDescent="0.25">
      <c r="G491"/>
      <c r="H491"/>
      <c r="I491"/>
      <c r="K491"/>
      <c r="L491"/>
      <c r="M491"/>
      <c r="N491"/>
      <c r="O491"/>
      <c r="P491"/>
      <c r="Q491"/>
      <c r="R491"/>
      <c r="S491"/>
      <c r="T491"/>
      <c r="V491"/>
      <c r="W491"/>
      <c r="X491"/>
      <c r="Y491"/>
      <c r="AA491"/>
    </row>
    <row r="492" spans="7:27" x14ac:dyDescent="0.25">
      <c r="G492"/>
      <c r="H492"/>
      <c r="I492"/>
      <c r="K492"/>
      <c r="L492"/>
      <c r="M492"/>
      <c r="N492"/>
      <c r="O492"/>
      <c r="P492"/>
      <c r="Q492"/>
      <c r="R492"/>
      <c r="S492"/>
      <c r="T492"/>
      <c r="V492"/>
      <c r="W492"/>
      <c r="X492"/>
      <c r="Y492"/>
      <c r="AA492"/>
    </row>
    <row r="493" spans="7:27" x14ac:dyDescent="0.25">
      <c r="G493"/>
      <c r="H493"/>
      <c r="I493"/>
      <c r="K493"/>
      <c r="L493"/>
      <c r="M493"/>
      <c r="N493"/>
      <c r="O493"/>
      <c r="P493"/>
      <c r="Q493"/>
      <c r="R493"/>
      <c r="S493"/>
      <c r="T493"/>
      <c r="V493"/>
      <c r="W493"/>
      <c r="X493"/>
      <c r="Y493"/>
      <c r="AA493"/>
    </row>
    <row r="494" spans="7:27" x14ac:dyDescent="0.25">
      <c r="G494"/>
      <c r="H494"/>
      <c r="I494"/>
      <c r="K494"/>
      <c r="L494"/>
      <c r="M494"/>
      <c r="N494"/>
      <c r="O494"/>
      <c r="P494"/>
      <c r="Q494"/>
      <c r="R494"/>
      <c r="S494"/>
      <c r="T494"/>
      <c r="V494"/>
      <c r="W494"/>
      <c r="X494"/>
      <c r="Y494"/>
      <c r="AA494"/>
    </row>
    <row r="495" spans="7:27" x14ac:dyDescent="0.25">
      <c r="G495"/>
      <c r="H495"/>
      <c r="I495"/>
      <c r="K495"/>
      <c r="L495"/>
      <c r="M495"/>
      <c r="N495"/>
      <c r="O495"/>
      <c r="P495"/>
      <c r="Q495"/>
      <c r="R495"/>
      <c r="S495"/>
      <c r="T495"/>
      <c r="V495"/>
      <c r="W495"/>
      <c r="X495"/>
      <c r="Y495"/>
      <c r="AA495"/>
    </row>
    <row r="496" spans="7:27" x14ac:dyDescent="0.25">
      <c r="G496"/>
      <c r="H496"/>
      <c r="I496"/>
      <c r="K496"/>
      <c r="L496"/>
      <c r="M496"/>
      <c r="N496"/>
      <c r="O496"/>
      <c r="P496"/>
      <c r="Q496"/>
      <c r="R496"/>
      <c r="S496"/>
      <c r="T496"/>
      <c r="V496"/>
      <c r="W496"/>
      <c r="X496"/>
      <c r="Y496"/>
      <c r="AA496"/>
    </row>
    <row r="497" spans="7:27" x14ac:dyDescent="0.25">
      <c r="G497"/>
      <c r="H497"/>
      <c r="I497"/>
      <c r="K497"/>
      <c r="L497"/>
      <c r="M497"/>
      <c r="N497"/>
      <c r="O497"/>
      <c r="P497"/>
      <c r="Q497"/>
      <c r="R497"/>
      <c r="S497"/>
      <c r="T497"/>
      <c r="V497"/>
      <c r="W497"/>
      <c r="X497"/>
      <c r="Y497"/>
      <c r="AA497"/>
    </row>
    <row r="498" spans="7:27" x14ac:dyDescent="0.25">
      <c r="G498"/>
      <c r="H498"/>
      <c r="I498"/>
      <c r="K498"/>
      <c r="L498"/>
      <c r="M498"/>
      <c r="N498"/>
      <c r="O498"/>
      <c r="P498"/>
      <c r="Q498"/>
      <c r="R498"/>
      <c r="S498"/>
      <c r="T498"/>
      <c r="V498"/>
      <c r="W498"/>
      <c r="X498"/>
      <c r="Y498"/>
      <c r="AA498"/>
    </row>
    <row r="499" spans="7:27" x14ac:dyDescent="0.25">
      <c r="G499"/>
      <c r="H499"/>
      <c r="I499"/>
      <c r="K499"/>
      <c r="L499"/>
      <c r="M499"/>
      <c r="N499"/>
      <c r="O499"/>
      <c r="P499"/>
      <c r="Q499"/>
      <c r="R499"/>
      <c r="S499"/>
      <c r="T499"/>
      <c r="V499"/>
      <c r="W499"/>
      <c r="X499"/>
      <c r="Y499"/>
      <c r="AA499"/>
    </row>
    <row r="500" spans="7:27" x14ac:dyDescent="0.25">
      <c r="G500"/>
      <c r="H500"/>
      <c r="I500"/>
      <c r="K500"/>
      <c r="L500"/>
      <c r="M500"/>
      <c r="N500"/>
      <c r="O500"/>
      <c r="P500"/>
      <c r="Q500"/>
      <c r="R500"/>
      <c r="S500"/>
      <c r="T500"/>
      <c r="V500"/>
      <c r="W500"/>
      <c r="X500"/>
      <c r="Y500"/>
      <c r="AA500"/>
    </row>
    <row r="501" spans="7:27" x14ac:dyDescent="0.25">
      <c r="G501"/>
      <c r="H501"/>
      <c r="I501"/>
      <c r="K501"/>
      <c r="L501"/>
      <c r="M501"/>
      <c r="N501"/>
      <c r="O501"/>
      <c r="P501"/>
      <c r="Q501"/>
      <c r="R501"/>
      <c r="S501"/>
      <c r="T501"/>
      <c r="V501"/>
      <c r="W501"/>
      <c r="X501"/>
      <c r="Y501"/>
      <c r="AA501"/>
    </row>
    <row r="502" spans="7:27" x14ac:dyDescent="0.25">
      <c r="G502"/>
      <c r="H502"/>
      <c r="I502"/>
      <c r="K502"/>
      <c r="L502"/>
      <c r="M502"/>
      <c r="N502"/>
      <c r="O502"/>
      <c r="P502"/>
      <c r="Q502"/>
      <c r="R502"/>
      <c r="S502"/>
      <c r="T502"/>
      <c r="V502"/>
      <c r="W502"/>
      <c r="X502"/>
      <c r="Y502"/>
      <c r="AA502"/>
    </row>
    <row r="503" spans="7:27" x14ac:dyDescent="0.25">
      <c r="G503"/>
      <c r="H503"/>
      <c r="I503"/>
      <c r="K503"/>
      <c r="L503"/>
      <c r="M503"/>
      <c r="N503"/>
      <c r="O503"/>
      <c r="P503"/>
      <c r="Q503"/>
      <c r="R503"/>
      <c r="S503"/>
      <c r="T503"/>
      <c r="V503"/>
      <c r="W503"/>
      <c r="X503"/>
      <c r="Y503"/>
      <c r="AA503"/>
    </row>
    <row r="504" spans="7:27" x14ac:dyDescent="0.25">
      <c r="G504"/>
      <c r="H504"/>
      <c r="I504"/>
      <c r="K504"/>
      <c r="L504"/>
      <c r="M504"/>
      <c r="N504"/>
      <c r="O504"/>
      <c r="P504"/>
      <c r="Q504"/>
      <c r="R504"/>
      <c r="S504"/>
      <c r="T504"/>
      <c r="V504"/>
      <c r="W504"/>
      <c r="X504"/>
      <c r="Y504"/>
      <c r="AA504"/>
    </row>
    <row r="505" spans="7:27" x14ac:dyDescent="0.25">
      <c r="G505"/>
      <c r="H505"/>
      <c r="I505"/>
      <c r="K505"/>
      <c r="L505"/>
      <c r="M505"/>
      <c r="N505"/>
      <c r="O505"/>
      <c r="P505"/>
      <c r="Q505"/>
      <c r="R505"/>
      <c r="S505"/>
      <c r="T505"/>
      <c r="V505"/>
      <c r="W505"/>
      <c r="X505"/>
      <c r="Y505"/>
      <c r="AA505"/>
    </row>
    <row r="506" spans="7:27" x14ac:dyDescent="0.25">
      <c r="G506"/>
      <c r="H506"/>
      <c r="I506"/>
      <c r="K506"/>
      <c r="L506"/>
      <c r="M506"/>
      <c r="N506"/>
      <c r="O506"/>
      <c r="P506"/>
      <c r="Q506"/>
      <c r="R506"/>
      <c r="S506"/>
      <c r="T506"/>
      <c r="V506"/>
      <c r="W506"/>
      <c r="X506"/>
      <c r="Y506"/>
      <c r="AA506"/>
    </row>
    <row r="507" spans="7:27" x14ac:dyDescent="0.25">
      <c r="G507"/>
      <c r="H507"/>
      <c r="I507"/>
      <c r="K507"/>
      <c r="L507"/>
      <c r="M507"/>
      <c r="N507"/>
      <c r="O507"/>
      <c r="P507"/>
      <c r="Q507"/>
      <c r="R507"/>
      <c r="S507"/>
      <c r="T507"/>
      <c r="V507"/>
      <c r="W507"/>
      <c r="X507"/>
      <c r="Y507"/>
      <c r="AA507"/>
    </row>
    <row r="508" spans="7:27" x14ac:dyDescent="0.25">
      <c r="G508"/>
      <c r="H508"/>
      <c r="I508"/>
      <c r="K508"/>
      <c r="L508"/>
      <c r="M508"/>
      <c r="N508"/>
      <c r="O508"/>
      <c r="P508"/>
      <c r="Q508"/>
      <c r="R508"/>
      <c r="S508"/>
      <c r="T508"/>
      <c r="V508"/>
      <c r="W508"/>
      <c r="X508"/>
      <c r="Y508"/>
      <c r="AA508"/>
    </row>
    <row r="509" spans="7:27" x14ac:dyDescent="0.25">
      <c r="G509"/>
      <c r="H509"/>
      <c r="I509"/>
      <c r="K509"/>
      <c r="L509"/>
      <c r="M509"/>
      <c r="N509"/>
      <c r="O509"/>
      <c r="P509"/>
      <c r="Q509"/>
      <c r="R509"/>
      <c r="S509"/>
      <c r="T509"/>
      <c r="V509"/>
      <c r="W509"/>
      <c r="X509"/>
      <c r="Y509"/>
      <c r="AA509"/>
    </row>
    <row r="510" spans="7:27" x14ac:dyDescent="0.25">
      <c r="G510"/>
      <c r="H510"/>
      <c r="I510"/>
      <c r="K510"/>
      <c r="L510"/>
      <c r="M510"/>
      <c r="N510"/>
      <c r="O510"/>
      <c r="P510"/>
      <c r="Q510"/>
      <c r="R510"/>
      <c r="S510"/>
      <c r="T510"/>
      <c r="V510"/>
      <c r="W510"/>
      <c r="X510"/>
      <c r="Y510"/>
      <c r="AA510"/>
    </row>
    <row r="511" spans="7:27" x14ac:dyDescent="0.25">
      <c r="G511"/>
      <c r="H511"/>
      <c r="I511"/>
      <c r="K511"/>
      <c r="L511"/>
      <c r="M511"/>
      <c r="N511"/>
      <c r="O511"/>
      <c r="P511"/>
      <c r="Q511"/>
      <c r="R511"/>
      <c r="S511"/>
      <c r="T511"/>
      <c r="V511"/>
      <c r="W511"/>
      <c r="X511"/>
      <c r="Y511"/>
      <c r="AA511"/>
    </row>
    <row r="512" spans="7:27" x14ac:dyDescent="0.25">
      <c r="G512"/>
      <c r="H512"/>
      <c r="I512"/>
      <c r="K512"/>
      <c r="L512"/>
      <c r="M512"/>
      <c r="N512"/>
      <c r="O512"/>
      <c r="P512"/>
      <c r="Q512"/>
      <c r="R512"/>
      <c r="S512"/>
      <c r="T512"/>
      <c r="V512"/>
      <c r="W512"/>
      <c r="X512"/>
      <c r="Y512"/>
      <c r="AA512"/>
    </row>
    <row r="513" spans="7:27" x14ac:dyDescent="0.25">
      <c r="G513"/>
      <c r="H513"/>
      <c r="I513"/>
      <c r="K513"/>
      <c r="L513"/>
      <c r="M513"/>
      <c r="N513"/>
      <c r="O513"/>
      <c r="P513"/>
      <c r="Q513"/>
      <c r="R513"/>
      <c r="S513"/>
      <c r="T513"/>
      <c r="V513"/>
      <c r="W513"/>
      <c r="X513"/>
      <c r="Y513"/>
      <c r="AA513"/>
    </row>
    <row r="514" spans="7:27" x14ac:dyDescent="0.25">
      <c r="G514"/>
      <c r="H514"/>
      <c r="I514"/>
      <c r="K514"/>
      <c r="L514"/>
      <c r="M514"/>
      <c r="N514"/>
      <c r="O514"/>
      <c r="P514"/>
      <c r="Q514"/>
      <c r="R514"/>
      <c r="S514"/>
      <c r="T514"/>
      <c r="V514"/>
      <c r="W514"/>
      <c r="X514"/>
      <c r="Y514"/>
      <c r="AA514"/>
    </row>
    <row r="515" spans="7:27" x14ac:dyDescent="0.25">
      <c r="G515"/>
      <c r="H515"/>
      <c r="I515"/>
      <c r="K515"/>
      <c r="L515"/>
      <c r="M515"/>
      <c r="N515"/>
      <c r="O515"/>
      <c r="P515"/>
      <c r="Q515"/>
      <c r="R515"/>
      <c r="S515"/>
      <c r="T515"/>
      <c r="V515"/>
      <c r="W515"/>
      <c r="X515"/>
      <c r="Y515"/>
      <c r="AA515"/>
    </row>
    <row r="516" spans="7:27" x14ac:dyDescent="0.25">
      <c r="G516"/>
      <c r="H516"/>
      <c r="I516"/>
      <c r="K516"/>
      <c r="L516"/>
      <c r="M516"/>
      <c r="N516"/>
      <c r="O516"/>
      <c r="P516"/>
      <c r="Q516"/>
      <c r="R516"/>
      <c r="S516"/>
      <c r="T516"/>
      <c r="V516"/>
      <c r="W516"/>
      <c r="X516"/>
      <c r="Y516"/>
      <c r="AA516"/>
    </row>
    <row r="517" spans="7:27" x14ac:dyDescent="0.25">
      <c r="G517"/>
      <c r="H517"/>
      <c r="I517"/>
      <c r="K517"/>
      <c r="L517"/>
      <c r="M517"/>
      <c r="N517"/>
      <c r="O517"/>
      <c r="P517"/>
      <c r="Q517"/>
      <c r="R517"/>
      <c r="S517"/>
      <c r="T517"/>
      <c r="V517"/>
      <c r="W517"/>
      <c r="X517"/>
      <c r="Y517"/>
      <c r="AA517"/>
    </row>
    <row r="518" spans="7:27" x14ac:dyDescent="0.25">
      <c r="G518"/>
      <c r="H518"/>
      <c r="I518"/>
      <c r="K518"/>
      <c r="L518"/>
      <c r="M518"/>
      <c r="N518"/>
      <c r="O518"/>
      <c r="P518"/>
      <c r="Q518"/>
      <c r="R518"/>
      <c r="S518"/>
      <c r="T518"/>
      <c r="V518"/>
      <c r="W518"/>
      <c r="X518"/>
      <c r="Y518"/>
      <c r="AA518"/>
    </row>
    <row r="519" spans="7:27" x14ac:dyDescent="0.25">
      <c r="G519"/>
      <c r="H519"/>
      <c r="I519"/>
      <c r="K519"/>
      <c r="L519"/>
      <c r="M519"/>
      <c r="N519"/>
      <c r="O519"/>
      <c r="P519"/>
      <c r="Q519"/>
      <c r="R519"/>
      <c r="S519"/>
      <c r="T519"/>
      <c r="V519"/>
      <c r="W519"/>
      <c r="X519"/>
      <c r="Y519"/>
      <c r="AA519"/>
    </row>
    <row r="520" spans="7:27" x14ac:dyDescent="0.25">
      <c r="G520"/>
      <c r="H520"/>
      <c r="I520"/>
      <c r="K520"/>
      <c r="L520"/>
      <c r="M520"/>
      <c r="N520"/>
      <c r="O520"/>
      <c r="P520"/>
      <c r="Q520"/>
      <c r="R520"/>
      <c r="S520"/>
      <c r="T520"/>
      <c r="V520"/>
      <c r="W520"/>
      <c r="X520"/>
      <c r="Y520"/>
      <c r="AA520"/>
    </row>
    <row r="521" spans="7:27" x14ac:dyDescent="0.25">
      <c r="G521"/>
      <c r="H521"/>
      <c r="I521"/>
      <c r="K521"/>
      <c r="L521"/>
      <c r="M521"/>
      <c r="N521"/>
      <c r="O521"/>
      <c r="P521"/>
      <c r="Q521"/>
      <c r="R521"/>
      <c r="S521"/>
      <c r="T521"/>
      <c r="V521"/>
      <c r="W521"/>
      <c r="X521"/>
      <c r="Y521"/>
      <c r="AA521"/>
    </row>
    <row r="522" spans="7:27" x14ac:dyDescent="0.25">
      <c r="G522"/>
      <c r="H522"/>
      <c r="I522"/>
      <c r="K522"/>
      <c r="L522"/>
      <c r="M522"/>
      <c r="N522"/>
      <c r="O522"/>
      <c r="P522"/>
      <c r="Q522"/>
      <c r="R522"/>
      <c r="S522"/>
      <c r="T522"/>
      <c r="V522"/>
      <c r="W522"/>
      <c r="X522"/>
      <c r="Y522"/>
      <c r="AA522"/>
    </row>
    <row r="523" spans="7:27" x14ac:dyDescent="0.25">
      <c r="G523"/>
      <c r="H523"/>
      <c r="I523"/>
      <c r="K523"/>
      <c r="L523"/>
      <c r="M523"/>
      <c r="N523"/>
      <c r="O523"/>
      <c r="P523"/>
      <c r="Q523"/>
      <c r="R523"/>
      <c r="S523"/>
      <c r="T523"/>
      <c r="V523"/>
      <c r="W523"/>
      <c r="X523"/>
      <c r="Y523"/>
      <c r="AA523"/>
    </row>
    <row r="524" spans="7:27" x14ac:dyDescent="0.25">
      <c r="G524"/>
      <c r="H524"/>
      <c r="I524"/>
      <c r="K524"/>
      <c r="L524"/>
      <c r="M524"/>
      <c r="N524"/>
      <c r="O524"/>
      <c r="P524"/>
      <c r="Q524"/>
      <c r="R524"/>
      <c r="S524"/>
      <c r="T524"/>
      <c r="V524"/>
      <c r="W524"/>
      <c r="X524"/>
      <c r="Y524"/>
      <c r="AA524"/>
    </row>
    <row r="525" spans="7:27" x14ac:dyDescent="0.25">
      <c r="G525"/>
      <c r="H525"/>
      <c r="I525"/>
      <c r="K525"/>
      <c r="L525"/>
      <c r="M525"/>
      <c r="N525"/>
      <c r="O525"/>
      <c r="P525"/>
      <c r="Q525"/>
      <c r="R525"/>
      <c r="S525"/>
      <c r="T525"/>
      <c r="V525"/>
      <c r="W525"/>
      <c r="X525"/>
      <c r="Y525"/>
      <c r="AA525"/>
    </row>
    <row r="526" spans="7:27" x14ac:dyDescent="0.25">
      <c r="G526"/>
      <c r="H526"/>
      <c r="I526"/>
      <c r="K526"/>
      <c r="L526"/>
      <c r="M526"/>
      <c r="N526"/>
      <c r="O526"/>
      <c r="P526"/>
      <c r="Q526"/>
      <c r="R526"/>
      <c r="S526"/>
      <c r="T526"/>
      <c r="V526"/>
      <c r="W526"/>
      <c r="X526"/>
      <c r="Y526"/>
      <c r="AA526"/>
    </row>
    <row r="527" spans="7:27" x14ac:dyDescent="0.25">
      <c r="G527"/>
      <c r="H527"/>
      <c r="I527"/>
      <c r="K527"/>
      <c r="L527"/>
      <c r="M527"/>
      <c r="N527"/>
      <c r="O527"/>
      <c r="P527"/>
      <c r="Q527"/>
      <c r="R527"/>
      <c r="S527"/>
      <c r="T527"/>
      <c r="V527"/>
      <c r="W527"/>
      <c r="X527"/>
      <c r="Y527"/>
      <c r="AA527"/>
    </row>
    <row r="528" spans="7:27" x14ac:dyDescent="0.25">
      <c r="G528"/>
      <c r="H528"/>
      <c r="I528"/>
      <c r="K528"/>
      <c r="L528"/>
      <c r="M528"/>
      <c r="N528"/>
      <c r="O528"/>
      <c r="P528"/>
      <c r="Q528"/>
      <c r="R528"/>
      <c r="S528"/>
      <c r="T528"/>
      <c r="V528"/>
      <c r="W528"/>
      <c r="X528"/>
      <c r="Y528"/>
      <c r="AA528"/>
    </row>
    <row r="529" spans="7:27" x14ac:dyDescent="0.25">
      <c r="G529"/>
      <c r="H529"/>
      <c r="I529"/>
      <c r="K529"/>
      <c r="L529"/>
      <c r="M529"/>
      <c r="N529"/>
      <c r="O529"/>
      <c r="P529"/>
      <c r="Q529"/>
      <c r="R529"/>
      <c r="S529"/>
      <c r="T529"/>
      <c r="V529"/>
      <c r="W529"/>
      <c r="X529"/>
      <c r="Y529"/>
      <c r="AA529"/>
    </row>
    <row r="530" spans="7:27" x14ac:dyDescent="0.25">
      <c r="G530"/>
      <c r="H530"/>
      <c r="I530"/>
      <c r="K530"/>
      <c r="L530"/>
      <c r="M530"/>
      <c r="N530"/>
      <c r="O530"/>
      <c r="P530"/>
      <c r="Q530"/>
      <c r="R530"/>
      <c r="S530"/>
      <c r="T530"/>
      <c r="V530"/>
      <c r="W530"/>
      <c r="X530"/>
      <c r="Y530"/>
      <c r="AA530"/>
    </row>
    <row r="531" spans="7:27" x14ac:dyDescent="0.25">
      <c r="G531"/>
      <c r="H531"/>
      <c r="I531"/>
      <c r="K531"/>
      <c r="L531"/>
      <c r="M531"/>
      <c r="N531"/>
      <c r="O531"/>
      <c r="P531"/>
      <c r="Q531"/>
      <c r="R531"/>
      <c r="S531"/>
      <c r="T531"/>
      <c r="V531"/>
      <c r="W531"/>
      <c r="X531"/>
      <c r="Y531"/>
      <c r="AA531"/>
    </row>
    <row r="532" spans="7:27" x14ac:dyDescent="0.25">
      <c r="G532"/>
      <c r="H532"/>
      <c r="I532"/>
      <c r="K532"/>
      <c r="L532"/>
      <c r="M532"/>
      <c r="N532"/>
      <c r="O532"/>
      <c r="P532"/>
      <c r="Q532"/>
      <c r="R532"/>
      <c r="S532"/>
      <c r="T532"/>
      <c r="V532"/>
      <c r="W532"/>
      <c r="X532"/>
      <c r="Y532"/>
      <c r="AA532"/>
    </row>
    <row r="533" spans="7:27" x14ac:dyDescent="0.25">
      <c r="G533"/>
      <c r="H533"/>
      <c r="I533"/>
      <c r="K533"/>
      <c r="L533"/>
      <c r="M533"/>
      <c r="N533"/>
      <c r="O533"/>
      <c r="P533"/>
      <c r="Q533"/>
      <c r="R533"/>
      <c r="S533"/>
      <c r="T533"/>
      <c r="V533"/>
      <c r="W533"/>
      <c r="X533"/>
      <c r="Y533"/>
      <c r="AA533"/>
    </row>
    <row r="534" spans="7:27" x14ac:dyDescent="0.25">
      <c r="G534"/>
      <c r="H534"/>
      <c r="I534"/>
      <c r="K534"/>
      <c r="L534"/>
      <c r="M534"/>
      <c r="N534"/>
      <c r="O534"/>
      <c r="P534"/>
      <c r="Q534"/>
      <c r="R534"/>
      <c r="S534"/>
      <c r="T534"/>
      <c r="V534"/>
      <c r="W534"/>
      <c r="X534"/>
      <c r="Y534"/>
      <c r="AA534"/>
    </row>
    <row r="535" spans="7:27" x14ac:dyDescent="0.25">
      <c r="G535"/>
      <c r="H535"/>
      <c r="I535"/>
      <c r="K535"/>
      <c r="L535"/>
      <c r="M535"/>
      <c r="N535"/>
      <c r="O535"/>
      <c r="P535"/>
      <c r="Q535"/>
      <c r="R535"/>
      <c r="S535"/>
      <c r="T535"/>
      <c r="V535"/>
      <c r="W535"/>
      <c r="X535"/>
      <c r="Y535"/>
      <c r="AA535"/>
    </row>
    <row r="536" spans="7:27" x14ac:dyDescent="0.25">
      <c r="G536"/>
      <c r="H536"/>
      <c r="I536"/>
      <c r="K536"/>
      <c r="L536"/>
      <c r="M536"/>
      <c r="N536"/>
      <c r="O536"/>
      <c r="P536"/>
      <c r="Q536"/>
      <c r="R536"/>
      <c r="S536"/>
      <c r="T536"/>
      <c r="V536"/>
      <c r="W536"/>
      <c r="X536"/>
      <c r="Y536"/>
      <c r="AA536"/>
    </row>
    <row r="537" spans="7:27" x14ac:dyDescent="0.25">
      <c r="G537"/>
      <c r="H537"/>
      <c r="I537"/>
      <c r="K537"/>
      <c r="L537"/>
      <c r="M537"/>
      <c r="N537"/>
      <c r="O537"/>
      <c r="P537"/>
      <c r="Q537"/>
      <c r="R537"/>
      <c r="S537"/>
      <c r="T537"/>
      <c r="V537"/>
      <c r="W537"/>
      <c r="X537"/>
      <c r="Y537"/>
      <c r="AA537"/>
    </row>
    <row r="538" spans="7:27" x14ac:dyDescent="0.25">
      <c r="G538"/>
      <c r="H538"/>
      <c r="I538"/>
      <c r="K538"/>
      <c r="L538"/>
      <c r="M538"/>
      <c r="N538"/>
      <c r="O538"/>
      <c r="P538"/>
      <c r="Q538"/>
      <c r="R538"/>
      <c r="S538"/>
      <c r="T538"/>
      <c r="V538"/>
      <c r="W538"/>
      <c r="X538"/>
      <c r="Y538"/>
      <c r="AA538"/>
    </row>
    <row r="539" spans="7:27" x14ac:dyDescent="0.25">
      <c r="G539"/>
      <c r="H539"/>
      <c r="I539"/>
      <c r="K539"/>
      <c r="L539"/>
      <c r="M539"/>
      <c r="N539"/>
      <c r="O539"/>
      <c r="P539"/>
      <c r="Q539"/>
      <c r="R539"/>
      <c r="S539"/>
      <c r="T539"/>
      <c r="V539"/>
      <c r="W539"/>
      <c r="X539"/>
      <c r="Y539"/>
      <c r="AA539"/>
    </row>
    <row r="540" spans="7:27" x14ac:dyDescent="0.25">
      <c r="G540"/>
      <c r="H540"/>
      <c r="I540"/>
      <c r="K540"/>
      <c r="L540"/>
      <c r="M540"/>
      <c r="N540"/>
      <c r="O540"/>
      <c r="P540"/>
      <c r="Q540"/>
      <c r="R540"/>
      <c r="S540"/>
      <c r="T540"/>
      <c r="V540"/>
      <c r="W540"/>
      <c r="X540"/>
      <c r="Y540"/>
      <c r="AA540"/>
    </row>
    <row r="541" spans="7:27" x14ac:dyDescent="0.25">
      <c r="G541"/>
      <c r="H541"/>
      <c r="I541"/>
      <c r="K541"/>
      <c r="L541"/>
      <c r="M541"/>
      <c r="N541"/>
      <c r="O541"/>
      <c r="P541"/>
      <c r="Q541"/>
      <c r="R541"/>
      <c r="S541"/>
      <c r="T541"/>
      <c r="V541"/>
      <c r="W541"/>
      <c r="X541"/>
      <c r="Y541"/>
      <c r="AA541"/>
    </row>
    <row r="542" spans="7:27" x14ac:dyDescent="0.25">
      <c r="G542"/>
      <c r="H542"/>
      <c r="I542"/>
      <c r="K542"/>
      <c r="L542"/>
      <c r="M542"/>
      <c r="N542"/>
      <c r="O542"/>
      <c r="P542"/>
      <c r="Q542"/>
      <c r="R542"/>
      <c r="S542"/>
      <c r="T542"/>
      <c r="V542"/>
      <c r="W542"/>
      <c r="X542"/>
      <c r="Y542"/>
      <c r="AA542"/>
    </row>
    <row r="543" spans="7:27" x14ac:dyDescent="0.25">
      <c r="G543"/>
      <c r="H543"/>
      <c r="I543"/>
      <c r="K543"/>
      <c r="L543"/>
      <c r="M543"/>
      <c r="N543"/>
      <c r="O543"/>
      <c r="P543"/>
      <c r="Q543"/>
      <c r="R543"/>
      <c r="S543"/>
      <c r="T543"/>
      <c r="V543"/>
      <c r="W543"/>
      <c r="X543"/>
      <c r="Y543"/>
      <c r="AA543"/>
    </row>
    <row r="544" spans="7:27" x14ac:dyDescent="0.25">
      <c r="G544"/>
      <c r="H544"/>
      <c r="I544"/>
      <c r="K544"/>
      <c r="L544"/>
      <c r="M544"/>
      <c r="N544"/>
      <c r="O544"/>
      <c r="P544"/>
      <c r="Q544"/>
      <c r="R544"/>
      <c r="S544"/>
      <c r="T544"/>
      <c r="V544"/>
      <c r="W544"/>
      <c r="X544"/>
      <c r="Y544"/>
      <c r="AA544"/>
    </row>
    <row r="545" spans="7:27" x14ac:dyDescent="0.25">
      <c r="G545"/>
      <c r="H545"/>
      <c r="I545"/>
      <c r="K545"/>
      <c r="L545"/>
      <c r="M545"/>
      <c r="N545"/>
      <c r="O545"/>
      <c r="P545"/>
      <c r="Q545"/>
      <c r="R545"/>
      <c r="S545"/>
      <c r="T545"/>
      <c r="V545"/>
      <c r="W545"/>
      <c r="X545"/>
      <c r="Y545"/>
      <c r="AA545"/>
    </row>
    <row r="546" spans="7:27" x14ac:dyDescent="0.25">
      <c r="G546"/>
      <c r="H546"/>
      <c r="I546"/>
      <c r="K546"/>
      <c r="L546"/>
      <c r="M546"/>
      <c r="N546"/>
      <c r="O546"/>
      <c r="P546"/>
      <c r="Q546"/>
      <c r="R546"/>
      <c r="S546"/>
      <c r="T546"/>
      <c r="V546"/>
      <c r="W546"/>
      <c r="X546"/>
      <c r="Y546"/>
      <c r="AA546"/>
    </row>
    <row r="547" spans="7:27" x14ac:dyDescent="0.25">
      <c r="G547"/>
      <c r="H547"/>
      <c r="I547"/>
      <c r="K547"/>
      <c r="L547"/>
      <c r="M547"/>
      <c r="N547"/>
      <c r="O547"/>
      <c r="P547"/>
      <c r="Q547"/>
      <c r="R547"/>
      <c r="S547"/>
      <c r="T547"/>
      <c r="V547"/>
      <c r="W547"/>
      <c r="X547"/>
      <c r="Y547"/>
      <c r="AA547"/>
    </row>
    <row r="548" spans="7:27" x14ac:dyDescent="0.25">
      <c r="G548"/>
      <c r="H548"/>
      <c r="I548"/>
      <c r="K548"/>
      <c r="L548"/>
      <c r="M548"/>
      <c r="N548"/>
      <c r="O548"/>
      <c r="P548"/>
      <c r="Q548"/>
      <c r="R548"/>
      <c r="S548"/>
      <c r="T548"/>
      <c r="V548"/>
      <c r="W548"/>
      <c r="X548"/>
      <c r="Y548"/>
      <c r="AA548"/>
    </row>
    <row r="549" spans="7:27" x14ac:dyDescent="0.25">
      <c r="G549"/>
      <c r="H549"/>
      <c r="I549"/>
      <c r="K549"/>
      <c r="L549"/>
      <c r="M549"/>
      <c r="N549"/>
      <c r="O549"/>
      <c r="P549"/>
      <c r="Q549"/>
      <c r="R549"/>
      <c r="S549"/>
      <c r="T549"/>
      <c r="V549"/>
      <c r="W549"/>
      <c r="X549"/>
      <c r="Y549"/>
      <c r="AA549"/>
    </row>
    <row r="550" spans="7:27" x14ac:dyDescent="0.25">
      <c r="G550"/>
      <c r="H550"/>
      <c r="I550"/>
      <c r="K550"/>
      <c r="L550"/>
      <c r="M550"/>
      <c r="N550"/>
      <c r="O550"/>
      <c r="P550"/>
      <c r="Q550"/>
      <c r="R550"/>
      <c r="S550"/>
      <c r="T550"/>
      <c r="V550"/>
      <c r="W550"/>
      <c r="X550"/>
      <c r="Y550"/>
      <c r="AA550"/>
    </row>
    <row r="551" spans="7:27" x14ac:dyDescent="0.25">
      <c r="G551"/>
      <c r="H551"/>
      <c r="I551"/>
      <c r="K551"/>
      <c r="L551"/>
      <c r="M551"/>
      <c r="N551"/>
      <c r="O551"/>
      <c r="P551"/>
      <c r="Q551"/>
      <c r="R551"/>
      <c r="S551"/>
      <c r="T551"/>
      <c r="V551"/>
      <c r="W551"/>
      <c r="X551"/>
      <c r="Y551"/>
      <c r="AA551"/>
    </row>
    <row r="552" spans="7:27" x14ac:dyDescent="0.25">
      <c r="G552"/>
      <c r="H552"/>
      <c r="I552"/>
      <c r="K552"/>
      <c r="L552"/>
      <c r="M552"/>
      <c r="N552"/>
      <c r="O552"/>
      <c r="P552"/>
      <c r="Q552"/>
      <c r="R552"/>
      <c r="S552"/>
      <c r="T552"/>
      <c r="V552"/>
      <c r="W552"/>
      <c r="X552"/>
      <c r="Y552"/>
      <c r="AA552"/>
    </row>
    <row r="553" spans="7:27" x14ac:dyDescent="0.25">
      <c r="G553"/>
      <c r="H553"/>
      <c r="I553"/>
      <c r="K553"/>
      <c r="L553"/>
      <c r="M553"/>
      <c r="N553"/>
      <c r="O553"/>
      <c r="P553"/>
      <c r="Q553"/>
      <c r="R553"/>
      <c r="S553"/>
      <c r="T553"/>
      <c r="V553"/>
      <c r="W553"/>
      <c r="X553"/>
      <c r="Y553"/>
      <c r="AA553"/>
    </row>
    <row r="554" spans="7:27" x14ac:dyDescent="0.25">
      <c r="G554"/>
      <c r="H554"/>
      <c r="I554"/>
      <c r="K554"/>
      <c r="L554"/>
      <c r="M554"/>
      <c r="N554"/>
      <c r="O554"/>
      <c r="P554"/>
      <c r="Q554"/>
      <c r="R554"/>
      <c r="S554"/>
      <c r="T554"/>
      <c r="V554"/>
      <c r="W554"/>
      <c r="X554"/>
      <c r="Y554"/>
      <c r="AA554"/>
    </row>
    <row r="555" spans="7:27" x14ac:dyDescent="0.25">
      <c r="G555"/>
      <c r="H555"/>
      <c r="I555"/>
      <c r="K555"/>
      <c r="L555"/>
      <c r="M555"/>
      <c r="N555"/>
      <c r="O555"/>
      <c r="P555"/>
      <c r="Q555"/>
      <c r="R555"/>
      <c r="S555"/>
      <c r="T555"/>
      <c r="V555"/>
      <c r="W555"/>
      <c r="X555"/>
      <c r="Y555"/>
      <c r="AA555"/>
    </row>
    <row r="556" spans="7:27" x14ac:dyDescent="0.25">
      <c r="G556"/>
      <c r="H556"/>
      <c r="I556"/>
      <c r="K556"/>
      <c r="L556"/>
      <c r="M556"/>
      <c r="N556"/>
      <c r="O556"/>
      <c r="P556"/>
      <c r="Q556"/>
      <c r="R556"/>
      <c r="S556"/>
      <c r="T556"/>
      <c r="V556"/>
      <c r="W556"/>
      <c r="X556"/>
      <c r="Y556"/>
      <c r="AA556"/>
    </row>
    <row r="557" spans="7:27" x14ac:dyDescent="0.25">
      <c r="G557"/>
      <c r="H557"/>
      <c r="I557"/>
      <c r="K557"/>
      <c r="L557"/>
      <c r="M557"/>
      <c r="N557"/>
      <c r="O557"/>
      <c r="P557"/>
      <c r="Q557"/>
      <c r="R557"/>
      <c r="S557"/>
      <c r="T557"/>
      <c r="V557"/>
      <c r="W557"/>
      <c r="X557"/>
      <c r="Y557"/>
      <c r="AA557"/>
    </row>
    <row r="558" spans="7:27" x14ac:dyDescent="0.25">
      <c r="G558"/>
      <c r="H558"/>
      <c r="I558"/>
      <c r="K558"/>
      <c r="L558"/>
      <c r="M558"/>
      <c r="N558"/>
      <c r="O558"/>
      <c r="P558"/>
      <c r="Q558"/>
      <c r="R558"/>
      <c r="S558"/>
      <c r="T558"/>
      <c r="V558"/>
      <c r="W558"/>
      <c r="X558"/>
      <c r="Y558"/>
      <c r="AA558"/>
    </row>
    <row r="559" spans="7:27" x14ac:dyDescent="0.25">
      <c r="G559"/>
      <c r="H559"/>
      <c r="I559"/>
      <c r="K559"/>
      <c r="L559"/>
      <c r="M559"/>
      <c r="N559"/>
      <c r="O559"/>
      <c r="P559"/>
      <c r="Q559"/>
      <c r="R559"/>
      <c r="S559"/>
      <c r="T559"/>
      <c r="V559"/>
      <c r="W559"/>
      <c r="X559"/>
      <c r="Y559"/>
      <c r="AA559"/>
    </row>
    <row r="560" spans="7:27" x14ac:dyDescent="0.25">
      <c r="G560"/>
      <c r="H560"/>
      <c r="I560"/>
      <c r="K560"/>
      <c r="L560"/>
      <c r="M560"/>
      <c r="N560"/>
      <c r="O560"/>
      <c r="P560"/>
      <c r="Q560"/>
      <c r="R560"/>
      <c r="S560"/>
      <c r="T560"/>
      <c r="V560"/>
      <c r="W560"/>
      <c r="X560"/>
      <c r="Y560"/>
      <c r="AA560"/>
    </row>
    <row r="561" spans="7:27" x14ac:dyDescent="0.25">
      <c r="G561"/>
      <c r="H561"/>
      <c r="I561"/>
      <c r="K561"/>
      <c r="L561"/>
      <c r="M561"/>
      <c r="N561"/>
      <c r="O561"/>
      <c r="P561"/>
      <c r="Q561"/>
      <c r="R561"/>
      <c r="S561"/>
      <c r="T561"/>
      <c r="V561"/>
      <c r="W561"/>
      <c r="X561"/>
      <c r="Y561"/>
      <c r="AA561"/>
    </row>
    <row r="562" spans="7:27" x14ac:dyDescent="0.25">
      <c r="G562"/>
      <c r="H562"/>
      <c r="I562"/>
      <c r="K562"/>
      <c r="L562"/>
      <c r="M562"/>
      <c r="N562"/>
      <c r="O562"/>
      <c r="P562"/>
      <c r="Q562"/>
      <c r="R562"/>
      <c r="S562"/>
      <c r="T562"/>
      <c r="V562"/>
      <c r="W562"/>
      <c r="X562"/>
      <c r="Y562"/>
      <c r="AA562"/>
    </row>
    <row r="563" spans="7:27" x14ac:dyDescent="0.25">
      <c r="G563"/>
      <c r="H563"/>
      <c r="I563"/>
      <c r="K563"/>
      <c r="L563"/>
      <c r="M563"/>
      <c r="N563"/>
      <c r="O563"/>
      <c r="P563"/>
      <c r="Q563"/>
      <c r="R563"/>
      <c r="S563"/>
      <c r="T563"/>
      <c r="V563"/>
      <c r="W563"/>
      <c r="X563"/>
      <c r="Y563"/>
      <c r="AA563"/>
    </row>
    <row r="564" spans="7:27" x14ac:dyDescent="0.25">
      <c r="G564"/>
      <c r="H564"/>
      <c r="I564"/>
      <c r="K564"/>
      <c r="L564"/>
      <c r="M564"/>
      <c r="N564"/>
      <c r="O564"/>
      <c r="P564"/>
      <c r="Q564"/>
      <c r="R564"/>
      <c r="S564"/>
      <c r="T564"/>
      <c r="V564"/>
      <c r="W564"/>
      <c r="X564"/>
      <c r="Y564"/>
      <c r="AA564"/>
    </row>
    <row r="565" spans="7:27" x14ac:dyDescent="0.25">
      <c r="G565"/>
      <c r="H565"/>
      <c r="I565"/>
      <c r="K565"/>
      <c r="L565"/>
      <c r="M565"/>
      <c r="N565"/>
      <c r="O565"/>
      <c r="P565"/>
      <c r="Q565"/>
      <c r="R565"/>
      <c r="S565"/>
      <c r="T565"/>
      <c r="V565"/>
      <c r="W565"/>
      <c r="X565"/>
      <c r="Y565"/>
      <c r="AA565"/>
    </row>
    <row r="566" spans="7:27" x14ac:dyDescent="0.25">
      <c r="G566"/>
      <c r="H566"/>
      <c r="I566"/>
      <c r="K566"/>
      <c r="L566"/>
      <c r="M566"/>
      <c r="N566"/>
      <c r="O566"/>
      <c r="P566"/>
      <c r="Q566"/>
      <c r="R566"/>
      <c r="S566"/>
      <c r="T566"/>
      <c r="V566"/>
      <c r="W566"/>
      <c r="X566"/>
      <c r="Y566"/>
      <c r="AA566"/>
    </row>
    <row r="567" spans="7:27" x14ac:dyDescent="0.25">
      <c r="G567"/>
      <c r="H567"/>
      <c r="I567"/>
      <c r="K567"/>
      <c r="L567"/>
      <c r="M567"/>
      <c r="N567"/>
      <c r="O567"/>
      <c r="P567"/>
      <c r="Q567"/>
      <c r="R567"/>
      <c r="S567"/>
      <c r="T567"/>
      <c r="V567"/>
      <c r="W567"/>
      <c r="X567"/>
      <c r="Y567"/>
      <c r="AA567"/>
    </row>
    <row r="568" spans="7:27" x14ac:dyDescent="0.25">
      <c r="G568"/>
      <c r="H568"/>
      <c r="I568"/>
      <c r="K568"/>
      <c r="L568"/>
      <c r="M568"/>
      <c r="N568"/>
      <c r="O568"/>
      <c r="P568"/>
      <c r="Q568"/>
      <c r="R568"/>
      <c r="S568"/>
      <c r="T568"/>
      <c r="V568"/>
      <c r="W568"/>
      <c r="X568"/>
      <c r="Y568"/>
      <c r="AA568"/>
    </row>
    <row r="569" spans="7:27" x14ac:dyDescent="0.25">
      <c r="G569"/>
      <c r="H569"/>
      <c r="I569"/>
      <c r="K569"/>
      <c r="L569"/>
      <c r="M569"/>
      <c r="N569"/>
      <c r="O569"/>
      <c r="P569"/>
      <c r="Q569"/>
      <c r="R569"/>
      <c r="S569"/>
      <c r="T569"/>
      <c r="V569"/>
      <c r="W569"/>
      <c r="X569"/>
      <c r="Y569"/>
      <c r="AA569"/>
    </row>
    <row r="570" spans="7:27" x14ac:dyDescent="0.25">
      <c r="G570"/>
      <c r="H570"/>
      <c r="I570"/>
      <c r="K570"/>
      <c r="L570"/>
      <c r="M570"/>
      <c r="N570"/>
      <c r="O570"/>
      <c r="P570"/>
      <c r="Q570"/>
      <c r="R570"/>
      <c r="S570"/>
      <c r="T570"/>
      <c r="V570"/>
      <c r="W570"/>
      <c r="X570"/>
      <c r="Y570"/>
      <c r="AA570"/>
    </row>
    <row r="571" spans="7:27" x14ac:dyDescent="0.25">
      <c r="G571"/>
      <c r="H571"/>
      <c r="I571"/>
      <c r="K571"/>
      <c r="L571"/>
      <c r="M571"/>
      <c r="N571"/>
      <c r="O571"/>
      <c r="P571"/>
      <c r="Q571"/>
      <c r="R571"/>
      <c r="S571"/>
      <c r="T571"/>
      <c r="V571"/>
      <c r="W571"/>
      <c r="X571"/>
      <c r="Y571"/>
      <c r="AA571"/>
    </row>
    <row r="572" spans="7:27" x14ac:dyDescent="0.25">
      <c r="G572"/>
      <c r="H572"/>
      <c r="I572"/>
      <c r="K572"/>
      <c r="L572"/>
      <c r="M572"/>
      <c r="N572"/>
      <c r="O572"/>
      <c r="P572"/>
      <c r="Q572"/>
      <c r="R572"/>
      <c r="S572"/>
      <c r="T572"/>
      <c r="V572"/>
      <c r="W572"/>
      <c r="X572"/>
      <c r="Y572"/>
      <c r="AA572"/>
    </row>
    <row r="573" spans="7:27" x14ac:dyDescent="0.25">
      <c r="G573"/>
      <c r="H573"/>
      <c r="I573"/>
      <c r="K573"/>
      <c r="L573"/>
      <c r="M573"/>
      <c r="N573"/>
      <c r="O573"/>
      <c r="P573"/>
      <c r="Q573"/>
      <c r="R573"/>
      <c r="S573"/>
      <c r="T573"/>
      <c r="V573"/>
      <c r="W573"/>
      <c r="X573"/>
      <c r="Y573"/>
      <c r="AA573"/>
    </row>
    <row r="574" spans="7:27" x14ac:dyDescent="0.25">
      <c r="G574"/>
      <c r="H574"/>
      <c r="I574"/>
      <c r="K574"/>
      <c r="L574"/>
      <c r="M574"/>
      <c r="N574"/>
      <c r="O574"/>
      <c r="P574"/>
      <c r="Q574"/>
      <c r="R574"/>
      <c r="S574"/>
      <c r="T574"/>
      <c r="V574"/>
      <c r="W574"/>
      <c r="X574"/>
      <c r="Y574"/>
      <c r="AA574"/>
    </row>
    <row r="575" spans="7:27" x14ac:dyDescent="0.25">
      <c r="G575"/>
      <c r="H575"/>
      <c r="I575"/>
      <c r="K575"/>
      <c r="L575"/>
      <c r="M575"/>
      <c r="N575"/>
      <c r="O575"/>
      <c r="P575"/>
      <c r="Q575"/>
      <c r="R575"/>
      <c r="S575"/>
      <c r="T575"/>
      <c r="V575"/>
      <c r="W575"/>
      <c r="X575"/>
      <c r="Y575"/>
      <c r="AA575"/>
    </row>
    <row r="576" spans="7:27" x14ac:dyDescent="0.25">
      <c r="G576"/>
      <c r="H576"/>
      <c r="I576"/>
      <c r="K576"/>
      <c r="L576"/>
      <c r="M576"/>
      <c r="N576"/>
      <c r="O576"/>
      <c r="P576"/>
      <c r="Q576"/>
      <c r="R576"/>
      <c r="S576"/>
      <c r="T576"/>
      <c r="V576"/>
      <c r="W576"/>
      <c r="X576"/>
      <c r="Y576"/>
      <c r="AA576"/>
    </row>
    <row r="577" spans="7:27" x14ac:dyDescent="0.25">
      <c r="G577"/>
      <c r="H577"/>
      <c r="I577"/>
      <c r="K577"/>
      <c r="L577"/>
      <c r="M577"/>
      <c r="N577"/>
      <c r="O577"/>
      <c r="P577"/>
      <c r="Q577"/>
      <c r="R577"/>
      <c r="S577"/>
      <c r="T577"/>
      <c r="V577"/>
      <c r="W577"/>
      <c r="X577"/>
      <c r="Y577"/>
      <c r="AA577"/>
    </row>
    <row r="578" spans="7:27" x14ac:dyDescent="0.25">
      <c r="G578"/>
      <c r="H578"/>
      <c r="I578"/>
      <c r="K578"/>
      <c r="L578"/>
      <c r="M578"/>
      <c r="N578"/>
      <c r="O578"/>
      <c r="P578"/>
      <c r="Q578"/>
      <c r="R578"/>
      <c r="S578"/>
      <c r="T578"/>
      <c r="V578"/>
      <c r="W578"/>
      <c r="X578"/>
      <c r="Y578"/>
      <c r="AA578"/>
    </row>
    <row r="579" spans="7:27" x14ac:dyDescent="0.25">
      <c r="G579"/>
      <c r="H579"/>
      <c r="I579"/>
      <c r="K579"/>
      <c r="L579"/>
      <c r="M579"/>
      <c r="N579"/>
      <c r="O579"/>
      <c r="P579"/>
      <c r="Q579"/>
      <c r="R579"/>
      <c r="S579"/>
      <c r="T579"/>
      <c r="V579"/>
      <c r="W579"/>
      <c r="X579"/>
      <c r="Y579"/>
      <c r="AA579"/>
    </row>
    <row r="580" spans="7:27" x14ac:dyDescent="0.25">
      <c r="G580"/>
      <c r="H580"/>
      <c r="I580"/>
      <c r="K580"/>
      <c r="L580"/>
      <c r="M580"/>
      <c r="N580"/>
      <c r="O580"/>
      <c r="P580"/>
      <c r="Q580"/>
      <c r="R580"/>
      <c r="S580"/>
      <c r="T580"/>
      <c r="V580"/>
      <c r="W580"/>
      <c r="X580"/>
      <c r="Y580"/>
      <c r="AA580"/>
    </row>
    <row r="581" spans="7:27" x14ac:dyDescent="0.25">
      <c r="G581"/>
      <c r="H581"/>
      <c r="I581"/>
      <c r="K581"/>
      <c r="L581"/>
      <c r="M581"/>
      <c r="N581"/>
      <c r="O581"/>
      <c r="P581"/>
      <c r="Q581"/>
      <c r="R581"/>
      <c r="S581"/>
      <c r="T581"/>
      <c r="V581"/>
      <c r="W581"/>
      <c r="X581"/>
      <c r="Y581"/>
      <c r="AA581"/>
    </row>
    <row r="582" spans="7:27" x14ac:dyDescent="0.25">
      <c r="G582"/>
      <c r="H582"/>
      <c r="I582"/>
      <c r="K582"/>
      <c r="L582"/>
      <c r="M582"/>
      <c r="N582"/>
      <c r="O582"/>
      <c r="P582"/>
      <c r="Q582"/>
      <c r="R582"/>
      <c r="S582"/>
      <c r="T582"/>
      <c r="V582"/>
      <c r="W582"/>
      <c r="X582"/>
      <c r="Y582"/>
      <c r="AA582"/>
    </row>
    <row r="583" spans="7:27" x14ac:dyDescent="0.25">
      <c r="G583"/>
      <c r="H583"/>
      <c r="I583"/>
      <c r="K583"/>
      <c r="L583"/>
      <c r="M583"/>
      <c r="N583"/>
      <c r="O583"/>
      <c r="P583"/>
      <c r="Q583"/>
      <c r="R583"/>
      <c r="S583"/>
      <c r="T583"/>
      <c r="V583"/>
      <c r="W583"/>
      <c r="X583"/>
      <c r="Y583"/>
      <c r="AA583"/>
    </row>
    <row r="584" spans="7:27" x14ac:dyDescent="0.25">
      <c r="G584"/>
      <c r="H584"/>
      <c r="I584"/>
      <c r="K584"/>
      <c r="L584"/>
      <c r="M584"/>
      <c r="N584"/>
      <c r="O584"/>
      <c r="P584"/>
      <c r="Q584"/>
      <c r="R584"/>
      <c r="S584"/>
      <c r="T584"/>
      <c r="V584"/>
      <c r="W584"/>
      <c r="X584"/>
      <c r="Y584"/>
      <c r="AA584"/>
    </row>
    <row r="585" spans="7:27" x14ac:dyDescent="0.25">
      <c r="G585"/>
      <c r="H585"/>
      <c r="I585"/>
      <c r="K585"/>
      <c r="L585"/>
      <c r="M585"/>
      <c r="N585"/>
      <c r="O585"/>
      <c r="P585"/>
      <c r="Q585"/>
      <c r="R585"/>
      <c r="S585"/>
      <c r="T585"/>
      <c r="V585"/>
      <c r="W585"/>
      <c r="X585"/>
      <c r="Y585"/>
      <c r="AA585"/>
    </row>
    <row r="586" spans="7:27" x14ac:dyDescent="0.25">
      <c r="G586"/>
      <c r="H586"/>
      <c r="I586"/>
      <c r="K586"/>
      <c r="L586"/>
      <c r="M586"/>
      <c r="N586"/>
      <c r="O586"/>
      <c r="P586"/>
      <c r="Q586"/>
      <c r="R586"/>
      <c r="S586"/>
      <c r="T586"/>
      <c r="V586"/>
      <c r="W586"/>
      <c r="X586"/>
      <c r="Y586"/>
      <c r="AA586"/>
    </row>
    <row r="587" spans="7:27" x14ac:dyDescent="0.25">
      <c r="G587"/>
      <c r="H587"/>
      <c r="I587"/>
      <c r="K587"/>
      <c r="L587"/>
      <c r="M587"/>
      <c r="N587"/>
      <c r="O587"/>
      <c r="P587"/>
      <c r="Q587"/>
      <c r="R587"/>
      <c r="S587"/>
      <c r="T587"/>
      <c r="V587"/>
      <c r="W587"/>
      <c r="X587"/>
      <c r="Y587"/>
      <c r="AA587"/>
    </row>
    <row r="588" spans="7:27" x14ac:dyDescent="0.25">
      <c r="G588"/>
      <c r="H588"/>
      <c r="I588"/>
      <c r="K588"/>
      <c r="L588"/>
      <c r="M588"/>
      <c r="N588"/>
      <c r="O588"/>
      <c r="P588"/>
      <c r="Q588"/>
      <c r="R588"/>
      <c r="S588"/>
      <c r="T588"/>
      <c r="V588"/>
      <c r="W588"/>
      <c r="X588"/>
      <c r="Y588"/>
      <c r="AA588"/>
    </row>
    <row r="589" spans="7:27" x14ac:dyDescent="0.25">
      <c r="G589"/>
      <c r="H589"/>
      <c r="I589"/>
      <c r="K589"/>
      <c r="L589"/>
      <c r="M589"/>
      <c r="N589"/>
      <c r="O589"/>
      <c r="P589"/>
      <c r="Q589"/>
      <c r="R589"/>
      <c r="S589"/>
      <c r="T589"/>
      <c r="V589"/>
      <c r="W589"/>
      <c r="X589"/>
      <c r="Y589"/>
      <c r="AA589"/>
    </row>
    <row r="590" spans="7:27" x14ac:dyDescent="0.25">
      <c r="G590"/>
      <c r="H590"/>
      <c r="I590"/>
      <c r="K590"/>
      <c r="L590"/>
      <c r="M590"/>
      <c r="N590"/>
      <c r="O590"/>
      <c r="P590"/>
      <c r="Q590"/>
      <c r="R590"/>
      <c r="S590"/>
      <c r="T590"/>
      <c r="V590"/>
      <c r="W590"/>
      <c r="X590"/>
      <c r="Y590"/>
      <c r="AA590"/>
    </row>
    <row r="591" spans="7:27" x14ac:dyDescent="0.25">
      <c r="G591"/>
      <c r="H591"/>
      <c r="I591"/>
      <c r="K591"/>
      <c r="L591"/>
      <c r="M591"/>
      <c r="N591"/>
      <c r="O591"/>
      <c r="P591"/>
      <c r="Q591"/>
      <c r="R591"/>
      <c r="S591"/>
      <c r="T591"/>
      <c r="V591"/>
      <c r="W591"/>
      <c r="X591"/>
      <c r="Y591"/>
      <c r="AA591"/>
    </row>
    <row r="592" spans="7:27" x14ac:dyDescent="0.25">
      <c r="G592"/>
      <c r="H592"/>
      <c r="I592"/>
      <c r="K592"/>
      <c r="L592"/>
      <c r="M592"/>
      <c r="N592"/>
      <c r="O592"/>
      <c r="P592"/>
      <c r="Q592"/>
      <c r="R592"/>
      <c r="S592"/>
      <c r="T592"/>
      <c r="V592"/>
      <c r="W592"/>
      <c r="X592"/>
      <c r="Y592"/>
      <c r="AA592"/>
    </row>
    <row r="593" spans="7:27" x14ac:dyDescent="0.25">
      <c r="G593"/>
      <c r="H593"/>
      <c r="I593"/>
      <c r="K593"/>
      <c r="L593"/>
      <c r="M593"/>
      <c r="N593"/>
      <c r="O593"/>
      <c r="P593"/>
      <c r="Q593"/>
      <c r="R593"/>
      <c r="S593"/>
      <c r="T593"/>
      <c r="V593"/>
      <c r="W593"/>
      <c r="X593"/>
      <c r="Y593"/>
      <c r="AA593"/>
    </row>
    <row r="594" spans="7:27" x14ac:dyDescent="0.25">
      <c r="G594"/>
      <c r="H594"/>
      <c r="I594"/>
      <c r="K594"/>
      <c r="L594"/>
      <c r="M594"/>
      <c r="N594"/>
      <c r="O594"/>
      <c r="P594"/>
      <c r="Q594"/>
      <c r="R594"/>
      <c r="S594"/>
      <c r="T594"/>
      <c r="V594"/>
      <c r="W594"/>
      <c r="X594"/>
      <c r="Y594"/>
      <c r="AA594"/>
    </row>
    <row r="595" spans="7:27" x14ac:dyDescent="0.25">
      <c r="G595"/>
      <c r="H595"/>
      <c r="I595"/>
      <c r="K595"/>
      <c r="L595"/>
      <c r="M595"/>
      <c r="N595"/>
      <c r="O595"/>
      <c r="P595"/>
      <c r="Q595"/>
      <c r="R595"/>
      <c r="S595"/>
      <c r="T595"/>
      <c r="V595"/>
      <c r="W595"/>
      <c r="X595"/>
      <c r="Y595"/>
      <c r="AA595"/>
    </row>
    <row r="596" spans="7:27" x14ac:dyDescent="0.25">
      <c r="G596"/>
      <c r="H596"/>
      <c r="I596"/>
      <c r="K596"/>
      <c r="L596"/>
      <c r="M596"/>
      <c r="N596"/>
      <c r="O596"/>
      <c r="P596"/>
      <c r="Q596"/>
      <c r="R596"/>
      <c r="S596"/>
      <c r="T596"/>
      <c r="V596"/>
      <c r="W596"/>
      <c r="X596"/>
      <c r="Y596"/>
      <c r="AA596"/>
    </row>
    <row r="597" spans="7:27" x14ac:dyDescent="0.25">
      <c r="G597"/>
      <c r="H597"/>
      <c r="I597"/>
      <c r="K597"/>
      <c r="L597"/>
      <c r="M597"/>
      <c r="N597"/>
      <c r="O597"/>
      <c r="P597"/>
      <c r="Q597"/>
      <c r="R597"/>
      <c r="S597"/>
      <c r="T597"/>
      <c r="V597"/>
      <c r="W597"/>
      <c r="X597"/>
      <c r="Y597"/>
      <c r="AA597"/>
    </row>
    <row r="598" spans="7:27" x14ac:dyDescent="0.25">
      <c r="G598"/>
      <c r="H598"/>
      <c r="I598"/>
      <c r="K598"/>
      <c r="L598"/>
      <c r="M598"/>
      <c r="N598"/>
      <c r="O598"/>
      <c r="P598"/>
      <c r="Q598"/>
      <c r="R598"/>
      <c r="S598"/>
      <c r="T598"/>
      <c r="V598"/>
      <c r="W598"/>
      <c r="X598"/>
      <c r="Y598"/>
      <c r="AA598"/>
    </row>
    <row r="599" spans="7:27" x14ac:dyDescent="0.25">
      <c r="G599"/>
      <c r="H599"/>
      <c r="I599"/>
      <c r="K599"/>
      <c r="L599"/>
      <c r="M599"/>
      <c r="N599"/>
      <c r="O599"/>
      <c r="P599"/>
      <c r="Q599"/>
      <c r="R599"/>
      <c r="S599"/>
      <c r="T599"/>
      <c r="V599"/>
      <c r="W599"/>
      <c r="X599"/>
      <c r="Y599"/>
      <c r="AA599"/>
    </row>
    <row r="600" spans="7:27" x14ac:dyDescent="0.25">
      <c r="G600"/>
      <c r="H600"/>
      <c r="I600"/>
      <c r="K600"/>
      <c r="L600"/>
      <c r="M600"/>
      <c r="N600"/>
      <c r="O600"/>
      <c r="P600"/>
      <c r="Q600"/>
      <c r="R600"/>
      <c r="S600"/>
      <c r="T600"/>
      <c r="V600"/>
      <c r="W600"/>
      <c r="X600"/>
      <c r="Y600"/>
      <c r="AA600"/>
    </row>
    <row r="601" spans="7:27" x14ac:dyDescent="0.25">
      <c r="G601"/>
      <c r="H601"/>
      <c r="I601"/>
      <c r="K601"/>
      <c r="L601"/>
      <c r="M601"/>
      <c r="N601"/>
      <c r="O601"/>
      <c r="P601"/>
      <c r="Q601"/>
      <c r="R601"/>
      <c r="S601"/>
      <c r="T601"/>
      <c r="V601"/>
      <c r="W601"/>
      <c r="X601"/>
      <c r="Y601"/>
      <c r="AA601"/>
    </row>
    <row r="602" spans="7:27" x14ac:dyDescent="0.25">
      <c r="G602"/>
      <c r="H602"/>
      <c r="I602"/>
      <c r="K602"/>
      <c r="L602"/>
      <c r="M602"/>
      <c r="N602"/>
      <c r="O602"/>
      <c r="P602"/>
      <c r="Q602"/>
      <c r="R602"/>
      <c r="S602"/>
      <c r="T602"/>
      <c r="V602"/>
      <c r="W602"/>
      <c r="X602"/>
      <c r="Y602"/>
      <c r="AA602"/>
    </row>
    <row r="603" spans="7:27" x14ac:dyDescent="0.25">
      <c r="G603"/>
      <c r="H603"/>
      <c r="I603"/>
      <c r="K603"/>
      <c r="L603"/>
      <c r="M603"/>
      <c r="N603"/>
      <c r="O603"/>
      <c r="P603"/>
      <c r="Q603"/>
      <c r="R603"/>
      <c r="S603"/>
      <c r="T603"/>
      <c r="V603"/>
      <c r="W603"/>
      <c r="X603"/>
      <c r="Y603"/>
      <c r="AA603"/>
    </row>
    <row r="604" spans="7:27" x14ac:dyDescent="0.25">
      <c r="G604"/>
      <c r="H604"/>
      <c r="I604"/>
      <c r="K604"/>
      <c r="L604"/>
      <c r="M604"/>
      <c r="N604"/>
      <c r="O604"/>
      <c r="P604"/>
      <c r="Q604"/>
      <c r="R604"/>
      <c r="S604"/>
      <c r="T604"/>
      <c r="V604"/>
      <c r="W604"/>
      <c r="X604"/>
      <c r="Y604"/>
      <c r="AA604"/>
    </row>
    <row r="605" spans="7:27" x14ac:dyDescent="0.25">
      <c r="G605"/>
      <c r="H605"/>
      <c r="I605"/>
      <c r="K605"/>
      <c r="L605"/>
      <c r="M605"/>
      <c r="N605"/>
      <c r="O605"/>
      <c r="P605"/>
      <c r="Q605"/>
      <c r="R605"/>
      <c r="S605"/>
      <c r="T605"/>
      <c r="V605"/>
      <c r="W605"/>
      <c r="X605"/>
      <c r="Y605"/>
      <c r="AA605"/>
    </row>
    <row r="606" spans="7:27" x14ac:dyDescent="0.25">
      <c r="G606"/>
      <c r="H606"/>
      <c r="I606"/>
      <c r="K606"/>
      <c r="L606"/>
      <c r="M606"/>
      <c r="N606"/>
      <c r="O606"/>
      <c r="P606"/>
      <c r="Q606"/>
      <c r="R606"/>
      <c r="S606"/>
      <c r="T606"/>
      <c r="V606"/>
      <c r="W606"/>
      <c r="X606"/>
      <c r="Y606"/>
      <c r="AA606"/>
    </row>
    <row r="607" spans="7:27" x14ac:dyDescent="0.25">
      <c r="G607"/>
      <c r="H607"/>
      <c r="I607"/>
      <c r="K607"/>
      <c r="L607"/>
      <c r="M607"/>
      <c r="N607"/>
      <c r="O607"/>
      <c r="P607"/>
      <c r="Q607"/>
      <c r="R607"/>
      <c r="S607"/>
      <c r="T607"/>
      <c r="V607"/>
      <c r="W607"/>
      <c r="X607"/>
      <c r="Y607"/>
      <c r="AA607"/>
    </row>
    <row r="608" spans="7:27" x14ac:dyDescent="0.25">
      <c r="G608"/>
      <c r="H608"/>
      <c r="I608"/>
      <c r="K608"/>
      <c r="L608"/>
      <c r="M608"/>
      <c r="N608"/>
      <c r="O608"/>
      <c r="P608"/>
      <c r="Q608"/>
      <c r="R608"/>
      <c r="S608"/>
      <c r="T608"/>
      <c r="V608"/>
      <c r="W608"/>
      <c r="X608"/>
      <c r="Y608"/>
      <c r="AA608"/>
    </row>
    <row r="609" spans="7:27" x14ac:dyDescent="0.25">
      <c r="G609"/>
      <c r="H609"/>
      <c r="I609"/>
      <c r="K609"/>
      <c r="L609"/>
      <c r="M609"/>
      <c r="N609"/>
      <c r="O609"/>
      <c r="P609"/>
      <c r="Q609"/>
      <c r="R609"/>
      <c r="S609"/>
      <c r="T609"/>
      <c r="V609"/>
      <c r="W609"/>
      <c r="X609"/>
      <c r="Y609"/>
      <c r="AA609"/>
    </row>
    <row r="610" spans="7:27" x14ac:dyDescent="0.25">
      <c r="G610"/>
      <c r="H610"/>
      <c r="I610"/>
      <c r="K610"/>
      <c r="L610"/>
      <c r="M610"/>
      <c r="N610"/>
      <c r="O610"/>
      <c r="P610"/>
      <c r="Q610"/>
      <c r="R610"/>
      <c r="S610"/>
      <c r="T610"/>
      <c r="V610"/>
      <c r="W610"/>
      <c r="X610"/>
      <c r="Y610"/>
      <c r="AA610"/>
    </row>
    <row r="611" spans="7:27" x14ac:dyDescent="0.25">
      <c r="G611"/>
      <c r="H611"/>
      <c r="I611"/>
      <c r="K611"/>
      <c r="L611"/>
      <c r="M611"/>
      <c r="N611"/>
      <c r="O611"/>
      <c r="P611"/>
      <c r="Q611"/>
      <c r="R611"/>
      <c r="S611"/>
      <c r="T611"/>
      <c r="V611"/>
      <c r="W611"/>
      <c r="X611"/>
      <c r="Y611"/>
      <c r="AA611"/>
    </row>
    <row r="612" spans="7:27" x14ac:dyDescent="0.25">
      <c r="G612"/>
      <c r="H612"/>
      <c r="I612"/>
      <c r="K612"/>
      <c r="L612"/>
      <c r="M612"/>
      <c r="N612"/>
      <c r="O612"/>
      <c r="P612"/>
      <c r="Q612"/>
      <c r="R612"/>
      <c r="S612"/>
      <c r="T612"/>
      <c r="V612"/>
      <c r="W612"/>
      <c r="X612"/>
      <c r="Y612"/>
      <c r="AA612"/>
    </row>
    <row r="613" spans="7:27" x14ac:dyDescent="0.25">
      <c r="G613"/>
      <c r="H613"/>
      <c r="I613"/>
      <c r="K613"/>
      <c r="L613"/>
      <c r="M613"/>
      <c r="N613"/>
      <c r="O613"/>
      <c r="P613"/>
      <c r="Q613"/>
      <c r="R613"/>
      <c r="S613"/>
      <c r="T613"/>
      <c r="V613"/>
      <c r="W613"/>
      <c r="X613"/>
      <c r="Y613"/>
      <c r="AA613"/>
    </row>
    <row r="614" spans="7:27" x14ac:dyDescent="0.25">
      <c r="G614"/>
      <c r="H614"/>
      <c r="I614"/>
      <c r="K614"/>
      <c r="L614"/>
      <c r="M614"/>
      <c r="N614"/>
      <c r="O614"/>
      <c r="P614"/>
      <c r="Q614"/>
      <c r="R614"/>
      <c r="S614"/>
      <c r="T614"/>
      <c r="V614"/>
      <c r="W614"/>
      <c r="X614"/>
      <c r="Y614"/>
      <c r="AA614"/>
    </row>
    <row r="615" spans="7:27" x14ac:dyDescent="0.25">
      <c r="G615"/>
      <c r="H615"/>
      <c r="I615"/>
      <c r="K615"/>
      <c r="L615"/>
      <c r="M615"/>
      <c r="N615"/>
      <c r="O615"/>
      <c r="P615"/>
      <c r="Q615"/>
      <c r="R615"/>
      <c r="S615"/>
      <c r="T615"/>
      <c r="V615"/>
      <c r="W615"/>
      <c r="X615"/>
      <c r="Y615"/>
      <c r="AA615"/>
    </row>
    <row r="616" spans="7:27" x14ac:dyDescent="0.25">
      <c r="G616"/>
      <c r="H616"/>
      <c r="I616"/>
      <c r="K616"/>
      <c r="L616"/>
      <c r="M616"/>
      <c r="N616"/>
      <c r="O616"/>
      <c r="P616"/>
      <c r="Q616"/>
      <c r="R616"/>
      <c r="S616"/>
      <c r="T616"/>
      <c r="V616"/>
      <c r="W616"/>
      <c r="X616"/>
      <c r="Y616"/>
      <c r="AA616"/>
    </row>
    <row r="617" spans="7:27" x14ac:dyDescent="0.25">
      <c r="G617"/>
      <c r="H617"/>
      <c r="I617"/>
      <c r="K617"/>
      <c r="L617"/>
      <c r="M617"/>
      <c r="N617"/>
      <c r="O617"/>
      <c r="P617"/>
      <c r="Q617"/>
      <c r="R617"/>
      <c r="S617"/>
      <c r="T617"/>
      <c r="V617"/>
      <c r="W617"/>
      <c r="X617"/>
      <c r="Y617"/>
      <c r="AA617"/>
    </row>
    <row r="618" spans="7:27" x14ac:dyDescent="0.25">
      <c r="G618"/>
      <c r="H618"/>
      <c r="I618"/>
      <c r="K618"/>
      <c r="L618"/>
      <c r="M618"/>
      <c r="N618"/>
      <c r="O618"/>
      <c r="P618"/>
      <c r="Q618"/>
      <c r="R618"/>
      <c r="S618"/>
      <c r="T618"/>
      <c r="V618"/>
      <c r="W618"/>
      <c r="X618"/>
      <c r="Y618"/>
      <c r="AA618"/>
    </row>
    <row r="619" spans="7:27" x14ac:dyDescent="0.25">
      <c r="G619"/>
      <c r="H619"/>
      <c r="I619"/>
      <c r="K619"/>
      <c r="L619"/>
      <c r="M619"/>
      <c r="N619"/>
      <c r="O619"/>
      <c r="P619"/>
      <c r="Q619"/>
      <c r="R619"/>
      <c r="S619"/>
      <c r="T619"/>
      <c r="V619"/>
      <c r="W619"/>
      <c r="X619"/>
      <c r="Y619"/>
      <c r="AA619"/>
    </row>
    <row r="620" spans="7:27" x14ac:dyDescent="0.25">
      <c r="G620"/>
      <c r="H620"/>
      <c r="I620"/>
      <c r="K620"/>
      <c r="L620"/>
      <c r="M620"/>
      <c r="N620"/>
      <c r="O620"/>
      <c r="P620"/>
      <c r="Q620"/>
      <c r="R620"/>
      <c r="S620"/>
      <c r="T620"/>
      <c r="V620"/>
      <c r="W620"/>
      <c r="X620"/>
      <c r="Y620"/>
      <c r="AA620"/>
    </row>
    <row r="621" spans="7:27" x14ac:dyDescent="0.25">
      <c r="G621"/>
      <c r="H621"/>
      <c r="I621"/>
      <c r="K621"/>
      <c r="L621"/>
      <c r="M621"/>
      <c r="N621"/>
      <c r="O621"/>
      <c r="P621"/>
      <c r="Q621"/>
      <c r="R621"/>
      <c r="S621"/>
      <c r="T621"/>
      <c r="V621"/>
      <c r="W621"/>
      <c r="X621"/>
      <c r="Y621"/>
      <c r="AA621"/>
    </row>
    <row r="622" spans="7:27" x14ac:dyDescent="0.25">
      <c r="G622"/>
      <c r="H622"/>
      <c r="I622"/>
      <c r="K622"/>
      <c r="L622"/>
      <c r="M622"/>
      <c r="N622"/>
      <c r="O622"/>
      <c r="P622"/>
      <c r="Q622"/>
      <c r="R622"/>
      <c r="S622"/>
      <c r="T622"/>
      <c r="V622"/>
      <c r="W622"/>
      <c r="X622"/>
      <c r="Y622"/>
      <c r="AA622"/>
    </row>
    <row r="623" spans="7:27" x14ac:dyDescent="0.25">
      <c r="G623"/>
      <c r="H623"/>
      <c r="I623"/>
      <c r="K623"/>
      <c r="L623"/>
      <c r="M623"/>
      <c r="N623"/>
      <c r="O623"/>
      <c r="P623"/>
      <c r="Q623"/>
      <c r="R623"/>
      <c r="S623"/>
      <c r="T623"/>
      <c r="V623"/>
      <c r="W623"/>
      <c r="X623"/>
      <c r="Y623"/>
      <c r="AA623"/>
    </row>
    <row r="624" spans="7:27" x14ac:dyDescent="0.25">
      <c r="G624"/>
      <c r="H624"/>
      <c r="I624"/>
      <c r="K624"/>
      <c r="L624"/>
      <c r="M624"/>
      <c r="N624"/>
      <c r="O624"/>
      <c r="P624"/>
      <c r="Q624"/>
      <c r="R624"/>
      <c r="S624"/>
      <c r="T624"/>
      <c r="V624"/>
      <c r="W624"/>
      <c r="X624"/>
      <c r="Y624"/>
      <c r="AA624"/>
    </row>
    <row r="625" spans="7:27" x14ac:dyDescent="0.25">
      <c r="G625"/>
      <c r="H625"/>
      <c r="I625"/>
      <c r="K625"/>
      <c r="L625"/>
      <c r="M625"/>
      <c r="N625"/>
      <c r="O625"/>
      <c r="P625"/>
      <c r="Q625"/>
      <c r="R625"/>
      <c r="S625"/>
      <c r="T625"/>
      <c r="V625"/>
      <c r="W625"/>
      <c r="X625"/>
      <c r="Y625"/>
      <c r="AA625"/>
    </row>
    <row r="626" spans="7:27" x14ac:dyDescent="0.25">
      <c r="G626"/>
      <c r="H626"/>
      <c r="I626"/>
      <c r="K626"/>
      <c r="L626"/>
      <c r="M626"/>
      <c r="N626"/>
      <c r="O626"/>
      <c r="P626"/>
      <c r="Q626"/>
      <c r="R626"/>
      <c r="S626"/>
      <c r="T626"/>
      <c r="V626"/>
      <c r="W626"/>
      <c r="X626"/>
      <c r="Y626"/>
      <c r="AA626"/>
    </row>
    <row r="627" spans="7:27" x14ac:dyDescent="0.25">
      <c r="G627"/>
      <c r="H627"/>
      <c r="I627"/>
      <c r="K627"/>
      <c r="L627"/>
      <c r="M627"/>
      <c r="N627"/>
      <c r="O627"/>
      <c r="P627"/>
      <c r="Q627"/>
      <c r="R627"/>
      <c r="S627"/>
      <c r="T627"/>
      <c r="V627"/>
      <c r="W627"/>
      <c r="X627"/>
      <c r="Y627"/>
      <c r="AA627"/>
    </row>
    <row r="628" spans="7:27" x14ac:dyDescent="0.25">
      <c r="G628"/>
      <c r="H628"/>
      <c r="I628"/>
      <c r="K628"/>
      <c r="L628"/>
      <c r="M628"/>
      <c r="N628"/>
      <c r="O628"/>
      <c r="P628"/>
      <c r="Q628"/>
      <c r="R628"/>
      <c r="S628"/>
      <c r="T628"/>
      <c r="V628"/>
      <c r="W628"/>
      <c r="X628"/>
      <c r="Y628"/>
      <c r="AA628"/>
    </row>
    <row r="629" spans="7:27" x14ac:dyDescent="0.25">
      <c r="G629"/>
      <c r="H629"/>
      <c r="I629"/>
      <c r="K629"/>
      <c r="L629"/>
      <c r="M629"/>
      <c r="N629"/>
      <c r="O629"/>
      <c r="P629"/>
      <c r="Q629"/>
      <c r="R629"/>
      <c r="S629"/>
      <c r="T629"/>
      <c r="V629"/>
      <c r="W629"/>
      <c r="X629"/>
      <c r="Y629"/>
      <c r="AA629"/>
    </row>
    <row r="630" spans="7:27" x14ac:dyDescent="0.25">
      <c r="G630"/>
      <c r="H630"/>
      <c r="I630"/>
      <c r="K630"/>
      <c r="L630"/>
      <c r="M630"/>
      <c r="N630"/>
      <c r="O630"/>
      <c r="P630"/>
      <c r="Q630"/>
      <c r="R630"/>
      <c r="S630"/>
      <c r="T630"/>
      <c r="V630"/>
      <c r="W630"/>
      <c r="X630"/>
      <c r="Y630"/>
      <c r="AA630"/>
    </row>
    <row r="631" spans="7:27" x14ac:dyDescent="0.25">
      <c r="G631"/>
      <c r="H631"/>
      <c r="I631"/>
      <c r="K631"/>
      <c r="L631"/>
      <c r="M631"/>
      <c r="N631"/>
      <c r="O631"/>
      <c r="P631"/>
      <c r="Q631"/>
      <c r="R631"/>
      <c r="S631"/>
      <c r="T631"/>
      <c r="V631"/>
      <c r="W631"/>
      <c r="X631"/>
      <c r="Y631"/>
      <c r="AA631"/>
    </row>
    <row r="632" spans="7:27" x14ac:dyDescent="0.25">
      <c r="G632"/>
      <c r="H632"/>
      <c r="I632"/>
      <c r="K632"/>
      <c r="L632"/>
      <c r="M632"/>
      <c r="N632"/>
      <c r="O632"/>
      <c r="P632"/>
      <c r="Q632"/>
      <c r="R632"/>
      <c r="S632"/>
      <c r="T632"/>
      <c r="V632"/>
      <c r="W632"/>
      <c r="X632"/>
      <c r="Y632"/>
      <c r="AA632"/>
    </row>
    <row r="633" spans="7:27" x14ac:dyDescent="0.25">
      <c r="G633"/>
      <c r="H633"/>
      <c r="I633"/>
      <c r="K633"/>
      <c r="L633"/>
      <c r="M633"/>
      <c r="N633"/>
      <c r="O633"/>
      <c r="P633"/>
      <c r="Q633"/>
      <c r="R633"/>
      <c r="S633"/>
      <c r="T633"/>
      <c r="V633"/>
      <c r="W633"/>
      <c r="X633"/>
      <c r="Y633"/>
      <c r="AA633"/>
    </row>
    <row r="634" spans="7:27" x14ac:dyDescent="0.25">
      <c r="G634"/>
      <c r="H634"/>
      <c r="I634"/>
      <c r="K634"/>
      <c r="L634"/>
      <c r="M634"/>
      <c r="N634"/>
      <c r="O634"/>
      <c r="P634"/>
      <c r="Q634"/>
      <c r="R634"/>
      <c r="S634"/>
      <c r="T634"/>
      <c r="V634"/>
      <c r="W634"/>
      <c r="X634"/>
      <c r="Y634"/>
      <c r="AA634"/>
    </row>
    <row r="635" spans="7:27" x14ac:dyDescent="0.25">
      <c r="G635"/>
      <c r="H635"/>
      <c r="I635"/>
      <c r="K635"/>
      <c r="L635"/>
      <c r="M635"/>
      <c r="N635"/>
      <c r="O635"/>
      <c r="P635"/>
      <c r="Q635"/>
      <c r="R635"/>
      <c r="S635"/>
      <c r="T635"/>
      <c r="V635"/>
      <c r="W635"/>
      <c r="X635"/>
      <c r="Y635"/>
      <c r="AA635"/>
    </row>
    <row r="636" spans="7:27" x14ac:dyDescent="0.25">
      <c r="G636"/>
      <c r="H636"/>
      <c r="I636"/>
      <c r="K636"/>
      <c r="L636"/>
      <c r="M636"/>
      <c r="N636"/>
      <c r="O636"/>
      <c r="P636"/>
      <c r="Q636"/>
      <c r="R636"/>
      <c r="S636"/>
      <c r="T636"/>
      <c r="V636"/>
      <c r="W636"/>
      <c r="X636"/>
      <c r="Y636"/>
      <c r="AA636"/>
    </row>
    <row r="637" spans="7:27" x14ac:dyDescent="0.25">
      <c r="G637"/>
      <c r="H637"/>
      <c r="I637"/>
      <c r="K637"/>
      <c r="L637"/>
      <c r="M637"/>
      <c r="N637"/>
      <c r="O637"/>
      <c r="P637"/>
      <c r="Q637"/>
      <c r="R637"/>
      <c r="S637"/>
      <c r="T637"/>
      <c r="V637"/>
      <c r="W637"/>
      <c r="X637"/>
      <c r="Y637"/>
      <c r="AA637"/>
    </row>
    <row r="638" spans="7:27" x14ac:dyDescent="0.25">
      <c r="G638"/>
      <c r="H638"/>
      <c r="I638"/>
      <c r="K638"/>
      <c r="L638"/>
      <c r="M638"/>
      <c r="N638"/>
      <c r="O638"/>
      <c r="P638"/>
      <c r="Q638"/>
      <c r="R638"/>
      <c r="S638"/>
      <c r="T638"/>
      <c r="V638"/>
      <c r="W638"/>
      <c r="X638"/>
      <c r="Y638"/>
      <c r="AA638"/>
    </row>
    <row r="639" spans="7:27" x14ac:dyDescent="0.25">
      <c r="G639"/>
      <c r="H639"/>
      <c r="I639"/>
      <c r="K639"/>
      <c r="L639"/>
      <c r="M639"/>
      <c r="N639"/>
      <c r="O639"/>
      <c r="P639"/>
      <c r="Q639"/>
      <c r="R639"/>
      <c r="S639"/>
      <c r="T639"/>
      <c r="V639"/>
      <c r="W639"/>
      <c r="X639"/>
      <c r="Y639"/>
      <c r="AA639"/>
    </row>
    <row r="640" spans="7:27" x14ac:dyDescent="0.25">
      <c r="G640"/>
      <c r="H640"/>
      <c r="I640"/>
      <c r="K640"/>
      <c r="L640"/>
      <c r="M640"/>
      <c r="N640"/>
      <c r="O640"/>
      <c r="P640"/>
      <c r="Q640"/>
      <c r="R640"/>
      <c r="S640"/>
      <c r="T640"/>
      <c r="V640"/>
      <c r="W640"/>
      <c r="X640"/>
      <c r="Y640"/>
      <c r="AA640"/>
    </row>
    <row r="641" spans="7:27" x14ac:dyDescent="0.25">
      <c r="G641"/>
      <c r="H641"/>
      <c r="I641"/>
      <c r="K641"/>
      <c r="L641"/>
      <c r="M641"/>
      <c r="N641"/>
      <c r="O641"/>
      <c r="P641"/>
      <c r="Q641"/>
      <c r="R641"/>
      <c r="S641"/>
      <c r="T641"/>
      <c r="V641"/>
      <c r="W641"/>
      <c r="X641"/>
      <c r="Y641"/>
      <c r="AA641"/>
    </row>
    <row r="642" spans="7:27" x14ac:dyDescent="0.25">
      <c r="G642"/>
      <c r="H642"/>
      <c r="I642"/>
      <c r="K642"/>
      <c r="L642"/>
      <c r="M642"/>
      <c r="N642"/>
      <c r="O642"/>
      <c r="P642"/>
      <c r="Q642"/>
      <c r="R642"/>
      <c r="S642"/>
      <c r="T642"/>
      <c r="V642"/>
      <c r="W642"/>
      <c r="X642"/>
      <c r="Y642"/>
      <c r="AA642"/>
    </row>
    <row r="643" spans="7:27" x14ac:dyDescent="0.25">
      <c r="G643"/>
      <c r="H643"/>
      <c r="I643"/>
      <c r="K643"/>
      <c r="L643"/>
      <c r="M643"/>
      <c r="N643"/>
      <c r="O643"/>
      <c r="P643"/>
      <c r="Q643"/>
      <c r="R643"/>
      <c r="S643"/>
      <c r="T643"/>
      <c r="V643"/>
      <c r="W643"/>
      <c r="X643"/>
      <c r="Y643"/>
      <c r="AA643"/>
    </row>
    <row r="644" spans="7:27" x14ac:dyDescent="0.25">
      <c r="G644"/>
      <c r="H644"/>
      <c r="I644"/>
      <c r="K644"/>
      <c r="L644"/>
      <c r="M644"/>
      <c r="N644"/>
      <c r="O644"/>
      <c r="P644"/>
      <c r="Q644"/>
      <c r="R644"/>
      <c r="S644"/>
      <c r="T644"/>
      <c r="V644"/>
      <c r="W644"/>
      <c r="X644"/>
      <c r="Y644"/>
      <c r="AA644"/>
    </row>
    <row r="645" spans="7:27" x14ac:dyDescent="0.25">
      <c r="G645"/>
      <c r="H645"/>
      <c r="I645"/>
      <c r="K645"/>
      <c r="L645"/>
      <c r="M645"/>
      <c r="N645"/>
      <c r="O645"/>
      <c r="P645"/>
      <c r="Q645"/>
      <c r="R645"/>
      <c r="S645"/>
      <c r="T645"/>
      <c r="V645"/>
      <c r="W645"/>
      <c r="X645"/>
      <c r="Y645"/>
      <c r="AA645"/>
    </row>
    <row r="646" spans="7:27" x14ac:dyDescent="0.25">
      <c r="G646"/>
      <c r="H646"/>
      <c r="I646"/>
      <c r="K646"/>
      <c r="L646"/>
      <c r="M646"/>
      <c r="N646"/>
      <c r="O646"/>
      <c r="P646"/>
      <c r="Q646"/>
      <c r="R646"/>
      <c r="S646"/>
      <c r="T646"/>
      <c r="V646"/>
      <c r="W646"/>
      <c r="X646"/>
      <c r="Y646"/>
      <c r="AA646"/>
    </row>
    <row r="647" spans="7:27" x14ac:dyDescent="0.25">
      <c r="G647"/>
      <c r="H647"/>
      <c r="I647"/>
      <c r="K647"/>
      <c r="L647"/>
      <c r="M647"/>
      <c r="N647"/>
      <c r="O647"/>
      <c r="P647"/>
      <c r="Q647"/>
      <c r="R647"/>
      <c r="S647"/>
      <c r="T647"/>
      <c r="V647"/>
      <c r="W647"/>
      <c r="X647"/>
      <c r="Y647"/>
      <c r="AA647"/>
    </row>
    <row r="648" spans="7:27" x14ac:dyDescent="0.25">
      <c r="G648"/>
      <c r="H648"/>
      <c r="I648"/>
      <c r="K648"/>
      <c r="L648"/>
      <c r="M648"/>
      <c r="N648"/>
      <c r="O648"/>
      <c r="P648"/>
      <c r="Q648"/>
      <c r="R648"/>
      <c r="S648"/>
      <c r="T648"/>
      <c r="V648"/>
      <c r="W648"/>
      <c r="X648"/>
      <c r="Y648"/>
      <c r="AA648"/>
    </row>
    <row r="649" spans="7:27" x14ac:dyDescent="0.25">
      <c r="G649"/>
      <c r="H649"/>
      <c r="I649"/>
      <c r="K649"/>
      <c r="L649"/>
      <c r="M649"/>
      <c r="N649"/>
      <c r="O649"/>
      <c r="P649"/>
      <c r="Q649"/>
      <c r="R649"/>
      <c r="S649"/>
      <c r="T649"/>
      <c r="V649"/>
      <c r="W649"/>
      <c r="X649"/>
      <c r="Y649"/>
      <c r="AA649"/>
    </row>
    <row r="650" spans="7:27" x14ac:dyDescent="0.25">
      <c r="G650"/>
      <c r="H650"/>
      <c r="I650"/>
      <c r="K650"/>
      <c r="L650"/>
      <c r="M650"/>
      <c r="N650"/>
      <c r="O650"/>
      <c r="P650"/>
      <c r="Q650"/>
      <c r="R650"/>
      <c r="S650"/>
      <c r="T650"/>
      <c r="V650"/>
      <c r="W650"/>
      <c r="X650"/>
      <c r="Y650"/>
      <c r="AA650"/>
    </row>
    <row r="651" spans="7:27" x14ac:dyDescent="0.25">
      <c r="G651"/>
      <c r="H651"/>
      <c r="I651"/>
      <c r="K651"/>
      <c r="L651"/>
      <c r="M651"/>
      <c r="N651"/>
      <c r="O651"/>
      <c r="P651"/>
      <c r="Q651"/>
      <c r="R651"/>
      <c r="S651"/>
      <c r="T651"/>
      <c r="V651"/>
      <c r="W651"/>
      <c r="X651"/>
      <c r="Y651"/>
      <c r="AA651"/>
    </row>
    <row r="652" spans="7:27" x14ac:dyDescent="0.25">
      <c r="G652"/>
      <c r="H652"/>
      <c r="I652"/>
      <c r="K652"/>
      <c r="L652"/>
      <c r="M652"/>
      <c r="N652"/>
      <c r="O652"/>
      <c r="P652"/>
      <c r="Q652"/>
      <c r="R652"/>
      <c r="S652"/>
      <c r="T652"/>
      <c r="V652"/>
      <c r="W652"/>
      <c r="X652"/>
      <c r="Y652"/>
      <c r="AA652"/>
    </row>
    <row r="653" spans="7:27" x14ac:dyDescent="0.25">
      <c r="G653"/>
      <c r="H653"/>
      <c r="I653"/>
      <c r="K653"/>
      <c r="L653"/>
      <c r="M653"/>
      <c r="N653"/>
      <c r="O653"/>
      <c r="P653"/>
      <c r="Q653"/>
      <c r="R653"/>
      <c r="S653"/>
      <c r="T653"/>
      <c r="V653"/>
      <c r="W653"/>
      <c r="X653"/>
      <c r="Y653"/>
      <c r="AA653"/>
    </row>
    <row r="654" spans="7:27" x14ac:dyDescent="0.25">
      <c r="G654"/>
      <c r="H654"/>
      <c r="I654"/>
      <c r="K654"/>
      <c r="L654"/>
      <c r="M654"/>
      <c r="N654"/>
      <c r="O654"/>
      <c r="P654"/>
      <c r="Q654"/>
      <c r="R654"/>
      <c r="S654"/>
      <c r="T654"/>
      <c r="V654"/>
      <c r="W654"/>
      <c r="X654"/>
      <c r="Y654"/>
      <c r="AA654"/>
    </row>
    <row r="655" spans="7:27" x14ac:dyDescent="0.25">
      <c r="G655"/>
      <c r="H655"/>
      <c r="I655"/>
      <c r="K655"/>
      <c r="L655"/>
      <c r="M655"/>
      <c r="N655"/>
      <c r="O655"/>
      <c r="P655"/>
      <c r="Q655"/>
      <c r="R655"/>
      <c r="S655"/>
      <c r="T655"/>
      <c r="V655"/>
      <c r="W655"/>
      <c r="X655"/>
      <c r="Y655"/>
      <c r="AA655"/>
    </row>
    <row r="656" spans="7:27" x14ac:dyDescent="0.25">
      <c r="G656"/>
      <c r="H656"/>
      <c r="I656"/>
      <c r="K656"/>
      <c r="L656"/>
      <c r="M656"/>
      <c r="N656"/>
      <c r="O656"/>
      <c r="P656"/>
      <c r="Q656"/>
      <c r="R656"/>
      <c r="S656"/>
      <c r="T656"/>
      <c r="V656"/>
      <c r="W656"/>
      <c r="X656"/>
      <c r="Y656"/>
      <c r="AA656"/>
    </row>
    <row r="657" spans="7:27" x14ac:dyDescent="0.25">
      <c r="G657"/>
      <c r="H657"/>
      <c r="I657"/>
      <c r="K657"/>
      <c r="L657"/>
      <c r="M657"/>
      <c r="N657"/>
      <c r="O657"/>
      <c r="P657"/>
      <c r="Q657"/>
      <c r="R657"/>
      <c r="S657"/>
      <c r="T657"/>
      <c r="V657"/>
      <c r="W657"/>
      <c r="X657"/>
      <c r="Y657"/>
      <c r="AA657"/>
    </row>
    <row r="658" spans="7:27" x14ac:dyDescent="0.25">
      <c r="G658"/>
      <c r="H658"/>
      <c r="I658"/>
      <c r="K658"/>
      <c r="L658"/>
      <c r="M658"/>
      <c r="N658"/>
      <c r="O658"/>
      <c r="P658"/>
      <c r="Q658"/>
      <c r="R658"/>
      <c r="S658"/>
      <c r="T658"/>
      <c r="V658"/>
      <c r="W658"/>
      <c r="X658"/>
      <c r="Y658"/>
      <c r="AA658"/>
    </row>
    <row r="659" spans="7:27" x14ac:dyDescent="0.25">
      <c r="G659"/>
      <c r="H659"/>
      <c r="I659"/>
      <c r="K659"/>
      <c r="L659"/>
      <c r="M659"/>
      <c r="N659"/>
      <c r="O659"/>
      <c r="P659"/>
      <c r="Q659"/>
      <c r="R659"/>
      <c r="S659"/>
      <c r="T659"/>
      <c r="V659"/>
      <c r="W659"/>
      <c r="X659"/>
      <c r="Y659"/>
      <c r="AA659"/>
    </row>
    <row r="660" spans="7:27" x14ac:dyDescent="0.25">
      <c r="G660"/>
      <c r="H660"/>
      <c r="I660"/>
      <c r="K660"/>
      <c r="L660"/>
      <c r="M660"/>
      <c r="N660"/>
      <c r="O660"/>
      <c r="P660"/>
      <c r="Q660"/>
      <c r="R660"/>
      <c r="S660"/>
      <c r="T660"/>
      <c r="V660"/>
      <c r="W660"/>
      <c r="X660"/>
      <c r="Y660"/>
      <c r="AA660"/>
    </row>
    <row r="661" spans="7:27" x14ac:dyDescent="0.25">
      <c r="G661"/>
      <c r="H661"/>
      <c r="I661"/>
      <c r="K661"/>
      <c r="L661"/>
      <c r="M661"/>
      <c r="N661"/>
      <c r="O661"/>
      <c r="P661"/>
      <c r="Q661"/>
      <c r="R661"/>
      <c r="S661"/>
      <c r="T661"/>
      <c r="V661"/>
      <c r="W661"/>
      <c r="X661"/>
      <c r="Y661"/>
      <c r="AA661"/>
    </row>
    <row r="662" spans="7:27" x14ac:dyDescent="0.25">
      <c r="G662"/>
      <c r="H662"/>
      <c r="I662"/>
      <c r="K662"/>
      <c r="L662"/>
      <c r="M662"/>
      <c r="N662"/>
      <c r="O662"/>
      <c r="P662"/>
      <c r="Q662"/>
      <c r="R662"/>
      <c r="S662"/>
      <c r="T662"/>
      <c r="V662"/>
      <c r="W662"/>
      <c r="X662"/>
      <c r="Y662"/>
      <c r="AA662"/>
    </row>
    <row r="663" spans="7:27" x14ac:dyDescent="0.25">
      <c r="G663"/>
      <c r="H663"/>
      <c r="I663"/>
      <c r="K663"/>
      <c r="L663"/>
      <c r="M663"/>
      <c r="N663"/>
      <c r="O663"/>
      <c r="P663"/>
      <c r="Q663"/>
      <c r="R663"/>
      <c r="S663"/>
      <c r="T663"/>
      <c r="V663"/>
      <c r="W663"/>
      <c r="X663"/>
      <c r="Y663"/>
      <c r="AA663"/>
    </row>
    <row r="664" spans="7:27" x14ac:dyDescent="0.25">
      <c r="G664"/>
      <c r="H664"/>
      <c r="I664"/>
      <c r="K664"/>
      <c r="L664"/>
      <c r="M664"/>
      <c r="N664"/>
      <c r="O664"/>
      <c r="P664"/>
      <c r="Q664"/>
      <c r="R664"/>
      <c r="S664"/>
      <c r="T664"/>
      <c r="V664"/>
      <c r="W664"/>
      <c r="X664"/>
      <c r="Y664"/>
      <c r="AA664"/>
    </row>
    <row r="665" spans="7:27" x14ac:dyDescent="0.25">
      <c r="G665"/>
      <c r="H665"/>
      <c r="I665"/>
      <c r="K665"/>
      <c r="L665"/>
      <c r="M665"/>
      <c r="N665"/>
      <c r="O665"/>
      <c r="P665"/>
      <c r="Q665"/>
      <c r="R665"/>
      <c r="S665"/>
      <c r="T665"/>
      <c r="V665"/>
      <c r="W665"/>
      <c r="X665"/>
      <c r="Y665"/>
      <c r="AA665"/>
    </row>
    <row r="666" spans="7:27" x14ac:dyDescent="0.25">
      <c r="G666"/>
      <c r="H666"/>
      <c r="I666"/>
      <c r="K666"/>
      <c r="L666"/>
      <c r="M666"/>
      <c r="N666"/>
      <c r="O666"/>
      <c r="P666"/>
      <c r="Q666"/>
      <c r="R666"/>
      <c r="S666"/>
      <c r="T666"/>
      <c r="V666"/>
      <c r="W666"/>
      <c r="X666"/>
      <c r="Y666"/>
      <c r="AA666"/>
    </row>
    <row r="667" spans="7:27" x14ac:dyDescent="0.25">
      <c r="G667"/>
      <c r="H667"/>
      <c r="I667"/>
      <c r="K667"/>
      <c r="L667"/>
      <c r="M667"/>
      <c r="N667"/>
      <c r="O667"/>
      <c r="P667"/>
      <c r="Q667"/>
      <c r="R667"/>
      <c r="S667"/>
      <c r="T667"/>
      <c r="V667"/>
      <c r="W667"/>
      <c r="X667"/>
      <c r="Y667"/>
      <c r="AA667"/>
    </row>
    <row r="668" spans="7:27" x14ac:dyDescent="0.25">
      <c r="G668"/>
      <c r="H668"/>
      <c r="I668"/>
      <c r="K668"/>
      <c r="L668"/>
      <c r="M668"/>
      <c r="N668"/>
      <c r="O668"/>
      <c r="P668"/>
      <c r="Q668"/>
      <c r="R668"/>
      <c r="S668"/>
      <c r="T668"/>
      <c r="V668"/>
      <c r="W668"/>
      <c r="X668"/>
      <c r="Y668"/>
      <c r="AA668"/>
    </row>
    <row r="669" spans="7:27" x14ac:dyDescent="0.25">
      <c r="G669"/>
      <c r="H669"/>
      <c r="I669"/>
      <c r="K669"/>
      <c r="L669"/>
      <c r="M669"/>
      <c r="N669"/>
      <c r="O669"/>
      <c r="P669"/>
      <c r="Q669"/>
      <c r="R669"/>
      <c r="S669"/>
      <c r="T669"/>
      <c r="V669"/>
      <c r="W669"/>
      <c r="X669"/>
      <c r="Y669"/>
      <c r="AA669"/>
    </row>
    <row r="670" spans="7:27" x14ac:dyDescent="0.25">
      <c r="G670"/>
      <c r="H670"/>
      <c r="I670"/>
      <c r="K670"/>
      <c r="L670"/>
      <c r="M670"/>
      <c r="N670"/>
      <c r="O670"/>
      <c r="P670"/>
      <c r="Q670"/>
      <c r="R670"/>
      <c r="S670"/>
      <c r="T670"/>
      <c r="V670"/>
      <c r="W670"/>
      <c r="X670"/>
      <c r="Y670"/>
      <c r="AA670"/>
    </row>
    <row r="671" spans="7:27" x14ac:dyDescent="0.25">
      <c r="G671"/>
      <c r="H671"/>
      <c r="I671"/>
      <c r="K671"/>
      <c r="L671"/>
      <c r="M671"/>
      <c r="N671"/>
      <c r="O671"/>
      <c r="P671"/>
      <c r="Q671"/>
      <c r="R671"/>
      <c r="S671"/>
      <c r="T671"/>
      <c r="V671"/>
      <c r="W671"/>
      <c r="X671"/>
      <c r="Y671"/>
      <c r="AA671"/>
    </row>
    <row r="672" spans="7:27" x14ac:dyDescent="0.25">
      <c r="G672"/>
      <c r="H672"/>
      <c r="I672"/>
      <c r="K672"/>
      <c r="L672"/>
      <c r="M672"/>
      <c r="N672"/>
      <c r="O672"/>
      <c r="P672"/>
      <c r="Q672"/>
      <c r="R672"/>
      <c r="S672"/>
      <c r="T672"/>
      <c r="V672"/>
      <c r="W672"/>
      <c r="X672"/>
      <c r="Y672"/>
      <c r="AA672"/>
    </row>
    <row r="673" spans="7:27" x14ac:dyDescent="0.25">
      <c r="G673"/>
      <c r="H673"/>
      <c r="I673"/>
      <c r="K673"/>
      <c r="L673"/>
      <c r="M673"/>
      <c r="N673"/>
      <c r="O673"/>
      <c r="P673"/>
      <c r="Q673"/>
      <c r="R673"/>
      <c r="S673"/>
      <c r="T673"/>
      <c r="V673"/>
      <c r="W673"/>
      <c r="X673"/>
      <c r="Y673"/>
      <c r="AA673"/>
    </row>
    <row r="674" spans="7:27" x14ac:dyDescent="0.25">
      <c r="G674"/>
      <c r="H674"/>
      <c r="I674"/>
      <c r="K674"/>
      <c r="L674"/>
      <c r="M674"/>
      <c r="N674"/>
      <c r="O674"/>
      <c r="P674"/>
      <c r="Q674"/>
      <c r="R674"/>
      <c r="S674"/>
      <c r="T674"/>
      <c r="V674"/>
      <c r="W674"/>
      <c r="X674"/>
      <c r="Y674"/>
      <c r="AA674"/>
    </row>
    <row r="675" spans="7:27" x14ac:dyDescent="0.25">
      <c r="G675"/>
      <c r="H675"/>
      <c r="I675"/>
      <c r="K675"/>
      <c r="L675"/>
      <c r="M675"/>
      <c r="N675"/>
      <c r="O675"/>
      <c r="P675"/>
      <c r="Q675"/>
      <c r="R675"/>
      <c r="S675"/>
      <c r="T675"/>
      <c r="V675"/>
      <c r="W675"/>
      <c r="X675"/>
      <c r="Y675"/>
      <c r="AA675"/>
    </row>
    <row r="676" spans="7:27" x14ac:dyDescent="0.25">
      <c r="G676"/>
      <c r="H676"/>
      <c r="I676"/>
      <c r="K676"/>
      <c r="L676"/>
      <c r="M676"/>
      <c r="N676"/>
      <c r="O676"/>
      <c r="P676"/>
      <c r="Q676"/>
      <c r="R676"/>
      <c r="S676"/>
      <c r="T676"/>
      <c r="V676"/>
      <c r="W676"/>
      <c r="X676"/>
      <c r="Y676"/>
      <c r="AA676"/>
    </row>
    <row r="677" spans="7:27" x14ac:dyDescent="0.25">
      <c r="G677"/>
      <c r="H677"/>
      <c r="I677"/>
      <c r="K677"/>
      <c r="L677"/>
      <c r="M677"/>
      <c r="N677"/>
      <c r="O677"/>
      <c r="P677"/>
      <c r="Q677"/>
      <c r="R677"/>
      <c r="S677"/>
      <c r="T677"/>
      <c r="V677"/>
      <c r="W677"/>
      <c r="X677"/>
      <c r="Y677"/>
      <c r="AA677"/>
    </row>
    <row r="678" spans="7:27" x14ac:dyDescent="0.25">
      <c r="G678"/>
      <c r="H678"/>
      <c r="I678"/>
      <c r="K678"/>
      <c r="L678"/>
      <c r="M678"/>
      <c r="N678"/>
      <c r="O678"/>
      <c r="P678"/>
      <c r="Q678"/>
      <c r="R678"/>
      <c r="S678"/>
      <c r="T678"/>
      <c r="V678"/>
      <c r="W678"/>
      <c r="X678"/>
      <c r="Y678"/>
      <c r="AA678"/>
    </row>
    <row r="679" spans="7:27" x14ac:dyDescent="0.25">
      <c r="G679"/>
      <c r="H679"/>
      <c r="I679"/>
      <c r="K679"/>
      <c r="L679"/>
      <c r="M679"/>
      <c r="N679"/>
      <c r="O679"/>
      <c r="P679"/>
      <c r="Q679"/>
      <c r="R679"/>
      <c r="S679"/>
      <c r="T679"/>
      <c r="V679"/>
      <c r="W679"/>
      <c r="X679"/>
      <c r="Y679"/>
      <c r="AA679"/>
    </row>
    <row r="680" spans="7:27" x14ac:dyDescent="0.25">
      <c r="G680"/>
      <c r="H680"/>
      <c r="I680"/>
      <c r="K680"/>
      <c r="L680"/>
      <c r="M680"/>
      <c r="N680"/>
      <c r="O680"/>
      <c r="P680"/>
      <c r="Q680"/>
      <c r="R680"/>
      <c r="S680"/>
      <c r="T680"/>
      <c r="V680"/>
      <c r="W680"/>
      <c r="X680"/>
      <c r="Y680"/>
      <c r="AA680"/>
    </row>
    <row r="681" spans="7:27" x14ac:dyDescent="0.25">
      <c r="G681"/>
      <c r="H681"/>
      <c r="I681"/>
      <c r="K681"/>
      <c r="L681"/>
      <c r="M681"/>
      <c r="N681"/>
      <c r="O681"/>
      <c r="P681"/>
      <c r="Q681"/>
      <c r="R681"/>
      <c r="S681"/>
      <c r="T681"/>
      <c r="V681"/>
      <c r="W681"/>
      <c r="X681"/>
      <c r="Y681"/>
      <c r="AA681"/>
    </row>
    <row r="682" spans="7:27" x14ac:dyDescent="0.25">
      <c r="G682"/>
      <c r="H682"/>
      <c r="I682"/>
      <c r="K682"/>
      <c r="L682"/>
      <c r="M682"/>
      <c r="N682"/>
      <c r="O682"/>
      <c r="P682"/>
      <c r="Q682"/>
      <c r="R682"/>
      <c r="S682"/>
      <c r="T682"/>
      <c r="V682"/>
      <c r="W682"/>
      <c r="X682"/>
      <c r="Y682"/>
      <c r="AA682"/>
    </row>
    <row r="683" spans="7:27" x14ac:dyDescent="0.25">
      <c r="G683"/>
      <c r="H683"/>
      <c r="I683"/>
      <c r="K683"/>
      <c r="L683"/>
      <c r="M683"/>
      <c r="N683"/>
      <c r="O683"/>
      <c r="P683"/>
      <c r="Q683"/>
      <c r="R683"/>
      <c r="S683"/>
      <c r="T683"/>
      <c r="V683"/>
      <c r="W683"/>
      <c r="X683"/>
      <c r="Y683"/>
      <c r="AA683"/>
    </row>
    <row r="684" spans="7:27" x14ac:dyDescent="0.25">
      <c r="G684"/>
      <c r="H684"/>
      <c r="I684"/>
      <c r="K684"/>
      <c r="L684"/>
      <c r="M684"/>
      <c r="N684"/>
      <c r="O684"/>
      <c r="P684"/>
      <c r="Q684"/>
      <c r="R684"/>
      <c r="S684"/>
      <c r="T684"/>
      <c r="V684"/>
      <c r="W684"/>
      <c r="X684"/>
      <c r="Y684"/>
      <c r="AA684"/>
    </row>
    <row r="685" spans="7:27" x14ac:dyDescent="0.25">
      <c r="G685"/>
      <c r="H685"/>
      <c r="I685"/>
      <c r="K685"/>
      <c r="L685"/>
      <c r="M685"/>
      <c r="N685"/>
      <c r="O685"/>
      <c r="P685"/>
      <c r="Q685"/>
      <c r="R685"/>
      <c r="S685"/>
      <c r="T685"/>
      <c r="V685"/>
      <c r="W685"/>
      <c r="X685"/>
      <c r="Y685"/>
      <c r="AA685"/>
    </row>
    <row r="686" spans="7:27" x14ac:dyDescent="0.25">
      <c r="G686"/>
      <c r="H686"/>
      <c r="I686"/>
      <c r="K686"/>
      <c r="L686"/>
      <c r="M686"/>
      <c r="N686"/>
      <c r="O686"/>
      <c r="P686"/>
      <c r="Q686"/>
      <c r="R686"/>
      <c r="S686"/>
      <c r="T686"/>
      <c r="V686"/>
      <c r="W686"/>
      <c r="X686"/>
      <c r="Y686"/>
      <c r="AA686"/>
    </row>
    <row r="687" spans="7:27" x14ac:dyDescent="0.25">
      <c r="G687"/>
      <c r="H687"/>
      <c r="I687"/>
      <c r="K687"/>
      <c r="L687"/>
      <c r="M687"/>
      <c r="N687"/>
      <c r="O687"/>
      <c r="P687"/>
      <c r="Q687"/>
      <c r="R687"/>
      <c r="S687"/>
      <c r="T687"/>
      <c r="V687"/>
      <c r="W687"/>
      <c r="X687"/>
      <c r="Y687"/>
      <c r="AA687"/>
    </row>
    <row r="688" spans="7:27" x14ac:dyDescent="0.25">
      <c r="G688"/>
      <c r="H688"/>
      <c r="I688"/>
      <c r="K688"/>
      <c r="L688"/>
      <c r="M688"/>
      <c r="N688"/>
      <c r="O688"/>
      <c r="P688"/>
      <c r="Q688"/>
      <c r="R688"/>
      <c r="S688"/>
      <c r="T688"/>
      <c r="V688"/>
      <c r="W688"/>
      <c r="X688"/>
      <c r="Y688"/>
      <c r="AA688"/>
    </row>
    <row r="689" spans="7:27" x14ac:dyDescent="0.25">
      <c r="G689"/>
      <c r="H689"/>
      <c r="I689"/>
      <c r="K689"/>
      <c r="L689"/>
      <c r="M689"/>
      <c r="N689"/>
      <c r="O689"/>
      <c r="P689"/>
      <c r="Q689"/>
      <c r="R689"/>
      <c r="S689"/>
      <c r="T689"/>
      <c r="V689"/>
      <c r="W689"/>
      <c r="X689"/>
      <c r="Y689"/>
      <c r="AA689"/>
    </row>
    <row r="690" spans="7:27" x14ac:dyDescent="0.25">
      <c r="G690"/>
      <c r="H690"/>
      <c r="I690"/>
      <c r="K690"/>
      <c r="L690"/>
      <c r="M690"/>
      <c r="N690"/>
      <c r="O690"/>
      <c r="P690"/>
      <c r="Q690"/>
      <c r="R690"/>
      <c r="S690"/>
      <c r="T690"/>
      <c r="V690"/>
      <c r="W690"/>
      <c r="X690"/>
      <c r="Y690"/>
      <c r="AA690"/>
    </row>
    <row r="691" spans="7:27" x14ac:dyDescent="0.25">
      <c r="G691"/>
      <c r="H691"/>
      <c r="I691"/>
      <c r="K691"/>
      <c r="L691"/>
      <c r="M691"/>
      <c r="N691"/>
      <c r="O691"/>
      <c r="P691"/>
      <c r="Q691"/>
      <c r="R691"/>
      <c r="S691"/>
      <c r="T691"/>
      <c r="V691"/>
      <c r="W691"/>
      <c r="X691"/>
      <c r="Y691"/>
      <c r="AA691"/>
    </row>
    <row r="692" spans="7:27" x14ac:dyDescent="0.25">
      <c r="G692"/>
      <c r="H692"/>
      <c r="I692"/>
      <c r="K692"/>
      <c r="L692"/>
      <c r="M692"/>
      <c r="N692"/>
      <c r="O692"/>
      <c r="P692"/>
      <c r="Q692"/>
      <c r="R692"/>
      <c r="S692"/>
      <c r="T692"/>
      <c r="V692"/>
      <c r="W692"/>
      <c r="X692"/>
      <c r="Y692"/>
      <c r="AA692"/>
    </row>
    <row r="693" spans="7:27" x14ac:dyDescent="0.25">
      <c r="G693"/>
      <c r="H693"/>
      <c r="I693"/>
      <c r="K693"/>
      <c r="L693"/>
      <c r="M693"/>
      <c r="N693"/>
      <c r="O693"/>
      <c r="P693"/>
      <c r="Q693"/>
      <c r="R693"/>
      <c r="S693"/>
      <c r="T693"/>
      <c r="V693"/>
      <c r="W693"/>
      <c r="X693"/>
      <c r="Y693"/>
      <c r="AA693"/>
    </row>
    <row r="694" spans="7:27" x14ac:dyDescent="0.25">
      <c r="G694"/>
      <c r="H694"/>
      <c r="I694"/>
      <c r="K694"/>
      <c r="L694"/>
      <c r="M694"/>
      <c r="N694"/>
      <c r="O694"/>
      <c r="P694"/>
      <c r="Q694"/>
      <c r="R694"/>
      <c r="S694"/>
      <c r="T694"/>
      <c r="V694"/>
      <c r="W694"/>
      <c r="X694"/>
      <c r="Y694"/>
      <c r="AA694"/>
    </row>
    <row r="695" spans="7:27" x14ac:dyDescent="0.25">
      <c r="G695"/>
      <c r="H695"/>
      <c r="I695"/>
      <c r="K695"/>
      <c r="L695"/>
      <c r="M695"/>
      <c r="N695"/>
      <c r="O695"/>
      <c r="P695"/>
      <c r="Q695"/>
      <c r="R695"/>
      <c r="S695"/>
      <c r="T695"/>
      <c r="V695"/>
      <c r="W695"/>
      <c r="X695"/>
      <c r="Y695"/>
      <c r="AA695"/>
    </row>
    <row r="696" spans="7:27" x14ac:dyDescent="0.25">
      <c r="G696"/>
      <c r="H696"/>
      <c r="I696"/>
      <c r="K696"/>
      <c r="L696"/>
      <c r="M696"/>
      <c r="N696"/>
      <c r="O696"/>
      <c r="P696"/>
      <c r="Q696"/>
      <c r="R696"/>
      <c r="S696"/>
      <c r="T696"/>
      <c r="V696"/>
      <c r="W696"/>
      <c r="X696"/>
      <c r="Y696"/>
      <c r="AA696"/>
    </row>
    <row r="697" spans="7:27" x14ac:dyDescent="0.25">
      <c r="G697"/>
      <c r="H697"/>
      <c r="I697"/>
      <c r="K697"/>
      <c r="L697"/>
      <c r="M697"/>
      <c r="N697"/>
      <c r="O697"/>
      <c r="P697"/>
      <c r="Q697"/>
      <c r="R697"/>
      <c r="S697"/>
      <c r="T697"/>
      <c r="V697"/>
      <c r="W697"/>
      <c r="X697"/>
      <c r="Y697"/>
      <c r="AA697"/>
    </row>
    <row r="698" spans="7:27" x14ac:dyDescent="0.25">
      <c r="G698"/>
      <c r="H698"/>
      <c r="I698"/>
      <c r="K698"/>
      <c r="L698"/>
      <c r="M698"/>
      <c r="N698"/>
      <c r="O698"/>
      <c r="P698"/>
      <c r="Q698"/>
      <c r="R698"/>
      <c r="S698"/>
      <c r="T698"/>
      <c r="V698"/>
      <c r="W698"/>
      <c r="X698"/>
      <c r="Y698"/>
      <c r="AA698"/>
    </row>
    <row r="699" spans="7:27" x14ac:dyDescent="0.25">
      <c r="G699"/>
      <c r="H699"/>
      <c r="I699"/>
      <c r="K699"/>
      <c r="L699"/>
      <c r="M699"/>
      <c r="N699"/>
      <c r="O699"/>
      <c r="P699"/>
      <c r="Q699"/>
      <c r="R699"/>
      <c r="S699"/>
      <c r="T699"/>
      <c r="V699"/>
      <c r="W699"/>
      <c r="X699"/>
      <c r="Y699"/>
      <c r="AA699"/>
    </row>
    <row r="700" spans="7:27" x14ac:dyDescent="0.25">
      <c r="G700"/>
      <c r="H700"/>
      <c r="I700"/>
      <c r="K700"/>
      <c r="L700"/>
      <c r="M700"/>
      <c r="N700"/>
      <c r="O700"/>
      <c r="P700"/>
      <c r="Q700"/>
      <c r="R700"/>
      <c r="S700"/>
      <c r="T700"/>
      <c r="V700"/>
      <c r="W700"/>
      <c r="X700"/>
      <c r="Y700"/>
      <c r="AA700"/>
    </row>
    <row r="701" spans="7:27" x14ac:dyDescent="0.25">
      <c r="G701"/>
      <c r="H701"/>
      <c r="I701"/>
      <c r="K701"/>
      <c r="L701"/>
      <c r="M701"/>
      <c r="N701"/>
      <c r="O701"/>
      <c r="P701"/>
      <c r="Q701"/>
      <c r="R701"/>
      <c r="S701"/>
      <c r="T701"/>
      <c r="V701"/>
      <c r="W701"/>
      <c r="X701"/>
      <c r="Y701"/>
      <c r="AA701"/>
    </row>
    <row r="702" spans="7:27" x14ac:dyDescent="0.25">
      <c r="G702"/>
      <c r="H702"/>
      <c r="I702"/>
      <c r="K702"/>
      <c r="L702"/>
      <c r="M702"/>
      <c r="N702"/>
      <c r="O702"/>
      <c r="P702"/>
      <c r="Q702"/>
      <c r="R702"/>
      <c r="S702"/>
      <c r="T702"/>
      <c r="V702"/>
      <c r="W702"/>
      <c r="X702"/>
      <c r="Y702"/>
      <c r="AA702"/>
    </row>
    <row r="703" spans="7:27" x14ac:dyDescent="0.25">
      <c r="G703"/>
      <c r="H703"/>
      <c r="I703"/>
      <c r="K703"/>
      <c r="L703"/>
      <c r="M703"/>
      <c r="N703"/>
      <c r="O703"/>
      <c r="P703"/>
      <c r="Q703"/>
      <c r="R703"/>
      <c r="S703"/>
      <c r="T703"/>
      <c r="V703"/>
      <c r="W703"/>
      <c r="X703"/>
      <c r="Y703"/>
      <c r="AA703"/>
    </row>
    <row r="704" spans="7:27" x14ac:dyDescent="0.25">
      <c r="G704"/>
      <c r="H704"/>
      <c r="I704"/>
      <c r="K704"/>
      <c r="L704"/>
      <c r="M704"/>
      <c r="N704"/>
      <c r="O704"/>
      <c r="P704"/>
      <c r="Q704"/>
      <c r="R704"/>
      <c r="S704"/>
      <c r="T704"/>
      <c r="V704"/>
      <c r="W704"/>
      <c r="X704"/>
      <c r="Y704"/>
      <c r="AA704"/>
    </row>
    <row r="705" spans="7:27" x14ac:dyDescent="0.25">
      <c r="G705"/>
      <c r="H705"/>
      <c r="I705"/>
      <c r="K705"/>
      <c r="L705"/>
      <c r="M705"/>
      <c r="N705"/>
      <c r="O705"/>
      <c r="P705"/>
      <c r="Q705"/>
      <c r="R705"/>
      <c r="S705"/>
      <c r="T705"/>
      <c r="V705"/>
      <c r="W705"/>
      <c r="X705"/>
      <c r="Y705"/>
      <c r="AA705"/>
    </row>
    <row r="706" spans="7:27" x14ac:dyDescent="0.25">
      <c r="G706"/>
      <c r="H706"/>
      <c r="I706"/>
      <c r="K706"/>
      <c r="L706"/>
      <c r="M706"/>
      <c r="N706"/>
      <c r="O706"/>
      <c r="P706"/>
      <c r="Q706"/>
      <c r="R706"/>
      <c r="S706"/>
      <c r="T706"/>
      <c r="V706"/>
      <c r="W706"/>
      <c r="X706"/>
      <c r="Y706"/>
      <c r="AA706"/>
    </row>
    <row r="707" spans="7:27" x14ac:dyDescent="0.25">
      <c r="G707"/>
      <c r="H707"/>
      <c r="I707"/>
      <c r="K707"/>
      <c r="L707"/>
      <c r="M707"/>
      <c r="N707"/>
      <c r="O707"/>
      <c r="P707"/>
      <c r="Q707"/>
      <c r="R707"/>
      <c r="S707"/>
      <c r="T707"/>
      <c r="V707"/>
      <c r="W707"/>
      <c r="X707"/>
      <c r="Y707"/>
      <c r="AA707"/>
    </row>
    <row r="708" spans="7:27" x14ac:dyDescent="0.25">
      <c r="G708"/>
      <c r="H708"/>
      <c r="I708"/>
      <c r="K708"/>
      <c r="L708"/>
      <c r="M708"/>
      <c r="N708"/>
      <c r="O708"/>
      <c r="P708"/>
      <c r="Q708"/>
      <c r="R708"/>
      <c r="S708"/>
      <c r="T708"/>
      <c r="V708"/>
      <c r="W708"/>
      <c r="X708"/>
      <c r="Y708"/>
      <c r="AA708"/>
    </row>
    <row r="709" spans="7:27" x14ac:dyDescent="0.25">
      <c r="G709"/>
      <c r="H709"/>
      <c r="I709"/>
      <c r="K709"/>
      <c r="L709"/>
      <c r="M709"/>
      <c r="N709"/>
      <c r="O709"/>
      <c r="P709"/>
      <c r="Q709"/>
      <c r="R709"/>
      <c r="S709"/>
      <c r="T709"/>
      <c r="V709"/>
      <c r="W709"/>
      <c r="X709"/>
      <c r="Y709"/>
      <c r="AA709"/>
    </row>
    <row r="710" spans="7:27" x14ac:dyDescent="0.25">
      <c r="G710"/>
      <c r="H710"/>
      <c r="I710"/>
      <c r="K710"/>
      <c r="L710"/>
      <c r="M710"/>
      <c r="N710"/>
      <c r="O710"/>
      <c r="P710"/>
      <c r="Q710"/>
      <c r="R710"/>
      <c r="S710"/>
      <c r="T710"/>
      <c r="V710"/>
      <c r="W710"/>
      <c r="X710"/>
      <c r="Y710"/>
      <c r="AA710"/>
    </row>
    <row r="711" spans="7:27" x14ac:dyDescent="0.25">
      <c r="G711"/>
      <c r="H711"/>
      <c r="I711"/>
      <c r="K711"/>
      <c r="L711"/>
      <c r="M711"/>
      <c r="N711"/>
      <c r="O711"/>
      <c r="P711"/>
      <c r="Q711"/>
      <c r="R711"/>
      <c r="S711"/>
      <c r="T711"/>
      <c r="V711"/>
      <c r="W711"/>
      <c r="X711"/>
      <c r="Y711"/>
      <c r="AA711"/>
    </row>
    <row r="712" spans="7:27" x14ac:dyDescent="0.25">
      <c r="G712"/>
      <c r="H712"/>
      <c r="I712"/>
      <c r="K712"/>
      <c r="L712"/>
      <c r="M712"/>
      <c r="N712"/>
      <c r="O712"/>
      <c r="P712"/>
      <c r="Q712"/>
      <c r="R712"/>
      <c r="S712"/>
      <c r="T712"/>
      <c r="V712"/>
      <c r="W712"/>
      <c r="X712"/>
      <c r="Y712"/>
      <c r="AA712"/>
    </row>
    <row r="713" spans="7:27" x14ac:dyDescent="0.25">
      <c r="G713"/>
      <c r="H713"/>
      <c r="I713"/>
      <c r="K713"/>
      <c r="L713"/>
      <c r="M713"/>
      <c r="N713"/>
      <c r="O713"/>
      <c r="P713"/>
      <c r="Q713"/>
      <c r="R713"/>
      <c r="S713"/>
      <c r="T713"/>
      <c r="V713"/>
      <c r="W713"/>
      <c r="X713"/>
      <c r="Y713"/>
      <c r="AA713"/>
    </row>
    <row r="714" spans="7:27" x14ac:dyDescent="0.25">
      <c r="G714"/>
      <c r="H714"/>
      <c r="I714"/>
      <c r="K714"/>
      <c r="L714"/>
      <c r="M714"/>
      <c r="N714"/>
      <c r="O714"/>
      <c r="P714"/>
      <c r="Q714"/>
      <c r="R714"/>
      <c r="S714"/>
      <c r="T714"/>
      <c r="V714"/>
      <c r="W714"/>
      <c r="X714"/>
      <c r="Y714"/>
      <c r="AA714"/>
    </row>
    <row r="715" spans="7:27" x14ac:dyDescent="0.25">
      <c r="G715"/>
      <c r="H715"/>
      <c r="I715"/>
      <c r="K715"/>
      <c r="L715"/>
      <c r="M715"/>
      <c r="N715"/>
      <c r="O715"/>
      <c r="P715"/>
      <c r="Q715"/>
      <c r="R715"/>
      <c r="S715"/>
      <c r="T715"/>
      <c r="V715"/>
      <c r="W715"/>
      <c r="X715"/>
      <c r="Y715"/>
      <c r="AA715"/>
    </row>
    <row r="716" spans="7:27" x14ac:dyDescent="0.25">
      <c r="G716"/>
      <c r="H716"/>
      <c r="I716"/>
      <c r="K716"/>
      <c r="L716"/>
      <c r="M716"/>
      <c r="N716"/>
      <c r="O716"/>
      <c r="P716"/>
      <c r="Q716"/>
      <c r="R716"/>
      <c r="S716"/>
      <c r="T716"/>
      <c r="V716"/>
      <c r="W716"/>
      <c r="X716"/>
      <c r="Y716"/>
      <c r="AA716"/>
    </row>
    <row r="717" spans="7:27" x14ac:dyDescent="0.25">
      <c r="G717"/>
      <c r="H717"/>
      <c r="I717"/>
      <c r="K717"/>
      <c r="L717"/>
      <c r="M717"/>
      <c r="N717"/>
      <c r="O717"/>
      <c r="P717"/>
      <c r="Q717"/>
      <c r="R717"/>
      <c r="S717"/>
      <c r="T717"/>
      <c r="V717"/>
      <c r="W717"/>
      <c r="X717"/>
      <c r="Y717"/>
      <c r="AA717"/>
    </row>
    <row r="718" spans="7:27" x14ac:dyDescent="0.25">
      <c r="G718"/>
      <c r="H718"/>
      <c r="I718"/>
      <c r="K718"/>
      <c r="L718"/>
      <c r="M718"/>
      <c r="N718"/>
      <c r="O718"/>
      <c r="P718"/>
      <c r="Q718"/>
      <c r="R718"/>
      <c r="S718"/>
      <c r="T718"/>
      <c r="V718"/>
      <c r="W718"/>
      <c r="X718"/>
      <c r="Y718"/>
      <c r="AA718"/>
    </row>
    <row r="719" spans="7:27" x14ac:dyDescent="0.25">
      <c r="G719"/>
      <c r="H719"/>
      <c r="I719"/>
      <c r="K719"/>
      <c r="L719"/>
      <c r="M719"/>
      <c r="N719"/>
      <c r="O719"/>
      <c r="P719"/>
      <c r="Q719"/>
      <c r="R719"/>
      <c r="S719"/>
      <c r="T719"/>
      <c r="V719"/>
      <c r="W719"/>
      <c r="X719"/>
      <c r="Y719"/>
      <c r="AA719"/>
    </row>
    <row r="720" spans="7:27" x14ac:dyDescent="0.25">
      <c r="G720"/>
      <c r="H720"/>
      <c r="I720"/>
      <c r="K720"/>
      <c r="L720"/>
      <c r="M720"/>
      <c r="N720"/>
      <c r="O720"/>
      <c r="P720"/>
      <c r="Q720"/>
      <c r="R720"/>
      <c r="S720"/>
      <c r="T720"/>
      <c r="V720"/>
      <c r="W720"/>
      <c r="X720"/>
      <c r="Y720"/>
      <c r="AA720"/>
    </row>
    <row r="721" spans="7:27" x14ac:dyDescent="0.25">
      <c r="G721"/>
      <c r="H721"/>
      <c r="I721"/>
      <c r="K721"/>
      <c r="L721"/>
      <c r="M721"/>
      <c r="N721"/>
      <c r="O721"/>
      <c r="P721"/>
      <c r="Q721"/>
      <c r="R721"/>
      <c r="S721"/>
      <c r="T721"/>
      <c r="V721"/>
      <c r="W721"/>
      <c r="X721"/>
      <c r="Y721"/>
      <c r="AA721"/>
    </row>
    <row r="722" spans="7:27" x14ac:dyDescent="0.25">
      <c r="G722"/>
      <c r="H722"/>
      <c r="I722"/>
      <c r="K722"/>
      <c r="L722"/>
      <c r="M722"/>
      <c r="N722"/>
      <c r="O722"/>
      <c r="P722"/>
      <c r="Q722"/>
      <c r="R722"/>
      <c r="S722"/>
      <c r="T722"/>
      <c r="V722"/>
      <c r="W722"/>
      <c r="X722"/>
      <c r="Y722"/>
      <c r="AA722"/>
    </row>
    <row r="723" spans="7:27" x14ac:dyDescent="0.25">
      <c r="G723"/>
      <c r="H723"/>
      <c r="I723"/>
      <c r="K723"/>
      <c r="L723"/>
      <c r="M723"/>
      <c r="N723"/>
      <c r="O723"/>
      <c r="P723"/>
      <c r="Q723"/>
      <c r="R723"/>
      <c r="S723"/>
      <c r="T723"/>
      <c r="V723"/>
      <c r="W723"/>
      <c r="X723"/>
      <c r="Y723"/>
      <c r="AA723"/>
    </row>
    <row r="724" spans="7:27" x14ac:dyDescent="0.25">
      <c r="G724"/>
      <c r="H724"/>
      <c r="I724"/>
      <c r="K724"/>
      <c r="L724"/>
      <c r="M724"/>
      <c r="N724"/>
      <c r="O724"/>
      <c r="P724"/>
      <c r="Q724"/>
      <c r="R724"/>
      <c r="S724"/>
      <c r="T724"/>
      <c r="V724"/>
      <c r="W724"/>
      <c r="X724"/>
      <c r="Y724"/>
      <c r="AA724"/>
    </row>
    <row r="725" spans="7:27" x14ac:dyDescent="0.25">
      <c r="G725"/>
      <c r="H725"/>
      <c r="I725"/>
      <c r="K725"/>
      <c r="L725"/>
      <c r="M725"/>
      <c r="N725"/>
      <c r="O725"/>
      <c r="P725"/>
      <c r="Q725"/>
      <c r="R725"/>
      <c r="S725"/>
      <c r="T725"/>
      <c r="V725"/>
      <c r="W725"/>
      <c r="X725"/>
      <c r="Y725"/>
      <c r="AA725"/>
    </row>
    <row r="726" spans="7:27" x14ac:dyDescent="0.25">
      <c r="G726"/>
      <c r="H726"/>
      <c r="I726"/>
      <c r="K726"/>
      <c r="L726"/>
      <c r="M726"/>
      <c r="N726"/>
      <c r="O726"/>
      <c r="P726"/>
      <c r="Q726"/>
      <c r="R726"/>
      <c r="S726"/>
      <c r="T726"/>
      <c r="V726"/>
      <c r="W726"/>
      <c r="X726"/>
      <c r="Y726"/>
      <c r="AA726"/>
    </row>
    <row r="727" spans="7:27" x14ac:dyDescent="0.25">
      <c r="G727"/>
      <c r="H727"/>
      <c r="I727"/>
      <c r="K727"/>
      <c r="L727"/>
      <c r="M727"/>
      <c r="N727"/>
      <c r="O727"/>
      <c r="P727"/>
      <c r="Q727"/>
      <c r="R727"/>
      <c r="S727"/>
      <c r="T727"/>
      <c r="V727"/>
      <c r="W727"/>
      <c r="X727"/>
      <c r="Y727"/>
      <c r="AA727"/>
    </row>
    <row r="728" spans="7:27" x14ac:dyDescent="0.25">
      <c r="G728"/>
      <c r="H728"/>
      <c r="I728"/>
      <c r="K728"/>
      <c r="L728"/>
      <c r="M728"/>
      <c r="N728"/>
      <c r="O728"/>
      <c r="P728"/>
      <c r="Q728"/>
      <c r="R728"/>
      <c r="S728"/>
      <c r="T728"/>
      <c r="V728"/>
      <c r="W728"/>
      <c r="X728"/>
      <c r="Y728"/>
      <c r="AA728"/>
    </row>
    <row r="729" spans="7:27" x14ac:dyDescent="0.25">
      <c r="G729"/>
      <c r="H729"/>
      <c r="I729"/>
      <c r="K729"/>
      <c r="L729"/>
      <c r="M729"/>
      <c r="N729"/>
      <c r="O729"/>
      <c r="P729"/>
      <c r="Q729"/>
      <c r="R729"/>
      <c r="S729"/>
      <c r="T729"/>
      <c r="V729"/>
      <c r="W729"/>
      <c r="X729"/>
      <c r="Y729"/>
      <c r="AA729"/>
    </row>
    <row r="730" spans="7:27" x14ac:dyDescent="0.25">
      <c r="G730"/>
      <c r="H730"/>
      <c r="I730"/>
      <c r="K730"/>
      <c r="L730"/>
      <c r="M730"/>
      <c r="N730"/>
      <c r="O730"/>
      <c r="P730"/>
      <c r="Q730"/>
      <c r="R730"/>
      <c r="S730"/>
      <c r="T730"/>
      <c r="V730"/>
      <c r="W730"/>
      <c r="X730"/>
      <c r="Y730"/>
      <c r="AA730"/>
    </row>
    <row r="731" spans="7:27" x14ac:dyDescent="0.25">
      <c r="G731"/>
      <c r="H731"/>
      <c r="I731"/>
      <c r="K731"/>
      <c r="L731"/>
      <c r="M731"/>
      <c r="N731"/>
      <c r="O731"/>
      <c r="P731"/>
      <c r="Q731"/>
      <c r="R731"/>
      <c r="S731"/>
      <c r="T731"/>
      <c r="V731"/>
      <c r="W731"/>
      <c r="X731"/>
      <c r="Y731"/>
      <c r="AA731"/>
    </row>
    <row r="732" spans="7:27" x14ac:dyDescent="0.25">
      <c r="G732"/>
      <c r="H732"/>
      <c r="I732"/>
      <c r="K732"/>
      <c r="L732"/>
      <c r="M732"/>
      <c r="N732"/>
      <c r="O732"/>
      <c r="P732"/>
      <c r="Q732"/>
      <c r="R732"/>
      <c r="S732"/>
      <c r="T732"/>
      <c r="V732"/>
      <c r="W732"/>
      <c r="X732"/>
      <c r="Y732"/>
      <c r="AA732"/>
    </row>
    <row r="733" spans="7:27" x14ac:dyDescent="0.25">
      <c r="G733"/>
      <c r="H733"/>
      <c r="I733"/>
      <c r="K733"/>
      <c r="L733"/>
      <c r="M733"/>
      <c r="N733"/>
      <c r="O733"/>
      <c r="P733"/>
      <c r="Q733"/>
      <c r="R733"/>
      <c r="S733"/>
      <c r="T733"/>
      <c r="V733"/>
      <c r="W733"/>
      <c r="X733"/>
      <c r="Y733"/>
      <c r="AA733"/>
    </row>
    <row r="734" spans="7:27" x14ac:dyDescent="0.25">
      <c r="G734"/>
      <c r="H734"/>
      <c r="I734"/>
      <c r="K734"/>
      <c r="L734"/>
      <c r="M734"/>
      <c r="N734"/>
      <c r="O734"/>
      <c r="P734"/>
      <c r="Q734"/>
      <c r="R734"/>
      <c r="S734"/>
      <c r="T734"/>
      <c r="V734"/>
      <c r="W734"/>
      <c r="X734"/>
      <c r="Y734"/>
      <c r="AA734"/>
    </row>
    <row r="735" spans="7:27" x14ac:dyDescent="0.25">
      <c r="G735"/>
      <c r="H735"/>
      <c r="I735"/>
      <c r="K735"/>
      <c r="L735"/>
      <c r="M735"/>
      <c r="N735"/>
      <c r="O735"/>
      <c r="P735"/>
      <c r="Q735"/>
      <c r="R735"/>
      <c r="S735"/>
      <c r="T735"/>
      <c r="V735"/>
      <c r="W735"/>
      <c r="X735"/>
      <c r="Y735"/>
      <c r="AA735"/>
    </row>
    <row r="736" spans="7:27" x14ac:dyDescent="0.25">
      <c r="G736"/>
      <c r="H736"/>
      <c r="I736"/>
      <c r="K736"/>
      <c r="L736"/>
      <c r="M736"/>
      <c r="N736"/>
      <c r="O736"/>
      <c r="P736"/>
      <c r="Q736"/>
      <c r="R736"/>
      <c r="S736"/>
      <c r="T736"/>
      <c r="V736"/>
      <c r="W736"/>
      <c r="X736"/>
      <c r="Y736"/>
      <c r="AA736"/>
    </row>
    <row r="737" spans="7:27" x14ac:dyDescent="0.25">
      <c r="G737"/>
      <c r="H737"/>
      <c r="I737"/>
      <c r="K737"/>
      <c r="L737"/>
      <c r="M737"/>
      <c r="N737"/>
      <c r="O737"/>
      <c r="P737"/>
      <c r="Q737"/>
      <c r="R737"/>
      <c r="S737"/>
      <c r="T737"/>
      <c r="V737"/>
      <c r="W737"/>
      <c r="X737"/>
      <c r="Y737"/>
      <c r="AA737"/>
    </row>
    <row r="738" spans="7:27" x14ac:dyDescent="0.25">
      <c r="G738"/>
      <c r="H738"/>
      <c r="I738"/>
      <c r="K738"/>
      <c r="L738"/>
      <c r="M738"/>
      <c r="N738"/>
      <c r="O738"/>
      <c r="P738"/>
      <c r="Q738"/>
      <c r="R738"/>
      <c r="S738"/>
      <c r="T738"/>
      <c r="V738"/>
      <c r="W738"/>
      <c r="X738"/>
      <c r="Y738"/>
      <c r="AA738"/>
    </row>
    <row r="739" spans="7:27" x14ac:dyDescent="0.25">
      <c r="G739"/>
      <c r="H739"/>
      <c r="I739"/>
      <c r="K739"/>
      <c r="L739"/>
      <c r="M739"/>
      <c r="N739"/>
      <c r="O739"/>
      <c r="P739"/>
      <c r="Q739"/>
      <c r="R739"/>
      <c r="S739"/>
      <c r="T739"/>
      <c r="V739"/>
      <c r="W739"/>
      <c r="X739"/>
      <c r="Y739"/>
      <c r="AA739"/>
    </row>
    <row r="740" spans="7:27" x14ac:dyDescent="0.25">
      <c r="G740"/>
      <c r="H740"/>
      <c r="I740"/>
      <c r="K740"/>
      <c r="L740"/>
      <c r="M740"/>
      <c r="N740"/>
      <c r="O740"/>
      <c r="P740"/>
      <c r="Q740"/>
      <c r="R740"/>
      <c r="S740"/>
      <c r="T740"/>
      <c r="V740"/>
      <c r="W740"/>
      <c r="X740"/>
      <c r="Y740"/>
      <c r="AA740"/>
    </row>
    <row r="741" spans="7:27" x14ac:dyDescent="0.25">
      <c r="G741"/>
      <c r="H741"/>
      <c r="I741"/>
      <c r="K741"/>
      <c r="L741"/>
      <c r="M741"/>
      <c r="N741"/>
      <c r="O741"/>
      <c r="P741"/>
      <c r="Q741"/>
      <c r="R741"/>
      <c r="S741"/>
      <c r="T741"/>
      <c r="V741"/>
      <c r="W741"/>
      <c r="X741"/>
      <c r="Y741"/>
      <c r="AA741"/>
    </row>
    <row r="742" spans="7:27" x14ac:dyDescent="0.25">
      <c r="G742"/>
      <c r="H742"/>
      <c r="I742"/>
      <c r="K742"/>
      <c r="L742"/>
      <c r="M742"/>
      <c r="N742"/>
      <c r="O742"/>
      <c r="P742"/>
      <c r="Q742"/>
      <c r="R742"/>
      <c r="S742"/>
      <c r="T742"/>
      <c r="V742"/>
      <c r="W742"/>
      <c r="X742"/>
      <c r="Y742"/>
      <c r="AA742"/>
    </row>
    <row r="743" spans="7:27" x14ac:dyDescent="0.25">
      <c r="G743"/>
      <c r="H743"/>
      <c r="I743"/>
      <c r="K743"/>
      <c r="L743"/>
      <c r="M743"/>
      <c r="N743"/>
      <c r="O743"/>
      <c r="P743"/>
      <c r="Q743"/>
      <c r="R743"/>
      <c r="S743"/>
      <c r="T743"/>
      <c r="V743"/>
      <c r="W743"/>
      <c r="X743"/>
      <c r="Y743"/>
      <c r="AA743"/>
    </row>
    <row r="744" spans="7:27" x14ac:dyDescent="0.25">
      <c r="G744"/>
      <c r="H744"/>
      <c r="I744"/>
      <c r="K744"/>
      <c r="L744"/>
      <c r="M744"/>
      <c r="N744"/>
      <c r="O744"/>
      <c r="P744"/>
      <c r="Q744"/>
      <c r="R744"/>
      <c r="S744"/>
      <c r="T744"/>
      <c r="V744"/>
      <c r="W744"/>
      <c r="X744"/>
      <c r="Y744"/>
      <c r="AA744"/>
    </row>
    <row r="745" spans="7:27" x14ac:dyDescent="0.25">
      <c r="G745"/>
      <c r="H745"/>
      <c r="I745"/>
      <c r="K745"/>
      <c r="L745"/>
      <c r="M745"/>
      <c r="N745"/>
      <c r="O745"/>
      <c r="P745"/>
      <c r="Q745"/>
      <c r="R745"/>
      <c r="S745"/>
      <c r="T745"/>
      <c r="V745"/>
      <c r="W745"/>
      <c r="X745"/>
      <c r="Y745"/>
      <c r="AA745"/>
    </row>
    <row r="746" spans="7:27" x14ac:dyDescent="0.25">
      <c r="G746"/>
      <c r="H746"/>
      <c r="I746"/>
      <c r="K746"/>
      <c r="L746"/>
      <c r="M746"/>
      <c r="N746"/>
      <c r="O746"/>
      <c r="P746"/>
      <c r="Q746"/>
      <c r="R746"/>
      <c r="S746"/>
      <c r="T746"/>
      <c r="V746"/>
      <c r="W746"/>
      <c r="X746"/>
      <c r="Y746"/>
      <c r="AA746"/>
    </row>
    <row r="747" spans="7:27" x14ac:dyDescent="0.25">
      <c r="G747"/>
      <c r="H747"/>
      <c r="I747"/>
      <c r="K747"/>
      <c r="L747"/>
      <c r="M747"/>
      <c r="N747"/>
      <c r="O747"/>
      <c r="P747"/>
      <c r="Q747"/>
      <c r="R747"/>
      <c r="S747"/>
      <c r="T747"/>
      <c r="V747"/>
      <c r="W747"/>
      <c r="X747"/>
      <c r="Y747"/>
      <c r="AA747"/>
    </row>
    <row r="748" spans="7:27" x14ac:dyDescent="0.25">
      <c r="G748"/>
      <c r="H748"/>
      <c r="I748"/>
      <c r="K748"/>
      <c r="L748"/>
      <c r="M748"/>
      <c r="N748"/>
      <c r="O748"/>
      <c r="P748"/>
      <c r="Q748"/>
      <c r="R748"/>
      <c r="S748"/>
      <c r="T748"/>
      <c r="V748"/>
      <c r="W748"/>
      <c r="X748"/>
      <c r="Y748"/>
      <c r="AA748"/>
    </row>
    <row r="749" spans="7:27" x14ac:dyDescent="0.25">
      <c r="G749"/>
      <c r="H749"/>
      <c r="I749"/>
      <c r="K749"/>
      <c r="L749"/>
      <c r="M749"/>
      <c r="N749"/>
      <c r="O749"/>
      <c r="P749"/>
      <c r="Q749"/>
      <c r="R749"/>
      <c r="S749"/>
      <c r="T749"/>
      <c r="V749"/>
      <c r="W749"/>
      <c r="X749"/>
      <c r="Y749"/>
      <c r="AA749"/>
    </row>
    <row r="750" spans="7:27" x14ac:dyDescent="0.25">
      <c r="G750"/>
      <c r="H750"/>
      <c r="I750"/>
      <c r="K750"/>
      <c r="L750"/>
      <c r="M750"/>
      <c r="N750"/>
      <c r="O750"/>
      <c r="P750"/>
      <c r="Q750"/>
      <c r="R750"/>
      <c r="S750"/>
      <c r="T750"/>
      <c r="V750"/>
      <c r="W750"/>
      <c r="X750"/>
      <c r="Y750"/>
      <c r="AA750"/>
    </row>
    <row r="751" spans="7:27" x14ac:dyDescent="0.25">
      <c r="G751"/>
      <c r="H751"/>
      <c r="I751"/>
      <c r="K751"/>
      <c r="L751"/>
      <c r="M751"/>
      <c r="N751"/>
      <c r="O751"/>
      <c r="P751"/>
      <c r="Q751"/>
      <c r="R751"/>
      <c r="S751"/>
      <c r="T751"/>
      <c r="V751"/>
      <c r="W751"/>
      <c r="X751"/>
      <c r="Y751"/>
      <c r="AA751"/>
    </row>
    <row r="752" spans="7:27" x14ac:dyDescent="0.25">
      <c r="G752"/>
      <c r="H752"/>
      <c r="I752"/>
      <c r="K752"/>
      <c r="L752"/>
      <c r="M752"/>
      <c r="N752"/>
      <c r="O752"/>
      <c r="P752"/>
      <c r="Q752"/>
      <c r="R752"/>
      <c r="S752"/>
      <c r="T752"/>
      <c r="V752"/>
      <c r="W752"/>
      <c r="X752"/>
      <c r="Y752"/>
      <c r="AA752"/>
    </row>
    <row r="753" spans="7:27" x14ac:dyDescent="0.25">
      <c r="G753"/>
      <c r="H753"/>
      <c r="I753"/>
      <c r="K753"/>
      <c r="L753"/>
      <c r="M753"/>
      <c r="N753"/>
      <c r="O753"/>
      <c r="P753"/>
      <c r="Q753"/>
      <c r="R753"/>
      <c r="S753"/>
      <c r="T753"/>
      <c r="V753"/>
      <c r="W753"/>
      <c r="X753"/>
      <c r="Y753"/>
      <c r="AA753"/>
    </row>
    <row r="754" spans="7:27" x14ac:dyDescent="0.25">
      <c r="G754"/>
      <c r="H754"/>
      <c r="I754"/>
      <c r="K754"/>
      <c r="L754"/>
      <c r="M754"/>
      <c r="N754"/>
      <c r="O754"/>
      <c r="P754"/>
      <c r="Q754"/>
      <c r="R754"/>
      <c r="S754"/>
      <c r="T754"/>
      <c r="V754"/>
      <c r="W754"/>
      <c r="X754"/>
      <c r="Y754"/>
      <c r="AA754"/>
    </row>
    <row r="755" spans="7:27" x14ac:dyDescent="0.25">
      <c r="G755"/>
      <c r="H755"/>
      <c r="I755"/>
      <c r="K755"/>
      <c r="L755"/>
      <c r="M755"/>
      <c r="N755"/>
      <c r="O755"/>
      <c r="P755"/>
      <c r="Q755"/>
      <c r="R755"/>
      <c r="S755"/>
      <c r="T755"/>
      <c r="V755"/>
      <c r="W755"/>
      <c r="X755"/>
      <c r="Y755"/>
      <c r="AA755"/>
    </row>
    <row r="756" spans="7:27" x14ac:dyDescent="0.25">
      <c r="G756"/>
      <c r="H756"/>
      <c r="I756"/>
      <c r="K756"/>
      <c r="L756"/>
      <c r="M756"/>
      <c r="N756"/>
      <c r="O756"/>
      <c r="P756"/>
      <c r="Q756"/>
      <c r="R756"/>
      <c r="S756"/>
      <c r="T756"/>
      <c r="V756"/>
      <c r="W756"/>
      <c r="X756"/>
      <c r="Y756"/>
      <c r="AA756"/>
    </row>
    <row r="757" spans="7:27" x14ac:dyDescent="0.25">
      <c r="G757"/>
      <c r="H757"/>
      <c r="I757"/>
      <c r="K757"/>
      <c r="L757"/>
      <c r="M757"/>
      <c r="N757"/>
      <c r="O757"/>
      <c r="P757"/>
      <c r="Q757"/>
      <c r="R757"/>
      <c r="S757"/>
      <c r="T757"/>
      <c r="V757"/>
      <c r="W757"/>
      <c r="X757"/>
      <c r="Y757"/>
      <c r="AA757"/>
    </row>
    <row r="758" spans="7:27" x14ac:dyDescent="0.25">
      <c r="G758"/>
      <c r="H758"/>
      <c r="I758"/>
      <c r="K758"/>
      <c r="L758"/>
      <c r="M758"/>
      <c r="N758"/>
      <c r="O758"/>
      <c r="P758"/>
      <c r="Q758"/>
      <c r="R758"/>
      <c r="S758"/>
      <c r="T758"/>
      <c r="V758"/>
      <c r="W758"/>
      <c r="X758"/>
      <c r="Y758"/>
      <c r="AA758"/>
    </row>
    <row r="759" spans="7:27" x14ac:dyDescent="0.25">
      <c r="G759"/>
      <c r="H759"/>
      <c r="I759"/>
      <c r="K759"/>
      <c r="L759"/>
      <c r="M759"/>
      <c r="N759"/>
      <c r="O759"/>
      <c r="P759"/>
      <c r="Q759"/>
      <c r="R759"/>
      <c r="S759"/>
      <c r="T759"/>
      <c r="V759"/>
      <c r="W759"/>
      <c r="X759"/>
      <c r="Y759"/>
      <c r="AA759"/>
    </row>
    <row r="760" spans="7:27" x14ac:dyDescent="0.25">
      <c r="G760"/>
      <c r="H760"/>
      <c r="I760"/>
      <c r="K760"/>
      <c r="L760"/>
      <c r="M760"/>
      <c r="N760"/>
      <c r="O760"/>
      <c r="P760"/>
      <c r="Q760"/>
      <c r="R760"/>
      <c r="S760"/>
      <c r="T760"/>
      <c r="V760"/>
      <c r="W760"/>
      <c r="X760"/>
      <c r="Y760"/>
      <c r="AA760"/>
    </row>
    <row r="761" spans="7:27" x14ac:dyDescent="0.25">
      <c r="G761"/>
      <c r="H761"/>
      <c r="I761"/>
      <c r="K761"/>
      <c r="L761"/>
      <c r="M761"/>
      <c r="N761"/>
      <c r="O761"/>
      <c r="P761"/>
      <c r="Q761"/>
      <c r="R761"/>
      <c r="S761"/>
      <c r="T761"/>
      <c r="V761"/>
      <c r="W761"/>
      <c r="X761"/>
      <c r="Y761"/>
      <c r="AA761"/>
    </row>
    <row r="762" spans="7:27" x14ac:dyDescent="0.25">
      <c r="G762"/>
      <c r="H762"/>
      <c r="I762"/>
      <c r="K762"/>
      <c r="L762"/>
      <c r="M762"/>
      <c r="N762"/>
      <c r="O762"/>
      <c r="P762"/>
      <c r="Q762"/>
      <c r="R762"/>
      <c r="S762"/>
      <c r="T762"/>
      <c r="V762"/>
      <c r="W762"/>
      <c r="X762"/>
      <c r="Y762"/>
      <c r="AA762"/>
    </row>
    <row r="763" spans="7:27" x14ac:dyDescent="0.25">
      <c r="G763"/>
      <c r="H763"/>
      <c r="I763"/>
      <c r="K763"/>
      <c r="L763"/>
      <c r="M763"/>
      <c r="N763"/>
      <c r="O763"/>
      <c r="P763"/>
      <c r="Q763"/>
      <c r="R763"/>
      <c r="S763"/>
      <c r="T763"/>
      <c r="V763"/>
      <c r="W763"/>
      <c r="X763"/>
      <c r="Y763"/>
      <c r="AA763"/>
    </row>
    <row r="764" spans="7:27" x14ac:dyDescent="0.25">
      <c r="G764"/>
      <c r="H764"/>
      <c r="I764"/>
      <c r="K764"/>
      <c r="L764"/>
      <c r="M764"/>
      <c r="N764"/>
      <c r="O764"/>
      <c r="P764"/>
      <c r="Q764"/>
      <c r="R764"/>
      <c r="S764"/>
      <c r="T764"/>
      <c r="V764"/>
      <c r="W764"/>
      <c r="X764"/>
      <c r="Y764"/>
      <c r="AA764"/>
    </row>
    <row r="765" spans="7:27" x14ac:dyDescent="0.25">
      <c r="G765"/>
      <c r="H765"/>
      <c r="I765"/>
      <c r="K765"/>
      <c r="L765"/>
      <c r="M765"/>
      <c r="N765"/>
      <c r="O765"/>
      <c r="P765"/>
      <c r="Q765"/>
      <c r="R765"/>
      <c r="S765"/>
      <c r="T765"/>
      <c r="V765"/>
      <c r="W765"/>
      <c r="X765"/>
      <c r="Y765"/>
      <c r="AA765"/>
    </row>
    <row r="766" spans="7:27" x14ac:dyDescent="0.25">
      <c r="G766"/>
      <c r="H766"/>
      <c r="I766"/>
      <c r="K766"/>
      <c r="L766"/>
      <c r="M766"/>
      <c r="N766"/>
      <c r="O766"/>
      <c r="P766"/>
      <c r="Q766"/>
      <c r="R766"/>
      <c r="S766"/>
      <c r="T766"/>
      <c r="V766"/>
      <c r="W766"/>
      <c r="X766"/>
      <c r="Y766"/>
      <c r="AA766"/>
    </row>
    <row r="767" spans="7:27" x14ac:dyDescent="0.25">
      <c r="G767"/>
      <c r="H767"/>
      <c r="I767"/>
      <c r="K767"/>
      <c r="L767"/>
      <c r="M767"/>
      <c r="N767"/>
      <c r="O767"/>
      <c r="P767"/>
      <c r="Q767"/>
      <c r="R767"/>
      <c r="S767"/>
      <c r="T767"/>
      <c r="V767"/>
      <c r="W767"/>
      <c r="X767"/>
      <c r="Y767"/>
      <c r="AA767"/>
    </row>
    <row r="768" spans="7:27" x14ac:dyDescent="0.25">
      <c r="G768"/>
      <c r="H768"/>
      <c r="I768"/>
      <c r="K768"/>
      <c r="L768"/>
      <c r="M768"/>
      <c r="N768"/>
      <c r="O768"/>
      <c r="P768"/>
      <c r="Q768"/>
      <c r="R768"/>
      <c r="S768"/>
      <c r="T768"/>
      <c r="V768"/>
      <c r="W768"/>
      <c r="X768"/>
      <c r="Y768"/>
      <c r="AA768"/>
    </row>
    <row r="769" spans="7:27" x14ac:dyDescent="0.25">
      <c r="G769"/>
      <c r="H769"/>
      <c r="I769"/>
      <c r="K769"/>
      <c r="L769"/>
      <c r="M769"/>
      <c r="N769"/>
      <c r="O769"/>
      <c r="P769"/>
      <c r="Q769"/>
      <c r="R769"/>
      <c r="S769"/>
      <c r="T769"/>
      <c r="V769"/>
      <c r="W769"/>
      <c r="X769"/>
      <c r="Y769"/>
      <c r="AA769"/>
    </row>
    <row r="770" spans="7:27" x14ac:dyDescent="0.25">
      <c r="G770"/>
      <c r="H770"/>
      <c r="I770"/>
      <c r="K770"/>
      <c r="L770"/>
      <c r="M770"/>
      <c r="N770"/>
      <c r="O770"/>
      <c r="P770"/>
      <c r="Q770"/>
      <c r="R770"/>
      <c r="S770"/>
      <c r="T770"/>
      <c r="V770"/>
      <c r="W770"/>
      <c r="X770"/>
      <c r="Y770"/>
      <c r="AA770"/>
    </row>
    <row r="771" spans="7:27" x14ac:dyDescent="0.25">
      <c r="G771"/>
      <c r="H771"/>
      <c r="I771"/>
      <c r="K771"/>
      <c r="L771"/>
      <c r="M771"/>
      <c r="N771"/>
      <c r="O771"/>
      <c r="P771"/>
      <c r="Q771"/>
      <c r="R771"/>
      <c r="S771"/>
      <c r="T771"/>
      <c r="V771"/>
      <c r="W771"/>
      <c r="X771"/>
      <c r="Y771"/>
      <c r="AA771"/>
    </row>
    <row r="772" spans="7:27" x14ac:dyDescent="0.25">
      <c r="G772"/>
      <c r="H772"/>
      <c r="I772"/>
      <c r="K772"/>
      <c r="L772"/>
      <c r="M772"/>
      <c r="N772"/>
      <c r="O772"/>
      <c r="P772"/>
      <c r="Q772"/>
      <c r="R772"/>
      <c r="S772"/>
      <c r="T772"/>
      <c r="V772"/>
      <c r="W772"/>
      <c r="X772"/>
      <c r="Y772"/>
      <c r="AA772"/>
    </row>
    <row r="773" spans="7:27" x14ac:dyDescent="0.25">
      <c r="G773"/>
      <c r="H773"/>
      <c r="I773"/>
      <c r="K773"/>
      <c r="L773"/>
      <c r="M773"/>
      <c r="N773"/>
      <c r="O773"/>
      <c r="P773"/>
      <c r="Q773"/>
      <c r="R773"/>
      <c r="S773"/>
      <c r="T773"/>
      <c r="V773"/>
      <c r="W773"/>
      <c r="X773"/>
      <c r="Y773"/>
      <c r="AA773"/>
    </row>
    <row r="774" spans="7:27" x14ac:dyDescent="0.25">
      <c r="G774"/>
      <c r="H774"/>
      <c r="I774"/>
      <c r="K774"/>
      <c r="L774"/>
      <c r="M774"/>
      <c r="N774"/>
      <c r="O774"/>
      <c r="P774"/>
      <c r="Q774"/>
      <c r="R774"/>
      <c r="S774"/>
      <c r="T774"/>
      <c r="V774"/>
      <c r="W774"/>
      <c r="X774"/>
      <c r="Y774"/>
      <c r="AA774"/>
    </row>
    <row r="775" spans="7:27" x14ac:dyDescent="0.25">
      <c r="G775"/>
      <c r="H775"/>
      <c r="I775"/>
      <c r="K775"/>
      <c r="L775"/>
      <c r="M775"/>
      <c r="N775"/>
      <c r="O775"/>
      <c r="P775"/>
      <c r="Q775"/>
      <c r="R775"/>
      <c r="S775"/>
      <c r="T775"/>
      <c r="V775"/>
      <c r="W775"/>
      <c r="X775"/>
      <c r="Y775"/>
      <c r="AA775"/>
    </row>
    <row r="776" spans="7:27" x14ac:dyDescent="0.25">
      <c r="G776"/>
      <c r="H776"/>
      <c r="I776"/>
      <c r="K776"/>
      <c r="L776"/>
      <c r="M776"/>
      <c r="N776"/>
      <c r="O776"/>
      <c r="P776"/>
      <c r="Q776"/>
      <c r="R776"/>
      <c r="S776"/>
      <c r="T776"/>
      <c r="V776"/>
      <c r="W776"/>
      <c r="X776"/>
      <c r="Y776"/>
      <c r="AA776"/>
    </row>
    <row r="777" spans="7:27" x14ac:dyDescent="0.25">
      <c r="G777"/>
      <c r="H777"/>
      <c r="I777"/>
      <c r="K777"/>
      <c r="L777"/>
      <c r="M777"/>
      <c r="N777"/>
      <c r="O777"/>
      <c r="P777"/>
      <c r="Q777"/>
      <c r="R777"/>
      <c r="S777"/>
      <c r="T777"/>
      <c r="V777"/>
      <c r="W777"/>
      <c r="X777"/>
      <c r="Y777"/>
      <c r="AA777"/>
    </row>
    <row r="778" spans="7:27" x14ac:dyDescent="0.25">
      <c r="G778"/>
      <c r="H778"/>
      <c r="I778"/>
      <c r="K778"/>
      <c r="L778"/>
      <c r="M778"/>
      <c r="N778"/>
      <c r="O778"/>
      <c r="P778"/>
      <c r="Q778"/>
      <c r="R778"/>
      <c r="S778"/>
      <c r="T778"/>
      <c r="V778"/>
      <c r="W778"/>
      <c r="X778"/>
      <c r="Y778"/>
      <c r="AA778"/>
    </row>
    <row r="779" spans="7:27" x14ac:dyDescent="0.25">
      <c r="G779"/>
      <c r="H779"/>
      <c r="I779"/>
      <c r="K779"/>
      <c r="L779"/>
      <c r="M779"/>
      <c r="N779"/>
      <c r="O779"/>
      <c r="P779"/>
      <c r="Q779"/>
      <c r="R779"/>
      <c r="S779"/>
      <c r="T779"/>
      <c r="V779"/>
      <c r="W779"/>
      <c r="X779"/>
      <c r="Y779"/>
      <c r="AA779"/>
    </row>
    <row r="780" spans="7:27" x14ac:dyDescent="0.25">
      <c r="G780"/>
      <c r="H780"/>
      <c r="I780"/>
      <c r="K780"/>
      <c r="L780"/>
      <c r="M780"/>
      <c r="N780"/>
      <c r="O780"/>
      <c r="P780"/>
      <c r="Q780"/>
      <c r="R780"/>
      <c r="S780"/>
      <c r="T780"/>
      <c r="V780"/>
      <c r="W780"/>
      <c r="X780"/>
      <c r="Y780"/>
      <c r="AA780"/>
    </row>
    <row r="781" spans="7:27" x14ac:dyDescent="0.25">
      <c r="G781"/>
      <c r="H781"/>
      <c r="I781"/>
      <c r="K781"/>
      <c r="L781"/>
      <c r="M781"/>
      <c r="N781"/>
      <c r="O781"/>
      <c r="P781"/>
      <c r="Q781"/>
      <c r="R781"/>
      <c r="S781"/>
      <c r="T781"/>
      <c r="V781"/>
      <c r="W781"/>
      <c r="X781"/>
      <c r="Y781"/>
      <c r="AA781"/>
    </row>
    <row r="782" spans="7:27" x14ac:dyDescent="0.25">
      <c r="G782"/>
      <c r="H782"/>
      <c r="I782"/>
      <c r="K782"/>
      <c r="L782"/>
      <c r="M782"/>
      <c r="N782"/>
      <c r="O782"/>
      <c r="P782"/>
      <c r="Q782"/>
      <c r="R782"/>
      <c r="S782"/>
      <c r="T782"/>
      <c r="V782"/>
      <c r="W782"/>
      <c r="X782"/>
      <c r="Y782"/>
      <c r="AA782"/>
    </row>
    <row r="783" spans="7:27" x14ac:dyDescent="0.25">
      <c r="G783"/>
      <c r="H783"/>
      <c r="I783"/>
      <c r="K783"/>
      <c r="L783"/>
      <c r="M783"/>
      <c r="N783"/>
      <c r="O783"/>
      <c r="P783"/>
      <c r="Q783"/>
      <c r="R783"/>
      <c r="S783"/>
      <c r="T783"/>
      <c r="V783"/>
      <c r="W783"/>
      <c r="X783"/>
      <c r="Y783"/>
      <c r="AA783"/>
    </row>
    <row r="784" spans="7:27" x14ac:dyDescent="0.25">
      <c r="G784"/>
      <c r="H784"/>
      <c r="I784"/>
      <c r="K784"/>
      <c r="L784"/>
      <c r="M784"/>
      <c r="N784"/>
      <c r="O784"/>
      <c r="P784"/>
      <c r="Q784"/>
      <c r="R784"/>
      <c r="S784"/>
      <c r="T784"/>
      <c r="V784"/>
      <c r="W784"/>
      <c r="X784"/>
      <c r="Y784"/>
      <c r="AA784"/>
    </row>
    <row r="785" spans="7:27" x14ac:dyDescent="0.25">
      <c r="G785"/>
      <c r="H785"/>
      <c r="I785"/>
      <c r="K785"/>
      <c r="L785"/>
      <c r="M785"/>
      <c r="N785"/>
      <c r="O785"/>
      <c r="P785"/>
      <c r="Q785"/>
      <c r="R785"/>
      <c r="S785"/>
      <c r="T785"/>
      <c r="V785"/>
      <c r="W785"/>
      <c r="X785"/>
      <c r="Y785"/>
      <c r="AA785"/>
    </row>
    <row r="786" spans="7:27" x14ac:dyDescent="0.25">
      <c r="G786"/>
      <c r="H786"/>
      <c r="I786"/>
      <c r="K786"/>
      <c r="L786"/>
      <c r="M786"/>
      <c r="N786"/>
      <c r="O786"/>
      <c r="P786"/>
      <c r="Q786"/>
      <c r="R786"/>
      <c r="S786"/>
      <c r="T786"/>
      <c r="V786"/>
      <c r="W786"/>
      <c r="X786"/>
      <c r="Y786"/>
      <c r="AA786"/>
    </row>
    <row r="787" spans="7:27" x14ac:dyDescent="0.25">
      <c r="G787"/>
      <c r="H787"/>
      <c r="I787"/>
      <c r="K787"/>
      <c r="L787"/>
      <c r="M787"/>
      <c r="N787"/>
      <c r="O787"/>
      <c r="P787"/>
      <c r="Q787"/>
      <c r="R787"/>
      <c r="S787"/>
      <c r="T787"/>
      <c r="V787"/>
      <c r="W787"/>
      <c r="X787"/>
      <c r="Y787"/>
      <c r="AA787"/>
    </row>
    <row r="788" spans="7:27" x14ac:dyDescent="0.25">
      <c r="G788"/>
      <c r="H788"/>
      <c r="I788"/>
      <c r="K788"/>
      <c r="L788"/>
      <c r="M788"/>
      <c r="N788"/>
      <c r="O788"/>
      <c r="P788"/>
      <c r="Q788"/>
      <c r="R788"/>
      <c r="S788"/>
      <c r="T788"/>
      <c r="V788"/>
      <c r="W788"/>
      <c r="X788"/>
      <c r="Y788"/>
      <c r="AA788"/>
    </row>
    <row r="789" spans="7:27" x14ac:dyDescent="0.25">
      <c r="G789"/>
      <c r="H789"/>
      <c r="I789"/>
      <c r="K789"/>
      <c r="L789"/>
      <c r="M789"/>
      <c r="N789"/>
      <c r="O789"/>
      <c r="P789"/>
      <c r="Q789"/>
      <c r="R789"/>
      <c r="S789"/>
      <c r="T789"/>
      <c r="V789"/>
      <c r="W789"/>
      <c r="X789"/>
      <c r="Y789"/>
      <c r="AA789"/>
    </row>
    <row r="790" spans="7:27" x14ac:dyDescent="0.25">
      <c r="G790"/>
      <c r="H790"/>
      <c r="I790"/>
      <c r="K790"/>
      <c r="L790"/>
      <c r="M790"/>
      <c r="N790"/>
      <c r="O790"/>
      <c r="P790"/>
      <c r="Q790"/>
      <c r="R790"/>
      <c r="S790"/>
      <c r="T790"/>
      <c r="V790"/>
      <c r="W790"/>
      <c r="X790"/>
      <c r="Y790"/>
      <c r="AA790"/>
    </row>
    <row r="791" spans="7:27" x14ac:dyDescent="0.25">
      <c r="G791"/>
      <c r="H791"/>
      <c r="I791"/>
      <c r="K791"/>
      <c r="L791"/>
      <c r="M791"/>
      <c r="N791"/>
      <c r="O791"/>
      <c r="P791"/>
      <c r="Q791"/>
      <c r="R791"/>
      <c r="S791"/>
      <c r="T791"/>
      <c r="V791"/>
      <c r="W791"/>
      <c r="X791"/>
      <c r="Y791"/>
      <c r="AA791"/>
    </row>
    <row r="792" spans="7:27" x14ac:dyDescent="0.25">
      <c r="G792"/>
      <c r="H792"/>
      <c r="I792"/>
      <c r="K792"/>
      <c r="L792"/>
      <c r="M792"/>
      <c r="N792"/>
      <c r="O792"/>
      <c r="P792"/>
      <c r="Q792"/>
      <c r="R792"/>
      <c r="S792"/>
      <c r="T792"/>
      <c r="V792"/>
      <c r="W792"/>
      <c r="X792"/>
      <c r="Y792"/>
      <c r="AA792"/>
    </row>
    <row r="793" spans="7:27" x14ac:dyDescent="0.25">
      <c r="G793"/>
      <c r="H793"/>
      <c r="I793"/>
      <c r="K793"/>
      <c r="L793"/>
      <c r="M793"/>
      <c r="N793"/>
      <c r="O793"/>
      <c r="P793"/>
      <c r="Q793"/>
      <c r="R793"/>
      <c r="S793"/>
      <c r="T793"/>
      <c r="V793"/>
      <c r="W793"/>
      <c r="X793"/>
      <c r="Y793"/>
      <c r="AA793"/>
    </row>
    <row r="794" spans="7:27" x14ac:dyDescent="0.25">
      <c r="G794"/>
      <c r="H794"/>
      <c r="I794"/>
      <c r="K794"/>
      <c r="L794"/>
      <c r="M794"/>
      <c r="N794"/>
      <c r="O794"/>
      <c r="P794"/>
      <c r="Q794"/>
      <c r="R794"/>
      <c r="S794"/>
      <c r="T794"/>
      <c r="V794"/>
      <c r="W794"/>
      <c r="X794"/>
      <c r="Y794"/>
      <c r="AA794"/>
    </row>
    <row r="795" spans="7:27" x14ac:dyDescent="0.25">
      <c r="G795"/>
      <c r="H795"/>
      <c r="I795"/>
      <c r="K795"/>
      <c r="L795"/>
      <c r="M795"/>
      <c r="N795"/>
      <c r="O795"/>
      <c r="P795"/>
      <c r="Q795"/>
      <c r="R795"/>
      <c r="S795"/>
      <c r="T795"/>
      <c r="V795"/>
      <c r="W795"/>
      <c r="X795"/>
      <c r="Y795"/>
      <c r="AA795"/>
    </row>
    <row r="796" spans="7:27" x14ac:dyDescent="0.25">
      <c r="G796"/>
      <c r="H796"/>
      <c r="I796"/>
      <c r="K796"/>
      <c r="L796"/>
      <c r="M796"/>
      <c r="N796"/>
      <c r="O796"/>
      <c r="P796"/>
      <c r="Q796"/>
      <c r="R796"/>
      <c r="S796"/>
      <c r="T796"/>
      <c r="V796"/>
      <c r="W796"/>
      <c r="X796"/>
      <c r="Y796"/>
      <c r="AA796"/>
    </row>
    <row r="797" spans="7:27" x14ac:dyDescent="0.25">
      <c r="G797"/>
      <c r="H797"/>
      <c r="I797"/>
      <c r="K797"/>
      <c r="L797"/>
      <c r="M797"/>
      <c r="N797"/>
      <c r="O797"/>
      <c r="P797"/>
      <c r="Q797"/>
      <c r="R797"/>
      <c r="S797"/>
      <c r="T797"/>
      <c r="V797"/>
      <c r="W797"/>
      <c r="X797"/>
      <c r="Y797"/>
      <c r="AA797"/>
    </row>
    <row r="798" spans="7:27" x14ac:dyDescent="0.25">
      <c r="G798"/>
      <c r="H798"/>
      <c r="I798"/>
      <c r="K798"/>
      <c r="L798"/>
      <c r="M798"/>
      <c r="N798"/>
      <c r="O798"/>
      <c r="P798"/>
      <c r="Q798"/>
      <c r="R798"/>
      <c r="S798"/>
      <c r="T798"/>
      <c r="V798"/>
      <c r="W798"/>
      <c r="X798"/>
      <c r="Y798"/>
      <c r="AA798"/>
    </row>
    <row r="799" spans="7:27" x14ac:dyDescent="0.25">
      <c r="G799"/>
      <c r="H799"/>
      <c r="I799"/>
      <c r="K799"/>
      <c r="L799"/>
      <c r="M799"/>
      <c r="N799"/>
      <c r="O799"/>
      <c r="P799"/>
      <c r="Q799"/>
      <c r="R799"/>
      <c r="S799"/>
      <c r="T799"/>
      <c r="V799"/>
      <c r="W799"/>
      <c r="X799"/>
      <c r="Y799"/>
      <c r="AA799"/>
    </row>
    <row r="800" spans="7:27" x14ac:dyDescent="0.25">
      <c r="G800"/>
      <c r="H800"/>
      <c r="I800"/>
      <c r="K800"/>
      <c r="L800"/>
      <c r="M800"/>
      <c r="N800"/>
      <c r="O800"/>
      <c r="P800"/>
      <c r="Q800"/>
      <c r="R800"/>
      <c r="S800"/>
      <c r="T800"/>
      <c r="V800"/>
      <c r="W800"/>
      <c r="X800"/>
      <c r="Y800"/>
      <c r="AA800"/>
    </row>
    <row r="801" spans="7:27" x14ac:dyDescent="0.25">
      <c r="G801"/>
      <c r="H801"/>
      <c r="I801"/>
      <c r="K801"/>
      <c r="L801"/>
      <c r="M801"/>
      <c r="N801"/>
      <c r="O801"/>
      <c r="P801"/>
      <c r="Q801"/>
      <c r="R801"/>
      <c r="S801"/>
      <c r="T801"/>
      <c r="V801"/>
      <c r="W801"/>
      <c r="X801"/>
      <c r="Y801"/>
      <c r="AA801"/>
    </row>
    <row r="802" spans="7:27" x14ac:dyDescent="0.25">
      <c r="G802"/>
      <c r="H802"/>
      <c r="I802"/>
      <c r="K802"/>
      <c r="L802"/>
      <c r="M802"/>
      <c r="N802"/>
      <c r="O802"/>
      <c r="P802"/>
      <c r="Q802"/>
      <c r="R802"/>
      <c r="S802"/>
      <c r="T802"/>
      <c r="V802"/>
      <c r="W802"/>
      <c r="X802"/>
      <c r="Y802"/>
      <c r="AA802"/>
    </row>
    <row r="803" spans="7:27" x14ac:dyDescent="0.25">
      <c r="G803"/>
      <c r="H803"/>
      <c r="I803"/>
      <c r="K803"/>
      <c r="L803"/>
      <c r="M803"/>
      <c r="N803"/>
      <c r="O803"/>
      <c r="P803"/>
      <c r="Q803"/>
      <c r="R803"/>
      <c r="S803"/>
      <c r="T803"/>
      <c r="V803"/>
      <c r="W803"/>
      <c r="X803"/>
      <c r="Y803"/>
      <c r="AA803"/>
    </row>
    <row r="804" spans="7:27" x14ac:dyDescent="0.25">
      <c r="G804"/>
      <c r="H804"/>
      <c r="I804"/>
      <c r="K804"/>
      <c r="L804"/>
      <c r="M804"/>
      <c r="N804"/>
      <c r="O804"/>
      <c r="P804"/>
      <c r="Q804"/>
      <c r="R804"/>
      <c r="S804"/>
      <c r="T804"/>
      <c r="V804"/>
      <c r="W804"/>
      <c r="X804"/>
      <c r="Y804"/>
      <c r="AA804"/>
    </row>
    <row r="805" spans="7:27" x14ac:dyDescent="0.25">
      <c r="G805"/>
      <c r="H805"/>
      <c r="I805"/>
      <c r="K805"/>
      <c r="L805"/>
      <c r="M805"/>
      <c r="N805"/>
      <c r="O805"/>
      <c r="P805"/>
      <c r="Q805"/>
      <c r="R805"/>
      <c r="S805"/>
      <c r="T805"/>
      <c r="V805"/>
      <c r="W805"/>
      <c r="X805"/>
      <c r="Y805"/>
      <c r="AA805"/>
    </row>
    <row r="806" spans="7:27" x14ac:dyDescent="0.25">
      <c r="G806"/>
      <c r="H806"/>
      <c r="I806"/>
      <c r="K806"/>
      <c r="L806"/>
      <c r="M806"/>
      <c r="N806"/>
      <c r="O806"/>
      <c r="P806"/>
      <c r="Q806"/>
      <c r="R806"/>
      <c r="S806"/>
      <c r="T806"/>
      <c r="V806"/>
      <c r="W806"/>
      <c r="X806"/>
      <c r="Y806"/>
      <c r="AA806"/>
    </row>
    <row r="807" spans="7:27" x14ac:dyDescent="0.25">
      <c r="G807"/>
      <c r="H807"/>
      <c r="I807"/>
      <c r="K807"/>
      <c r="L807"/>
      <c r="M807"/>
      <c r="N807"/>
      <c r="O807"/>
      <c r="P807"/>
      <c r="Q807"/>
      <c r="R807"/>
      <c r="S807"/>
      <c r="T807"/>
      <c r="V807"/>
      <c r="W807"/>
      <c r="X807"/>
      <c r="Y807"/>
      <c r="AA807"/>
    </row>
    <row r="808" spans="7:27" x14ac:dyDescent="0.25">
      <c r="G808"/>
      <c r="H808"/>
      <c r="I808"/>
      <c r="K808"/>
      <c r="L808"/>
      <c r="M808"/>
      <c r="N808"/>
      <c r="O808"/>
      <c r="P808"/>
      <c r="Q808"/>
      <c r="R808"/>
      <c r="S808"/>
      <c r="T808"/>
      <c r="V808"/>
      <c r="W808"/>
      <c r="X808"/>
      <c r="Y808"/>
      <c r="AA808"/>
    </row>
    <row r="809" spans="7:27" x14ac:dyDescent="0.25">
      <c r="G809"/>
      <c r="H809"/>
      <c r="I809"/>
      <c r="K809"/>
      <c r="L809"/>
      <c r="M809"/>
      <c r="N809"/>
      <c r="O809"/>
      <c r="P809"/>
      <c r="Q809"/>
      <c r="R809"/>
      <c r="S809"/>
      <c r="T809"/>
      <c r="V809"/>
      <c r="W809"/>
      <c r="X809"/>
      <c r="Y809"/>
      <c r="AA809"/>
    </row>
    <row r="810" spans="7:27" x14ac:dyDescent="0.25">
      <c r="G810"/>
      <c r="H810"/>
      <c r="I810"/>
      <c r="K810"/>
      <c r="L810"/>
      <c r="M810"/>
      <c r="N810"/>
      <c r="O810"/>
      <c r="P810"/>
      <c r="Q810"/>
      <c r="R810"/>
      <c r="S810"/>
      <c r="T810"/>
      <c r="V810"/>
      <c r="W810"/>
      <c r="X810"/>
      <c r="Y810"/>
      <c r="AA810"/>
    </row>
    <row r="811" spans="7:27" x14ac:dyDescent="0.25">
      <c r="G811"/>
      <c r="H811"/>
      <c r="I811"/>
      <c r="K811"/>
      <c r="L811"/>
      <c r="M811"/>
      <c r="N811"/>
      <c r="O811"/>
      <c r="P811"/>
      <c r="Q811"/>
      <c r="R811"/>
      <c r="S811"/>
      <c r="T811"/>
      <c r="V811"/>
      <c r="W811"/>
      <c r="X811"/>
      <c r="Y811"/>
      <c r="AA811"/>
    </row>
    <row r="812" spans="7:27" x14ac:dyDescent="0.25">
      <c r="G812"/>
      <c r="H812"/>
      <c r="I812"/>
      <c r="K812"/>
      <c r="L812"/>
      <c r="M812"/>
      <c r="N812"/>
      <c r="O812"/>
      <c r="P812"/>
      <c r="Q812"/>
      <c r="R812"/>
      <c r="S812"/>
      <c r="T812"/>
      <c r="V812"/>
      <c r="W812"/>
      <c r="X812"/>
      <c r="Y812"/>
      <c r="AA812"/>
    </row>
    <row r="813" spans="7:27" x14ac:dyDescent="0.25">
      <c r="G813"/>
      <c r="H813"/>
      <c r="I813"/>
      <c r="K813"/>
      <c r="L813"/>
      <c r="M813"/>
      <c r="N813"/>
      <c r="O813"/>
      <c r="P813"/>
      <c r="Q813"/>
      <c r="R813"/>
      <c r="S813"/>
      <c r="T813"/>
      <c r="V813"/>
      <c r="W813"/>
      <c r="X813"/>
      <c r="Y813"/>
      <c r="AA813"/>
    </row>
    <row r="814" spans="7:27" x14ac:dyDescent="0.25">
      <c r="G814"/>
      <c r="H814"/>
      <c r="I814"/>
      <c r="K814"/>
      <c r="L814"/>
      <c r="M814"/>
      <c r="N814"/>
      <c r="O814"/>
      <c r="P814"/>
      <c r="Q814"/>
      <c r="R814"/>
      <c r="S814"/>
      <c r="T814"/>
      <c r="V814"/>
      <c r="W814"/>
      <c r="X814"/>
      <c r="Y814"/>
      <c r="AA814"/>
    </row>
    <row r="815" spans="7:27" x14ac:dyDescent="0.25">
      <c r="G815"/>
      <c r="H815"/>
      <c r="I815"/>
      <c r="K815"/>
      <c r="L815"/>
      <c r="M815"/>
      <c r="N815"/>
      <c r="O815"/>
      <c r="P815"/>
      <c r="Q815"/>
      <c r="R815"/>
      <c r="S815"/>
      <c r="T815"/>
      <c r="V815"/>
      <c r="W815"/>
      <c r="X815"/>
      <c r="Y815"/>
      <c r="AA815"/>
    </row>
    <row r="816" spans="7:27" x14ac:dyDescent="0.25">
      <c r="G816"/>
      <c r="H816"/>
      <c r="I816"/>
      <c r="K816"/>
      <c r="L816"/>
      <c r="M816"/>
      <c r="N816"/>
      <c r="O816"/>
      <c r="P816"/>
      <c r="Q816"/>
      <c r="R816"/>
      <c r="S816"/>
      <c r="T816"/>
      <c r="V816"/>
      <c r="W816"/>
      <c r="X816"/>
      <c r="Y816"/>
      <c r="AA816"/>
    </row>
    <row r="817" spans="7:27" x14ac:dyDescent="0.25">
      <c r="G817"/>
      <c r="H817"/>
      <c r="I817"/>
      <c r="K817"/>
      <c r="L817"/>
      <c r="M817"/>
      <c r="N817"/>
      <c r="O817"/>
      <c r="P817"/>
      <c r="Q817"/>
      <c r="R817"/>
      <c r="S817"/>
      <c r="T817"/>
      <c r="V817"/>
      <c r="W817"/>
      <c r="X817"/>
      <c r="Y817"/>
      <c r="AA817"/>
    </row>
    <row r="818" spans="7:27" x14ac:dyDescent="0.25">
      <c r="G818"/>
      <c r="H818"/>
      <c r="I818"/>
      <c r="K818"/>
      <c r="L818"/>
      <c r="M818"/>
      <c r="N818"/>
      <c r="O818"/>
      <c r="P818"/>
      <c r="Q818"/>
      <c r="R818"/>
      <c r="S818"/>
      <c r="T818"/>
      <c r="V818"/>
      <c r="W818"/>
      <c r="X818"/>
      <c r="Y818"/>
      <c r="AA818"/>
    </row>
    <row r="819" spans="7:27" x14ac:dyDescent="0.25">
      <c r="G819"/>
      <c r="H819"/>
      <c r="I819"/>
      <c r="K819"/>
      <c r="L819"/>
      <c r="M819"/>
      <c r="N819"/>
      <c r="O819"/>
      <c r="P819"/>
      <c r="Q819"/>
      <c r="R819"/>
      <c r="S819"/>
      <c r="T819"/>
      <c r="V819"/>
      <c r="W819"/>
      <c r="X819"/>
      <c r="Y819"/>
      <c r="AA819"/>
    </row>
    <row r="820" spans="7:27" x14ac:dyDescent="0.25">
      <c r="G820"/>
      <c r="H820"/>
      <c r="I820"/>
      <c r="K820"/>
      <c r="L820"/>
      <c r="M820"/>
      <c r="N820"/>
      <c r="O820"/>
      <c r="P820"/>
      <c r="Q820"/>
      <c r="R820"/>
      <c r="S820"/>
      <c r="T820"/>
      <c r="V820"/>
      <c r="W820"/>
      <c r="X820"/>
      <c r="Y820"/>
      <c r="AA820"/>
    </row>
    <row r="821" spans="7:27" x14ac:dyDescent="0.25">
      <c r="G821"/>
      <c r="H821"/>
      <c r="I821"/>
      <c r="K821"/>
      <c r="L821"/>
      <c r="M821"/>
      <c r="N821"/>
      <c r="O821"/>
      <c r="P821"/>
      <c r="Q821"/>
      <c r="R821"/>
      <c r="S821"/>
      <c r="T821"/>
      <c r="V821"/>
      <c r="W821"/>
      <c r="X821"/>
      <c r="Y821"/>
      <c r="AA821"/>
    </row>
    <row r="822" spans="7:27" x14ac:dyDescent="0.25">
      <c r="G822"/>
      <c r="H822"/>
      <c r="I822"/>
      <c r="K822"/>
      <c r="L822"/>
      <c r="M822"/>
      <c r="N822"/>
      <c r="O822"/>
      <c r="P822"/>
      <c r="Q822"/>
      <c r="R822"/>
      <c r="S822"/>
      <c r="T822"/>
      <c r="V822"/>
      <c r="W822"/>
      <c r="X822"/>
      <c r="Y822"/>
      <c r="AA822"/>
    </row>
    <row r="823" spans="7:27" x14ac:dyDescent="0.25">
      <c r="G823"/>
      <c r="H823"/>
      <c r="I823"/>
      <c r="K823"/>
      <c r="L823"/>
      <c r="M823"/>
      <c r="N823"/>
      <c r="O823"/>
      <c r="P823"/>
      <c r="Q823"/>
      <c r="R823"/>
      <c r="S823"/>
      <c r="T823"/>
      <c r="V823"/>
      <c r="W823"/>
      <c r="X823"/>
      <c r="Y823"/>
      <c r="AA823"/>
    </row>
    <row r="824" spans="7:27" x14ac:dyDescent="0.25">
      <c r="G824"/>
      <c r="H824"/>
      <c r="I824"/>
      <c r="K824"/>
      <c r="L824"/>
      <c r="M824"/>
      <c r="N824"/>
      <c r="O824"/>
      <c r="P824"/>
      <c r="Q824"/>
      <c r="R824"/>
      <c r="S824"/>
      <c r="T824"/>
      <c r="V824"/>
      <c r="W824"/>
      <c r="X824"/>
      <c r="Y824"/>
      <c r="AA824"/>
    </row>
    <row r="825" spans="7:27" x14ac:dyDescent="0.25">
      <c r="G825"/>
      <c r="H825"/>
      <c r="I825"/>
      <c r="K825"/>
      <c r="L825"/>
      <c r="M825"/>
      <c r="N825"/>
      <c r="O825"/>
      <c r="P825"/>
      <c r="Q825"/>
      <c r="R825"/>
      <c r="S825"/>
      <c r="T825"/>
      <c r="V825"/>
      <c r="W825"/>
      <c r="X825"/>
      <c r="Y825"/>
      <c r="AA825"/>
    </row>
    <row r="826" spans="7:27" x14ac:dyDescent="0.25">
      <c r="G826"/>
      <c r="H826"/>
      <c r="I826"/>
      <c r="K826"/>
      <c r="L826"/>
      <c r="M826"/>
      <c r="N826"/>
      <c r="O826"/>
      <c r="P826"/>
      <c r="Q826"/>
      <c r="R826"/>
      <c r="S826"/>
      <c r="T826"/>
      <c r="V826"/>
      <c r="W826"/>
      <c r="X826"/>
      <c r="Y826"/>
      <c r="AA826"/>
    </row>
    <row r="827" spans="7:27" x14ac:dyDescent="0.25">
      <c r="G827"/>
      <c r="H827"/>
      <c r="I827"/>
      <c r="K827"/>
      <c r="L827"/>
      <c r="M827"/>
      <c r="N827"/>
      <c r="O827"/>
      <c r="P827"/>
      <c r="Q827"/>
      <c r="R827"/>
      <c r="S827"/>
      <c r="T827"/>
      <c r="V827"/>
      <c r="W827"/>
      <c r="X827"/>
      <c r="Y827"/>
      <c r="AA827"/>
    </row>
    <row r="828" spans="7:27" x14ac:dyDescent="0.25">
      <c r="G828"/>
      <c r="H828"/>
      <c r="I828"/>
      <c r="K828"/>
      <c r="L828"/>
      <c r="M828"/>
      <c r="N828"/>
      <c r="O828"/>
      <c r="P828"/>
      <c r="Q828"/>
      <c r="R828"/>
      <c r="S828"/>
      <c r="T828"/>
      <c r="V828"/>
      <c r="W828"/>
      <c r="X828"/>
      <c r="Y828"/>
      <c r="AA828"/>
    </row>
    <row r="829" spans="7:27" x14ac:dyDescent="0.25">
      <c r="G829"/>
      <c r="H829"/>
      <c r="I829"/>
      <c r="K829"/>
      <c r="L829"/>
      <c r="M829"/>
      <c r="N829"/>
      <c r="O829"/>
      <c r="P829"/>
      <c r="Q829"/>
      <c r="R829"/>
      <c r="S829"/>
      <c r="T829"/>
      <c r="V829"/>
      <c r="W829"/>
      <c r="X829"/>
      <c r="Y829"/>
      <c r="AA829"/>
    </row>
    <row r="830" spans="7:27" x14ac:dyDescent="0.25">
      <c r="G830"/>
      <c r="H830"/>
      <c r="I830"/>
      <c r="K830"/>
      <c r="L830"/>
      <c r="M830"/>
      <c r="N830"/>
      <c r="O830"/>
      <c r="P830"/>
      <c r="Q830"/>
      <c r="R830"/>
      <c r="S830"/>
      <c r="T830"/>
      <c r="V830"/>
      <c r="W830"/>
      <c r="X830"/>
      <c r="Y830"/>
      <c r="AA830"/>
    </row>
    <row r="831" spans="7:27" x14ac:dyDescent="0.25">
      <c r="G831"/>
      <c r="H831"/>
      <c r="I831"/>
      <c r="K831"/>
      <c r="L831"/>
      <c r="M831"/>
      <c r="N831"/>
      <c r="O831"/>
      <c r="P831"/>
      <c r="Q831"/>
      <c r="R831"/>
      <c r="S831"/>
      <c r="T831"/>
      <c r="V831"/>
      <c r="W831"/>
      <c r="X831"/>
      <c r="Y831"/>
      <c r="AA831"/>
    </row>
    <row r="832" spans="7:27" x14ac:dyDescent="0.25">
      <c r="G832"/>
      <c r="H832"/>
      <c r="I832"/>
      <c r="K832"/>
      <c r="L832"/>
      <c r="M832"/>
      <c r="N832"/>
      <c r="O832"/>
      <c r="P832"/>
      <c r="Q832"/>
      <c r="R832"/>
      <c r="S832"/>
      <c r="T832"/>
      <c r="V832"/>
      <c r="W832"/>
      <c r="X832"/>
      <c r="Y832"/>
      <c r="AA832"/>
    </row>
    <row r="833" spans="7:27" x14ac:dyDescent="0.25">
      <c r="G833"/>
      <c r="H833"/>
      <c r="I833"/>
      <c r="K833"/>
      <c r="L833"/>
      <c r="M833"/>
      <c r="N833"/>
      <c r="O833"/>
      <c r="P833"/>
      <c r="Q833"/>
      <c r="R833"/>
      <c r="S833"/>
      <c r="T833"/>
      <c r="V833"/>
      <c r="W833"/>
      <c r="X833"/>
      <c r="Y833"/>
      <c r="AA833"/>
    </row>
    <row r="834" spans="7:27" x14ac:dyDescent="0.25">
      <c r="G834"/>
      <c r="H834"/>
      <c r="I834"/>
      <c r="K834"/>
      <c r="L834"/>
      <c r="M834"/>
      <c r="N834"/>
      <c r="O834"/>
      <c r="P834"/>
      <c r="Q834"/>
      <c r="R834"/>
      <c r="S834"/>
      <c r="T834"/>
      <c r="V834"/>
      <c r="W834"/>
      <c r="X834"/>
      <c r="Y834"/>
      <c r="AA834"/>
    </row>
    <row r="835" spans="7:27" x14ac:dyDescent="0.25">
      <c r="G835"/>
      <c r="H835"/>
      <c r="I835"/>
      <c r="K835"/>
      <c r="L835"/>
      <c r="M835"/>
      <c r="N835"/>
      <c r="O835"/>
      <c r="P835"/>
      <c r="Q835"/>
      <c r="R835"/>
      <c r="S835"/>
      <c r="T835"/>
      <c r="V835"/>
      <c r="W835"/>
      <c r="X835"/>
      <c r="Y835"/>
      <c r="AA835"/>
    </row>
    <row r="836" spans="7:27" x14ac:dyDescent="0.25">
      <c r="G836"/>
      <c r="H836"/>
      <c r="I836"/>
      <c r="K836"/>
      <c r="L836"/>
      <c r="M836"/>
      <c r="N836"/>
      <c r="O836"/>
      <c r="P836"/>
      <c r="Q836"/>
      <c r="R836"/>
      <c r="S836"/>
      <c r="T836"/>
      <c r="V836"/>
      <c r="W836"/>
      <c r="X836"/>
      <c r="Y836"/>
      <c r="AA836"/>
    </row>
    <row r="837" spans="7:27" x14ac:dyDescent="0.25">
      <c r="G837"/>
      <c r="H837"/>
      <c r="I837"/>
      <c r="K837"/>
      <c r="L837"/>
      <c r="M837"/>
      <c r="N837"/>
      <c r="O837"/>
      <c r="P837"/>
      <c r="Q837"/>
      <c r="R837"/>
      <c r="S837"/>
      <c r="T837"/>
      <c r="V837"/>
      <c r="W837"/>
      <c r="X837"/>
      <c r="Y837"/>
      <c r="AA837"/>
    </row>
    <row r="838" spans="7:27" x14ac:dyDescent="0.25">
      <c r="G838"/>
      <c r="H838"/>
      <c r="I838"/>
      <c r="K838"/>
      <c r="L838"/>
      <c r="M838"/>
      <c r="N838"/>
      <c r="O838"/>
      <c r="P838"/>
      <c r="Q838"/>
      <c r="R838"/>
      <c r="S838"/>
      <c r="T838"/>
      <c r="V838"/>
      <c r="W838"/>
      <c r="X838"/>
      <c r="Y838"/>
      <c r="AA838"/>
    </row>
    <row r="839" spans="7:27" x14ac:dyDescent="0.25">
      <c r="G839"/>
      <c r="H839"/>
      <c r="I839"/>
      <c r="K839"/>
      <c r="L839"/>
      <c r="M839"/>
      <c r="N839"/>
      <c r="O839"/>
      <c r="P839"/>
      <c r="Q839"/>
      <c r="R839"/>
      <c r="S839"/>
      <c r="T839"/>
      <c r="V839"/>
      <c r="W839"/>
      <c r="X839"/>
      <c r="Y839"/>
      <c r="AA839"/>
    </row>
    <row r="840" spans="7:27" x14ac:dyDescent="0.25">
      <c r="G840"/>
      <c r="H840"/>
      <c r="I840"/>
      <c r="K840"/>
      <c r="L840"/>
      <c r="M840"/>
      <c r="N840"/>
      <c r="O840"/>
      <c r="P840"/>
      <c r="Q840"/>
      <c r="R840"/>
      <c r="S840"/>
      <c r="T840"/>
      <c r="V840"/>
      <c r="W840"/>
      <c r="X840"/>
      <c r="Y840"/>
      <c r="AA840"/>
    </row>
    <row r="841" spans="7:27" x14ac:dyDescent="0.25">
      <c r="G841"/>
      <c r="H841"/>
      <c r="I841"/>
      <c r="K841"/>
      <c r="L841"/>
      <c r="M841"/>
      <c r="N841"/>
      <c r="O841"/>
      <c r="P841"/>
      <c r="Q841"/>
      <c r="R841"/>
      <c r="S841"/>
      <c r="T841"/>
      <c r="V841"/>
      <c r="W841"/>
      <c r="X841"/>
      <c r="Y841"/>
      <c r="AA841"/>
    </row>
    <row r="842" spans="7:27" x14ac:dyDescent="0.25">
      <c r="G842"/>
      <c r="H842"/>
      <c r="I842"/>
      <c r="K842"/>
      <c r="L842"/>
      <c r="M842"/>
      <c r="N842"/>
      <c r="O842"/>
      <c r="P842"/>
      <c r="Q842"/>
      <c r="R842"/>
      <c r="S842"/>
      <c r="T842"/>
      <c r="V842"/>
      <c r="W842"/>
      <c r="X842"/>
      <c r="Y842"/>
      <c r="AA842"/>
    </row>
    <row r="843" spans="7:27" x14ac:dyDescent="0.25">
      <c r="G843"/>
      <c r="H843"/>
      <c r="I843"/>
      <c r="K843"/>
      <c r="L843"/>
      <c r="M843"/>
      <c r="N843"/>
      <c r="O843"/>
      <c r="P843"/>
      <c r="Q843"/>
      <c r="R843"/>
      <c r="S843"/>
      <c r="T843"/>
      <c r="V843"/>
      <c r="W843"/>
      <c r="X843"/>
      <c r="Y843"/>
      <c r="AA843"/>
    </row>
    <row r="844" spans="7:27" x14ac:dyDescent="0.25">
      <c r="G844"/>
      <c r="H844"/>
      <c r="I844"/>
      <c r="K844"/>
      <c r="L844"/>
      <c r="M844"/>
      <c r="N844"/>
      <c r="O844"/>
      <c r="P844"/>
      <c r="Q844"/>
      <c r="R844"/>
      <c r="S844"/>
      <c r="T844"/>
      <c r="V844"/>
      <c r="W844"/>
      <c r="X844"/>
      <c r="Y844"/>
      <c r="AA844"/>
    </row>
    <row r="845" spans="7:27" x14ac:dyDescent="0.25">
      <c r="G845"/>
      <c r="H845"/>
      <c r="I845"/>
      <c r="K845"/>
      <c r="L845"/>
      <c r="M845"/>
      <c r="N845"/>
      <c r="O845"/>
      <c r="P845"/>
      <c r="Q845"/>
      <c r="R845"/>
      <c r="S845"/>
      <c r="T845"/>
      <c r="V845"/>
      <c r="W845"/>
      <c r="X845"/>
      <c r="Y845"/>
      <c r="AA845"/>
    </row>
    <row r="846" spans="7:27" x14ac:dyDescent="0.25">
      <c r="G846"/>
      <c r="H846"/>
      <c r="I846"/>
      <c r="K846"/>
      <c r="L846"/>
      <c r="M846"/>
      <c r="N846"/>
      <c r="O846"/>
      <c r="P846"/>
      <c r="Q846"/>
      <c r="R846"/>
      <c r="S846"/>
      <c r="T846"/>
      <c r="V846"/>
      <c r="W846"/>
      <c r="X846"/>
      <c r="Y846"/>
      <c r="AA846"/>
    </row>
    <row r="847" spans="7:27" x14ac:dyDescent="0.25">
      <c r="G847"/>
      <c r="H847"/>
      <c r="I847"/>
      <c r="K847"/>
      <c r="L847"/>
      <c r="M847"/>
      <c r="N847"/>
      <c r="O847"/>
      <c r="P847"/>
      <c r="Q847"/>
      <c r="R847"/>
      <c r="S847"/>
      <c r="T847"/>
      <c r="V847"/>
      <c r="W847"/>
      <c r="X847"/>
      <c r="Y847"/>
      <c r="AA847"/>
    </row>
    <row r="848" spans="7:27" x14ac:dyDescent="0.25">
      <c r="G848"/>
      <c r="H848"/>
      <c r="I848"/>
      <c r="K848"/>
      <c r="L848"/>
      <c r="M848"/>
      <c r="N848"/>
      <c r="O848"/>
      <c r="P848"/>
      <c r="Q848"/>
      <c r="R848"/>
      <c r="S848"/>
      <c r="T848"/>
      <c r="V848"/>
      <c r="W848"/>
      <c r="X848"/>
      <c r="Y848"/>
      <c r="AA848"/>
    </row>
    <row r="849" spans="7:27" x14ac:dyDescent="0.25">
      <c r="G849"/>
      <c r="H849"/>
      <c r="I849"/>
      <c r="K849"/>
      <c r="L849"/>
      <c r="M849"/>
      <c r="N849"/>
      <c r="O849"/>
      <c r="P849"/>
      <c r="Q849"/>
      <c r="R849"/>
      <c r="S849"/>
      <c r="T849"/>
      <c r="V849"/>
      <c r="W849"/>
      <c r="X849"/>
      <c r="Y849"/>
      <c r="AA849"/>
    </row>
    <row r="850" spans="7:27" x14ac:dyDescent="0.25">
      <c r="G850"/>
      <c r="H850"/>
      <c r="I850"/>
      <c r="K850"/>
      <c r="L850"/>
      <c r="M850"/>
      <c r="N850"/>
      <c r="O850"/>
      <c r="P850"/>
      <c r="Q850"/>
      <c r="R850"/>
      <c r="S850"/>
      <c r="T850"/>
      <c r="V850"/>
      <c r="W850"/>
      <c r="X850"/>
      <c r="Y850"/>
      <c r="AA850"/>
    </row>
    <row r="851" spans="7:27" x14ac:dyDescent="0.25">
      <c r="G851"/>
      <c r="H851"/>
      <c r="I851"/>
      <c r="K851"/>
      <c r="L851"/>
      <c r="M851"/>
      <c r="N851"/>
      <c r="O851"/>
      <c r="P851"/>
      <c r="Q851"/>
      <c r="R851"/>
      <c r="S851"/>
      <c r="T851"/>
      <c r="V851"/>
      <c r="W851"/>
      <c r="X851"/>
      <c r="Y851"/>
      <c r="AA851"/>
    </row>
    <row r="852" spans="7:27" x14ac:dyDescent="0.25">
      <c r="G852"/>
      <c r="H852"/>
      <c r="I852"/>
      <c r="K852"/>
      <c r="L852"/>
      <c r="M852"/>
      <c r="N852"/>
      <c r="O852"/>
      <c r="P852"/>
      <c r="Q852"/>
      <c r="R852"/>
      <c r="S852"/>
      <c r="T852"/>
      <c r="V852"/>
      <c r="W852"/>
      <c r="X852"/>
      <c r="Y852"/>
      <c r="AA852"/>
    </row>
    <row r="853" spans="7:27" x14ac:dyDescent="0.25">
      <c r="G853"/>
      <c r="H853"/>
      <c r="I853"/>
      <c r="K853"/>
      <c r="L853"/>
      <c r="M853"/>
      <c r="N853"/>
      <c r="O853"/>
      <c r="P853"/>
      <c r="Q853"/>
      <c r="R853"/>
      <c r="S853"/>
      <c r="T853"/>
      <c r="V853"/>
      <c r="W853"/>
      <c r="X853"/>
      <c r="Y853"/>
      <c r="AA853"/>
    </row>
    <row r="854" spans="7:27" x14ac:dyDescent="0.25">
      <c r="G854"/>
      <c r="H854"/>
      <c r="I854"/>
      <c r="K854"/>
      <c r="L854"/>
      <c r="M854"/>
      <c r="N854"/>
      <c r="O854"/>
      <c r="P854"/>
      <c r="Q854"/>
      <c r="R854"/>
      <c r="S854"/>
      <c r="T854"/>
      <c r="V854"/>
      <c r="W854"/>
      <c r="X854"/>
      <c r="Y854"/>
      <c r="AA854"/>
    </row>
    <row r="855" spans="7:27" x14ac:dyDescent="0.25">
      <c r="G855"/>
      <c r="H855"/>
      <c r="I855"/>
      <c r="K855"/>
      <c r="L855"/>
      <c r="M855"/>
      <c r="N855"/>
      <c r="O855"/>
      <c r="P855"/>
      <c r="Q855"/>
      <c r="R855"/>
      <c r="S855"/>
      <c r="T855"/>
      <c r="V855"/>
      <c r="W855"/>
      <c r="X855"/>
      <c r="Y855"/>
      <c r="AA855"/>
    </row>
    <row r="856" spans="7:27" x14ac:dyDescent="0.25">
      <c r="G856"/>
      <c r="H856"/>
      <c r="I856"/>
      <c r="K856"/>
      <c r="L856"/>
      <c r="M856"/>
      <c r="N856"/>
      <c r="O856"/>
      <c r="P856"/>
      <c r="Q856"/>
      <c r="R856"/>
      <c r="S856"/>
      <c r="T856"/>
      <c r="V856"/>
      <c r="W856"/>
      <c r="X856"/>
      <c r="Y856"/>
      <c r="AA856"/>
    </row>
    <row r="857" spans="7:27" x14ac:dyDescent="0.25">
      <c r="G857"/>
      <c r="H857"/>
      <c r="I857"/>
      <c r="K857"/>
      <c r="L857"/>
      <c r="M857"/>
      <c r="N857"/>
      <c r="O857"/>
      <c r="P857"/>
      <c r="Q857"/>
      <c r="R857"/>
      <c r="S857"/>
      <c r="T857"/>
      <c r="V857"/>
      <c r="W857"/>
      <c r="X857"/>
      <c r="Y857"/>
      <c r="AA857"/>
    </row>
    <row r="858" spans="7:27" x14ac:dyDescent="0.25">
      <c r="G858"/>
      <c r="H858"/>
      <c r="I858"/>
      <c r="K858"/>
      <c r="L858"/>
      <c r="M858"/>
      <c r="N858"/>
      <c r="O858"/>
      <c r="P858"/>
      <c r="Q858"/>
      <c r="R858"/>
      <c r="S858"/>
      <c r="T858"/>
      <c r="V858"/>
      <c r="W858"/>
      <c r="X858"/>
      <c r="Y858"/>
      <c r="AA858"/>
    </row>
    <row r="859" spans="7:27" x14ac:dyDescent="0.25">
      <c r="G859"/>
      <c r="H859"/>
      <c r="I859"/>
      <c r="K859"/>
      <c r="L859"/>
      <c r="M859"/>
      <c r="N859"/>
      <c r="O859"/>
      <c r="P859"/>
      <c r="Q859"/>
      <c r="R859"/>
      <c r="S859"/>
      <c r="T859"/>
      <c r="V859"/>
      <c r="W859"/>
      <c r="X859"/>
      <c r="Y859"/>
      <c r="AA859"/>
    </row>
    <row r="860" spans="7:27" x14ac:dyDescent="0.25">
      <c r="G860"/>
      <c r="H860"/>
      <c r="I860"/>
      <c r="K860"/>
      <c r="L860"/>
      <c r="M860"/>
      <c r="N860"/>
      <c r="O860"/>
      <c r="P860"/>
      <c r="Q860"/>
      <c r="R860"/>
      <c r="S860"/>
      <c r="T860"/>
      <c r="V860"/>
      <c r="W860"/>
      <c r="X860"/>
      <c r="Y860"/>
      <c r="AA860"/>
    </row>
    <row r="861" spans="7:27" x14ac:dyDescent="0.25">
      <c r="G861"/>
      <c r="H861"/>
      <c r="I861"/>
      <c r="K861"/>
      <c r="L861"/>
      <c r="M861"/>
      <c r="N861"/>
      <c r="O861"/>
      <c r="P861"/>
      <c r="Q861"/>
      <c r="R861"/>
      <c r="S861"/>
      <c r="T861"/>
      <c r="V861"/>
      <c r="W861"/>
      <c r="X861"/>
      <c r="Y861"/>
      <c r="AA861"/>
    </row>
    <row r="862" spans="7:27" x14ac:dyDescent="0.25">
      <c r="G862"/>
      <c r="H862"/>
      <c r="I862"/>
      <c r="K862"/>
      <c r="L862"/>
      <c r="M862"/>
      <c r="N862"/>
      <c r="O862"/>
      <c r="P862"/>
      <c r="Q862"/>
      <c r="R862"/>
      <c r="S862"/>
      <c r="T862"/>
      <c r="V862"/>
      <c r="W862"/>
      <c r="X862"/>
      <c r="Y862"/>
      <c r="AA862"/>
    </row>
    <row r="863" spans="7:27" x14ac:dyDescent="0.25">
      <c r="G863"/>
      <c r="H863"/>
      <c r="I863"/>
      <c r="K863"/>
      <c r="L863"/>
      <c r="M863"/>
      <c r="N863"/>
      <c r="O863"/>
      <c r="P863"/>
      <c r="Q863"/>
      <c r="R863"/>
      <c r="S863"/>
      <c r="T863"/>
      <c r="V863"/>
      <c r="W863"/>
      <c r="X863"/>
      <c r="Y863"/>
      <c r="AA863"/>
    </row>
    <row r="864" spans="7:27" x14ac:dyDescent="0.25">
      <c r="G864"/>
      <c r="H864"/>
      <c r="I864"/>
      <c r="K864"/>
      <c r="L864"/>
      <c r="M864"/>
      <c r="N864"/>
      <c r="O864"/>
      <c r="P864"/>
      <c r="Q864"/>
      <c r="R864"/>
      <c r="S864"/>
      <c r="T864"/>
      <c r="V864"/>
      <c r="W864"/>
      <c r="X864"/>
      <c r="Y864"/>
      <c r="AA864"/>
    </row>
    <row r="865" spans="7:27" x14ac:dyDescent="0.25">
      <c r="G865"/>
      <c r="H865"/>
      <c r="I865"/>
      <c r="K865"/>
      <c r="L865"/>
      <c r="M865"/>
      <c r="N865"/>
      <c r="O865"/>
      <c r="P865"/>
      <c r="Q865"/>
      <c r="R865"/>
      <c r="S865"/>
      <c r="T865"/>
      <c r="V865"/>
      <c r="W865"/>
      <c r="X865"/>
      <c r="Y865"/>
      <c r="AA865"/>
    </row>
    <row r="866" spans="7:27" x14ac:dyDescent="0.25">
      <c r="G866"/>
      <c r="H866"/>
      <c r="I866"/>
      <c r="K866"/>
      <c r="L866"/>
      <c r="M866"/>
      <c r="N866"/>
      <c r="O866"/>
      <c r="P866"/>
      <c r="Q866"/>
      <c r="R866"/>
      <c r="S866"/>
      <c r="T866"/>
      <c r="V866"/>
      <c r="W866"/>
      <c r="X866"/>
      <c r="Y866"/>
      <c r="AA866"/>
    </row>
    <row r="867" spans="7:27" x14ac:dyDescent="0.25">
      <c r="G867"/>
      <c r="H867"/>
      <c r="I867"/>
      <c r="K867"/>
      <c r="L867"/>
      <c r="M867"/>
      <c r="N867"/>
      <c r="O867"/>
      <c r="P867"/>
      <c r="Q867"/>
      <c r="R867"/>
      <c r="S867"/>
      <c r="T867"/>
      <c r="V867"/>
      <c r="W867"/>
      <c r="X867"/>
      <c r="Y867"/>
      <c r="AA867"/>
    </row>
    <row r="868" spans="7:27" x14ac:dyDescent="0.25">
      <c r="G868"/>
      <c r="H868"/>
      <c r="I868"/>
      <c r="K868"/>
      <c r="L868"/>
      <c r="M868"/>
      <c r="N868"/>
      <c r="O868"/>
      <c r="P868"/>
      <c r="Q868"/>
      <c r="R868"/>
      <c r="S868"/>
      <c r="T868"/>
      <c r="V868"/>
      <c r="W868"/>
      <c r="X868"/>
      <c r="Y868"/>
      <c r="AA868"/>
    </row>
    <row r="869" spans="7:27" x14ac:dyDescent="0.25">
      <c r="G869"/>
      <c r="H869"/>
      <c r="I869"/>
      <c r="K869"/>
      <c r="L869"/>
      <c r="M869"/>
      <c r="N869"/>
      <c r="O869"/>
      <c r="P869"/>
      <c r="Q869"/>
      <c r="R869"/>
      <c r="S869"/>
      <c r="T869"/>
      <c r="V869"/>
      <c r="W869"/>
      <c r="X869"/>
      <c r="Y869"/>
      <c r="AA869"/>
    </row>
    <row r="870" spans="7:27" x14ac:dyDescent="0.25">
      <c r="G870"/>
      <c r="H870"/>
      <c r="I870"/>
      <c r="K870"/>
      <c r="L870"/>
      <c r="M870"/>
      <c r="N870"/>
      <c r="O870"/>
      <c r="P870"/>
      <c r="Q870"/>
      <c r="R870"/>
      <c r="S870"/>
      <c r="T870"/>
      <c r="V870"/>
      <c r="W870"/>
      <c r="X870"/>
      <c r="Y870"/>
      <c r="AA870"/>
    </row>
    <row r="871" spans="7:27" x14ac:dyDescent="0.25">
      <c r="G871"/>
      <c r="H871"/>
      <c r="I871"/>
      <c r="K871"/>
      <c r="L871"/>
      <c r="M871"/>
      <c r="N871"/>
      <c r="O871"/>
      <c r="P871"/>
      <c r="Q871"/>
      <c r="R871"/>
      <c r="S871"/>
      <c r="T871"/>
      <c r="V871"/>
      <c r="W871"/>
      <c r="X871"/>
      <c r="Y871"/>
      <c r="AA871"/>
    </row>
    <row r="872" spans="7:27" x14ac:dyDescent="0.25">
      <c r="G872"/>
      <c r="H872"/>
      <c r="I872"/>
      <c r="K872"/>
      <c r="L872"/>
      <c r="M872"/>
      <c r="N872"/>
      <c r="O872"/>
      <c r="P872"/>
      <c r="Q872"/>
      <c r="R872"/>
      <c r="S872"/>
      <c r="T872"/>
      <c r="V872"/>
      <c r="W872"/>
      <c r="X872"/>
      <c r="Y872"/>
      <c r="AA872"/>
    </row>
    <row r="873" spans="7:27" x14ac:dyDescent="0.25">
      <c r="G873"/>
      <c r="H873"/>
      <c r="I873"/>
      <c r="K873"/>
      <c r="L873"/>
      <c r="M873"/>
      <c r="N873"/>
      <c r="O873"/>
      <c r="P873"/>
      <c r="Q873"/>
      <c r="R873"/>
      <c r="S873"/>
      <c r="T873"/>
      <c r="V873"/>
      <c r="W873"/>
      <c r="X873"/>
      <c r="Y873"/>
      <c r="AA873"/>
    </row>
    <row r="874" spans="7:27" x14ac:dyDescent="0.25">
      <c r="G874"/>
      <c r="H874"/>
      <c r="I874"/>
      <c r="K874"/>
      <c r="L874"/>
      <c r="M874"/>
      <c r="N874"/>
      <c r="O874"/>
      <c r="P874"/>
      <c r="Q874"/>
      <c r="R874"/>
      <c r="S874"/>
      <c r="T874"/>
      <c r="V874"/>
      <c r="W874"/>
      <c r="X874"/>
      <c r="Y874"/>
      <c r="AA874"/>
    </row>
    <row r="875" spans="7:27" x14ac:dyDescent="0.25">
      <c r="G875"/>
      <c r="H875"/>
      <c r="I875"/>
      <c r="K875"/>
      <c r="L875"/>
      <c r="M875"/>
      <c r="N875"/>
      <c r="O875"/>
      <c r="P875"/>
      <c r="Q875"/>
      <c r="R875"/>
      <c r="S875"/>
      <c r="T875"/>
      <c r="V875"/>
      <c r="W875"/>
      <c r="X875"/>
      <c r="Y875"/>
      <c r="AA875"/>
    </row>
    <row r="876" spans="7:27" x14ac:dyDescent="0.25">
      <c r="G876"/>
      <c r="H876"/>
      <c r="I876"/>
      <c r="K876"/>
      <c r="L876"/>
      <c r="M876"/>
      <c r="N876"/>
      <c r="O876"/>
      <c r="P876"/>
      <c r="Q876"/>
      <c r="R876"/>
      <c r="S876"/>
      <c r="T876"/>
      <c r="V876"/>
      <c r="W876"/>
      <c r="X876"/>
      <c r="Y876"/>
      <c r="AA876"/>
    </row>
    <row r="877" spans="7:27" x14ac:dyDescent="0.25">
      <c r="G877"/>
      <c r="H877"/>
      <c r="I877"/>
      <c r="K877"/>
      <c r="L877"/>
      <c r="M877"/>
      <c r="N877"/>
      <c r="O877"/>
      <c r="P877"/>
      <c r="Q877"/>
      <c r="R877"/>
      <c r="S877"/>
      <c r="T877"/>
      <c r="V877"/>
      <c r="W877"/>
      <c r="X877"/>
      <c r="Y877"/>
      <c r="AA877"/>
    </row>
    <row r="878" spans="7:27" x14ac:dyDescent="0.25">
      <c r="G878"/>
      <c r="H878"/>
      <c r="I878"/>
      <c r="K878"/>
      <c r="L878"/>
      <c r="M878"/>
      <c r="N878"/>
      <c r="O878"/>
      <c r="P878"/>
      <c r="Q878"/>
      <c r="R878"/>
      <c r="S878"/>
      <c r="T878"/>
      <c r="V878"/>
      <c r="W878"/>
      <c r="X878"/>
      <c r="Y878"/>
      <c r="AA878"/>
    </row>
    <row r="879" spans="7:27" x14ac:dyDescent="0.25">
      <c r="G879"/>
      <c r="H879"/>
      <c r="I879"/>
      <c r="K879"/>
      <c r="L879"/>
      <c r="M879"/>
      <c r="N879"/>
      <c r="O879"/>
      <c r="P879"/>
      <c r="Q879"/>
      <c r="R879"/>
      <c r="S879"/>
      <c r="T879"/>
      <c r="V879"/>
      <c r="W879"/>
      <c r="X879"/>
      <c r="Y879"/>
      <c r="AA879"/>
    </row>
    <row r="880" spans="7:27" x14ac:dyDescent="0.25">
      <c r="G880"/>
      <c r="H880"/>
      <c r="I880"/>
      <c r="K880"/>
      <c r="L880"/>
      <c r="M880"/>
      <c r="N880"/>
      <c r="O880"/>
      <c r="P880"/>
      <c r="Q880"/>
      <c r="R880"/>
      <c r="S880"/>
      <c r="T880"/>
      <c r="V880"/>
      <c r="W880"/>
      <c r="X880"/>
      <c r="Y880"/>
      <c r="AA880"/>
    </row>
    <row r="881" spans="7:27" x14ac:dyDescent="0.25">
      <c r="G881"/>
      <c r="H881"/>
      <c r="I881"/>
      <c r="K881"/>
      <c r="L881"/>
      <c r="M881"/>
      <c r="N881"/>
      <c r="O881"/>
      <c r="P881"/>
      <c r="Q881"/>
      <c r="R881"/>
      <c r="S881"/>
      <c r="T881"/>
      <c r="V881"/>
      <c r="W881"/>
      <c r="X881"/>
      <c r="Y881"/>
      <c r="AA881"/>
    </row>
    <row r="882" spans="7:27" x14ac:dyDescent="0.25">
      <c r="G882"/>
      <c r="H882"/>
      <c r="I882"/>
      <c r="K882"/>
      <c r="L882"/>
      <c r="M882"/>
      <c r="N882"/>
      <c r="O882"/>
      <c r="P882"/>
      <c r="Q882"/>
      <c r="R882"/>
      <c r="S882"/>
      <c r="T882"/>
      <c r="V882"/>
      <c r="W882"/>
      <c r="X882"/>
      <c r="Y882"/>
      <c r="AA882"/>
    </row>
    <row r="883" spans="7:27" x14ac:dyDescent="0.25">
      <c r="G883"/>
      <c r="H883"/>
      <c r="I883"/>
      <c r="K883"/>
      <c r="L883"/>
      <c r="M883"/>
      <c r="N883"/>
      <c r="O883"/>
      <c r="P883"/>
      <c r="Q883"/>
      <c r="R883"/>
      <c r="S883"/>
      <c r="T883"/>
      <c r="V883"/>
      <c r="W883"/>
      <c r="X883"/>
      <c r="Y883"/>
      <c r="AA883"/>
    </row>
    <row r="884" spans="7:27" x14ac:dyDescent="0.25">
      <c r="G884"/>
      <c r="H884"/>
      <c r="I884"/>
      <c r="K884"/>
      <c r="L884"/>
      <c r="M884"/>
      <c r="N884"/>
      <c r="O884"/>
      <c r="P884"/>
      <c r="Q884"/>
      <c r="R884"/>
      <c r="S884"/>
      <c r="T884"/>
      <c r="V884"/>
      <c r="W884"/>
      <c r="X884"/>
      <c r="Y884"/>
      <c r="AA884"/>
    </row>
    <row r="885" spans="7:27" x14ac:dyDescent="0.25">
      <c r="G885"/>
      <c r="H885"/>
      <c r="I885"/>
      <c r="K885"/>
      <c r="L885"/>
      <c r="M885"/>
      <c r="N885"/>
      <c r="O885"/>
      <c r="P885"/>
      <c r="Q885"/>
      <c r="R885"/>
      <c r="S885"/>
      <c r="T885"/>
      <c r="V885"/>
      <c r="W885"/>
      <c r="X885"/>
      <c r="Y885"/>
      <c r="AA885"/>
    </row>
    <row r="886" spans="7:27" x14ac:dyDescent="0.25">
      <c r="G886"/>
      <c r="H886"/>
      <c r="I886"/>
      <c r="K886"/>
      <c r="L886"/>
      <c r="M886"/>
      <c r="N886"/>
      <c r="O886"/>
      <c r="P886"/>
      <c r="Q886"/>
      <c r="R886"/>
      <c r="S886"/>
      <c r="T886"/>
      <c r="V886"/>
      <c r="W886"/>
      <c r="X886"/>
      <c r="Y886"/>
      <c r="AA886"/>
    </row>
    <row r="887" spans="7:27" x14ac:dyDescent="0.25">
      <c r="G887"/>
      <c r="H887"/>
      <c r="I887"/>
      <c r="K887"/>
      <c r="L887"/>
      <c r="M887"/>
      <c r="N887"/>
      <c r="O887"/>
      <c r="P887"/>
      <c r="Q887"/>
      <c r="R887"/>
      <c r="S887"/>
      <c r="T887"/>
      <c r="V887"/>
      <c r="W887"/>
      <c r="X887"/>
      <c r="Y887"/>
      <c r="AA887"/>
    </row>
    <row r="888" spans="7:27" x14ac:dyDescent="0.25">
      <c r="G888"/>
      <c r="H888"/>
      <c r="I888"/>
      <c r="K888"/>
      <c r="L888"/>
      <c r="M888"/>
      <c r="N888"/>
      <c r="O888"/>
      <c r="P888"/>
      <c r="Q888"/>
      <c r="R888"/>
      <c r="S888"/>
      <c r="T888"/>
      <c r="V888"/>
      <c r="W888"/>
      <c r="X888"/>
      <c r="Y888"/>
      <c r="AA888"/>
    </row>
    <row r="889" spans="7:27" x14ac:dyDescent="0.25">
      <c r="G889"/>
      <c r="H889"/>
      <c r="I889"/>
      <c r="K889"/>
      <c r="L889"/>
      <c r="M889"/>
      <c r="N889"/>
      <c r="O889"/>
      <c r="P889"/>
      <c r="Q889"/>
      <c r="R889"/>
      <c r="S889"/>
      <c r="T889"/>
      <c r="V889"/>
      <c r="W889"/>
      <c r="X889"/>
      <c r="Y889"/>
      <c r="AA889"/>
    </row>
    <row r="890" spans="7:27" x14ac:dyDescent="0.25">
      <c r="G890"/>
      <c r="H890"/>
      <c r="I890"/>
      <c r="K890"/>
      <c r="L890"/>
      <c r="M890"/>
      <c r="N890"/>
      <c r="O890"/>
      <c r="P890"/>
      <c r="Q890"/>
      <c r="R890"/>
      <c r="S890"/>
      <c r="T890"/>
      <c r="V890"/>
      <c r="W890"/>
      <c r="X890"/>
      <c r="Y890"/>
      <c r="AA890"/>
    </row>
    <row r="891" spans="7:27" x14ac:dyDescent="0.25">
      <c r="G891"/>
      <c r="H891"/>
      <c r="I891"/>
      <c r="K891"/>
      <c r="L891"/>
      <c r="M891"/>
      <c r="N891"/>
      <c r="O891"/>
      <c r="P891"/>
      <c r="Q891"/>
      <c r="R891"/>
      <c r="S891"/>
      <c r="T891"/>
      <c r="V891"/>
      <c r="W891"/>
      <c r="X891"/>
      <c r="Y891"/>
      <c r="AA891"/>
    </row>
    <row r="892" spans="7:27" x14ac:dyDescent="0.25">
      <c r="G892"/>
      <c r="H892"/>
      <c r="I892"/>
      <c r="K892"/>
      <c r="L892"/>
      <c r="M892"/>
      <c r="N892"/>
      <c r="O892"/>
      <c r="P892"/>
      <c r="Q892"/>
      <c r="R892"/>
      <c r="S892"/>
      <c r="T892"/>
      <c r="V892"/>
      <c r="W892"/>
      <c r="X892"/>
      <c r="Y892"/>
      <c r="AA892"/>
    </row>
    <row r="893" spans="7:27" x14ac:dyDescent="0.25">
      <c r="G893"/>
      <c r="H893"/>
      <c r="I893"/>
      <c r="K893"/>
      <c r="L893"/>
      <c r="M893"/>
      <c r="N893"/>
      <c r="O893"/>
      <c r="P893"/>
      <c r="Q893"/>
      <c r="R893"/>
      <c r="S893"/>
      <c r="T893"/>
      <c r="V893"/>
      <c r="W893"/>
      <c r="X893"/>
      <c r="Y893"/>
      <c r="AA893"/>
    </row>
    <row r="894" spans="7:27" x14ac:dyDescent="0.25">
      <c r="G894"/>
      <c r="H894"/>
      <c r="I894"/>
      <c r="K894"/>
      <c r="L894"/>
      <c r="M894"/>
      <c r="N894"/>
      <c r="O894"/>
      <c r="P894"/>
      <c r="Q894"/>
      <c r="R894"/>
      <c r="S894"/>
      <c r="T894"/>
      <c r="V894"/>
      <c r="W894"/>
      <c r="X894"/>
      <c r="Y894"/>
      <c r="AA894"/>
    </row>
    <row r="895" spans="7:27" x14ac:dyDescent="0.25">
      <c r="G895"/>
      <c r="H895"/>
      <c r="I895"/>
      <c r="K895"/>
      <c r="L895"/>
      <c r="M895"/>
      <c r="N895"/>
      <c r="O895"/>
      <c r="P895"/>
      <c r="Q895"/>
      <c r="R895"/>
      <c r="S895"/>
      <c r="T895"/>
      <c r="V895"/>
      <c r="W895"/>
      <c r="X895"/>
      <c r="Y895"/>
      <c r="AA895"/>
    </row>
    <row r="896" spans="7:27" x14ac:dyDescent="0.25">
      <c r="G896"/>
      <c r="H896"/>
      <c r="I896"/>
      <c r="K896"/>
      <c r="L896"/>
      <c r="M896"/>
      <c r="N896"/>
      <c r="O896"/>
      <c r="P896"/>
      <c r="Q896"/>
      <c r="R896"/>
      <c r="S896"/>
      <c r="T896"/>
      <c r="V896"/>
      <c r="W896"/>
      <c r="X896"/>
      <c r="Y896"/>
      <c r="AA896"/>
    </row>
    <row r="897" spans="7:27" x14ac:dyDescent="0.25">
      <c r="G897"/>
      <c r="H897"/>
      <c r="I897"/>
      <c r="K897"/>
      <c r="L897"/>
      <c r="M897"/>
      <c r="N897"/>
      <c r="O897"/>
      <c r="P897"/>
      <c r="Q897"/>
      <c r="R897"/>
      <c r="S897"/>
      <c r="T897"/>
      <c r="V897"/>
      <c r="W897"/>
      <c r="X897"/>
      <c r="Y897"/>
      <c r="AA897"/>
    </row>
    <row r="898" spans="7:27" x14ac:dyDescent="0.25">
      <c r="G898"/>
      <c r="H898"/>
      <c r="I898"/>
      <c r="K898"/>
      <c r="L898"/>
      <c r="M898"/>
      <c r="N898"/>
      <c r="O898"/>
      <c r="P898"/>
      <c r="Q898"/>
      <c r="R898"/>
      <c r="S898"/>
      <c r="T898"/>
      <c r="V898"/>
      <c r="W898"/>
      <c r="X898"/>
      <c r="Y898"/>
      <c r="AA898"/>
    </row>
    <row r="899" spans="7:27" x14ac:dyDescent="0.25">
      <c r="G899"/>
      <c r="H899"/>
      <c r="I899"/>
      <c r="K899"/>
      <c r="L899"/>
      <c r="M899"/>
      <c r="N899"/>
      <c r="O899"/>
      <c r="P899"/>
      <c r="Q899"/>
      <c r="R899"/>
      <c r="S899"/>
      <c r="T899"/>
      <c r="V899"/>
      <c r="W899"/>
      <c r="X899"/>
      <c r="Y899"/>
      <c r="AA899"/>
    </row>
    <row r="900" spans="7:27" x14ac:dyDescent="0.25">
      <c r="G900"/>
      <c r="H900"/>
      <c r="I900"/>
      <c r="K900"/>
      <c r="L900"/>
      <c r="M900"/>
      <c r="N900"/>
      <c r="O900"/>
      <c r="P900"/>
      <c r="Q900"/>
      <c r="R900"/>
      <c r="S900"/>
      <c r="T900"/>
      <c r="V900"/>
      <c r="W900"/>
      <c r="X900"/>
      <c r="Y900"/>
      <c r="AA900"/>
    </row>
    <row r="901" spans="7:27" x14ac:dyDescent="0.25">
      <c r="G901"/>
      <c r="H901"/>
      <c r="I901"/>
      <c r="K901"/>
      <c r="L901"/>
      <c r="M901"/>
      <c r="N901"/>
      <c r="O901"/>
      <c r="P901"/>
      <c r="Q901"/>
      <c r="R901"/>
      <c r="S901"/>
      <c r="T901"/>
      <c r="V901"/>
      <c r="W901"/>
      <c r="X901"/>
      <c r="Y901"/>
      <c r="AA901"/>
    </row>
    <row r="902" spans="7:27" x14ac:dyDescent="0.25">
      <c r="G902"/>
      <c r="H902"/>
      <c r="I902"/>
      <c r="K902"/>
      <c r="L902"/>
      <c r="M902"/>
      <c r="N902"/>
      <c r="O902"/>
      <c r="P902"/>
      <c r="Q902"/>
      <c r="R902"/>
      <c r="S902"/>
      <c r="T902"/>
      <c r="V902"/>
      <c r="W902"/>
      <c r="X902"/>
      <c r="Y902"/>
      <c r="AA902"/>
    </row>
    <row r="903" spans="7:27" x14ac:dyDescent="0.25">
      <c r="G903"/>
      <c r="H903"/>
      <c r="I903"/>
      <c r="K903"/>
      <c r="L903"/>
      <c r="M903"/>
      <c r="N903"/>
      <c r="O903"/>
      <c r="P903"/>
      <c r="Q903"/>
      <c r="R903"/>
      <c r="S903"/>
      <c r="T903"/>
      <c r="V903"/>
      <c r="W903"/>
      <c r="X903"/>
      <c r="Y903"/>
      <c r="AA903"/>
    </row>
    <row r="904" spans="7:27" x14ac:dyDescent="0.25">
      <c r="G904"/>
      <c r="H904"/>
      <c r="I904"/>
      <c r="K904"/>
      <c r="L904"/>
      <c r="M904"/>
      <c r="N904"/>
      <c r="O904"/>
      <c r="P904"/>
      <c r="Q904"/>
      <c r="R904"/>
      <c r="S904"/>
      <c r="T904"/>
      <c r="V904"/>
      <c r="W904"/>
      <c r="X904"/>
      <c r="Y904"/>
      <c r="AA904"/>
    </row>
    <row r="905" spans="7:27" x14ac:dyDescent="0.25">
      <c r="G905"/>
      <c r="H905"/>
      <c r="I905"/>
      <c r="K905"/>
      <c r="L905"/>
      <c r="M905"/>
      <c r="N905"/>
      <c r="O905"/>
      <c r="P905"/>
      <c r="Q905"/>
      <c r="R905"/>
      <c r="S905"/>
      <c r="T905"/>
      <c r="V905"/>
      <c r="W905"/>
      <c r="X905"/>
      <c r="Y905"/>
      <c r="AA905"/>
    </row>
    <row r="906" spans="7:27" x14ac:dyDescent="0.25">
      <c r="G906"/>
      <c r="H906"/>
      <c r="I906"/>
      <c r="K906"/>
      <c r="L906"/>
      <c r="M906"/>
      <c r="N906"/>
      <c r="O906"/>
      <c r="P906"/>
      <c r="Q906"/>
      <c r="R906"/>
      <c r="S906"/>
      <c r="T906"/>
      <c r="V906"/>
      <c r="W906"/>
      <c r="X906"/>
      <c r="Y906"/>
      <c r="AA906"/>
    </row>
    <row r="907" spans="7:27" x14ac:dyDescent="0.25">
      <c r="G907"/>
      <c r="H907"/>
      <c r="I907"/>
      <c r="K907"/>
      <c r="L907"/>
      <c r="M907"/>
      <c r="N907"/>
      <c r="O907"/>
      <c r="P907"/>
      <c r="Q907"/>
      <c r="R907"/>
      <c r="S907"/>
      <c r="T907"/>
      <c r="V907"/>
      <c r="W907"/>
      <c r="X907"/>
      <c r="Y907"/>
      <c r="AA907"/>
    </row>
    <row r="908" spans="7:27" x14ac:dyDescent="0.25">
      <c r="G908"/>
      <c r="H908"/>
      <c r="I908"/>
      <c r="K908"/>
      <c r="L908"/>
      <c r="M908"/>
      <c r="N908"/>
      <c r="O908"/>
      <c r="P908"/>
      <c r="Q908"/>
      <c r="R908"/>
      <c r="S908"/>
      <c r="T908"/>
      <c r="V908"/>
      <c r="W908"/>
      <c r="X908"/>
      <c r="Y908"/>
      <c r="AA908"/>
    </row>
    <row r="909" spans="7:27" x14ac:dyDescent="0.25">
      <c r="G909"/>
      <c r="H909"/>
      <c r="I909"/>
      <c r="K909"/>
      <c r="L909"/>
      <c r="M909"/>
      <c r="N909"/>
      <c r="O909"/>
      <c r="P909"/>
      <c r="Q909"/>
      <c r="R909"/>
      <c r="S909"/>
      <c r="T909"/>
      <c r="V909"/>
      <c r="W909"/>
      <c r="X909"/>
      <c r="Y909"/>
      <c r="AA909"/>
    </row>
    <row r="910" spans="7:27" x14ac:dyDescent="0.25">
      <c r="G910"/>
      <c r="H910"/>
      <c r="I910"/>
      <c r="K910"/>
      <c r="L910"/>
      <c r="M910"/>
      <c r="N910"/>
      <c r="O910"/>
      <c r="P910"/>
      <c r="Q910"/>
      <c r="R910"/>
      <c r="S910"/>
      <c r="T910"/>
      <c r="V910"/>
      <c r="W910"/>
      <c r="X910"/>
      <c r="Y910"/>
      <c r="AA910"/>
    </row>
    <row r="911" spans="7:27" x14ac:dyDescent="0.25">
      <c r="G911"/>
      <c r="H911"/>
      <c r="I911"/>
      <c r="K911"/>
      <c r="L911"/>
      <c r="M911"/>
      <c r="N911"/>
      <c r="O911"/>
      <c r="P911"/>
      <c r="Q911"/>
      <c r="R911"/>
      <c r="S911"/>
      <c r="T911"/>
      <c r="V911"/>
      <c r="W911"/>
      <c r="X911"/>
      <c r="Y911"/>
      <c r="AA911"/>
    </row>
    <row r="912" spans="7:27" x14ac:dyDescent="0.25">
      <c r="G912"/>
      <c r="H912"/>
      <c r="I912"/>
      <c r="K912"/>
      <c r="L912"/>
      <c r="M912"/>
      <c r="N912"/>
      <c r="O912"/>
      <c r="P912"/>
      <c r="Q912"/>
      <c r="R912"/>
      <c r="S912"/>
      <c r="T912"/>
      <c r="V912"/>
      <c r="W912"/>
      <c r="X912"/>
      <c r="Y912"/>
      <c r="AA912"/>
    </row>
    <row r="913" spans="7:27" x14ac:dyDescent="0.25">
      <c r="G913"/>
      <c r="H913"/>
      <c r="I913"/>
      <c r="K913"/>
      <c r="L913"/>
      <c r="M913"/>
      <c r="N913"/>
      <c r="O913"/>
      <c r="P913"/>
      <c r="Q913"/>
      <c r="R913"/>
      <c r="S913"/>
      <c r="T913"/>
      <c r="V913"/>
      <c r="W913"/>
      <c r="X913"/>
      <c r="Y913"/>
      <c r="AA913"/>
    </row>
    <row r="914" spans="7:27" x14ac:dyDescent="0.25">
      <c r="G914"/>
      <c r="H914"/>
      <c r="I914"/>
      <c r="K914"/>
      <c r="L914"/>
      <c r="M914"/>
      <c r="N914"/>
      <c r="O914"/>
      <c r="P914"/>
      <c r="Q914"/>
      <c r="R914"/>
      <c r="S914"/>
      <c r="T914"/>
      <c r="V914"/>
      <c r="W914"/>
      <c r="X914"/>
      <c r="Y914"/>
      <c r="AA914"/>
    </row>
    <row r="915" spans="7:27" x14ac:dyDescent="0.25">
      <c r="G915"/>
      <c r="H915"/>
      <c r="I915"/>
      <c r="K915"/>
      <c r="L915"/>
      <c r="M915"/>
      <c r="N915"/>
      <c r="O915"/>
      <c r="P915"/>
      <c r="Q915"/>
      <c r="R915"/>
      <c r="S915"/>
      <c r="T915"/>
      <c r="V915"/>
      <c r="W915"/>
      <c r="X915"/>
      <c r="Y915"/>
      <c r="AA915"/>
    </row>
    <row r="916" spans="7:27" x14ac:dyDescent="0.25">
      <c r="G916"/>
      <c r="H916"/>
      <c r="I916"/>
      <c r="K916"/>
      <c r="L916"/>
      <c r="M916"/>
      <c r="N916"/>
      <c r="O916"/>
      <c r="P916"/>
      <c r="Q916"/>
      <c r="R916"/>
      <c r="S916"/>
      <c r="T916"/>
      <c r="V916"/>
      <c r="W916"/>
      <c r="X916"/>
      <c r="Y916"/>
      <c r="AA916"/>
    </row>
    <row r="917" spans="7:27" x14ac:dyDescent="0.25">
      <c r="G917"/>
      <c r="H917"/>
      <c r="I917"/>
      <c r="K917"/>
      <c r="L917"/>
      <c r="M917"/>
      <c r="N917"/>
      <c r="O917"/>
      <c r="P917"/>
      <c r="Q917"/>
      <c r="R917"/>
      <c r="S917"/>
      <c r="T917"/>
      <c r="V917"/>
      <c r="W917"/>
      <c r="X917"/>
      <c r="Y917"/>
      <c r="AA917"/>
    </row>
    <row r="918" spans="7:27" x14ac:dyDescent="0.25">
      <c r="G918"/>
      <c r="H918"/>
      <c r="I918"/>
      <c r="K918"/>
      <c r="L918"/>
      <c r="M918"/>
      <c r="N918"/>
      <c r="O918"/>
      <c r="P918"/>
      <c r="Q918"/>
      <c r="R918"/>
      <c r="S918"/>
      <c r="T918"/>
      <c r="V918"/>
      <c r="W918"/>
      <c r="X918"/>
      <c r="Y918"/>
      <c r="AA918"/>
    </row>
    <row r="919" spans="7:27" x14ac:dyDescent="0.25">
      <c r="G919"/>
      <c r="H919"/>
      <c r="I919"/>
      <c r="K919"/>
      <c r="L919"/>
      <c r="M919"/>
      <c r="N919"/>
      <c r="O919"/>
      <c r="P919"/>
      <c r="Q919"/>
      <c r="R919"/>
      <c r="S919"/>
      <c r="T919"/>
      <c r="V919"/>
      <c r="W919"/>
      <c r="X919"/>
      <c r="Y919"/>
      <c r="AA919"/>
    </row>
    <row r="920" spans="7:27" x14ac:dyDescent="0.25">
      <c r="G920"/>
      <c r="H920"/>
      <c r="I920"/>
      <c r="K920"/>
      <c r="L920"/>
      <c r="M920"/>
      <c r="N920"/>
      <c r="O920"/>
      <c r="P920"/>
      <c r="Q920"/>
      <c r="R920"/>
      <c r="S920"/>
      <c r="T920"/>
      <c r="V920"/>
      <c r="W920"/>
      <c r="X920"/>
      <c r="Y920"/>
      <c r="AA920"/>
    </row>
    <row r="921" spans="7:27" x14ac:dyDescent="0.25">
      <c r="G921"/>
      <c r="H921"/>
      <c r="I921"/>
      <c r="K921"/>
      <c r="L921"/>
      <c r="M921"/>
      <c r="N921"/>
      <c r="O921"/>
      <c r="P921"/>
      <c r="Q921"/>
      <c r="R921"/>
      <c r="S921"/>
      <c r="T921"/>
      <c r="V921"/>
      <c r="W921"/>
      <c r="X921"/>
      <c r="Y921"/>
      <c r="AA921"/>
    </row>
    <row r="922" spans="7:27" x14ac:dyDescent="0.25">
      <c r="G922"/>
      <c r="H922"/>
      <c r="I922"/>
      <c r="K922"/>
      <c r="L922"/>
      <c r="M922"/>
      <c r="N922"/>
      <c r="O922"/>
      <c r="P922"/>
      <c r="Q922"/>
      <c r="R922"/>
      <c r="S922"/>
      <c r="T922"/>
      <c r="V922"/>
      <c r="W922"/>
      <c r="X922"/>
      <c r="Y922"/>
      <c r="AA922"/>
    </row>
    <row r="923" spans="7:27" x14ac:dyDescent="0.25">
      <c r="G923"/>
      <c r="H923"/>
      <c r="I923"/>
      <c r="K923"/>
      <c r="L923"/>
      <c r="M923"/>
      <c r="N923"/>
      <c r="O923"/>
      <c r="P923"/>
      <c r="Q923"/>
      <c r="R923"/>
      <c r="S923"/>
      <c r="T923"/>
      <c r="V923"/>
      <c r="W923"/>
      <c r="X923"/>
      <c r="Y923"/>
      <c r="AA923"/>
    </row>
    <row r="924" spans="7:27" x14ac:dyDescent="0.25">
      <c r="G924"/>
      <c r="H924"/>
      <c r="I924"/>
      <c r="K924"/>
      <c r="L924"/>
      <c r="M924"/>
      <c r="N924"/>
      <c r="O924"/>
      <c r="P924"/>
      <c r="Q924"/>
      <c r="R924"/>
      <c r="S924"/>
      <c r="T924"/>
      <c r="V924"/>
      <c r="W924"/>
      <c r="X924"/>
      <c r="Y924"/>
      <c r="AA924"/>
    </row>
    <row r="925" spans="7:27" x14ac:dyDescent="0.25">
      <c r="G925"/>
      <c r="H925"/>
      <c r="I925"/>
      <c r="K925"/>
      <c r="L925"/>
      <c r="M925"/>
      <c r="N925"/>
      <c r="O925"/>
      <c r="P925"/>
      <c r="Q925"/>
      <c r="R925"/>
      <c r="S925"/>
      <c r="T925"/>
      <c r="V925"/>
      <c r="W925"/>
      <c r="X925"/>
      <c r="Y925"/>
      <c r="AA925"/>
    </row>
    <row r="926" spans="7:27" x14ac:dyDescent="0.25">
      <c r="G926"/>
      <c r="H926"/>
      <c r="I926"/>
      <c r="K926"/>
      <c r="L926"/>
      <c r="M926"/>
      <c r="N926"/>
      <c r="O926"/>
      <c r="P926"/>
      <c r="Q926"/>
      <c r="R926"/>
      <c r="S926"/>
      <c r="T926"/>
      <c r="V926"/>
      <c r="W926"/>
      <c r="X926"/>
      <c r="Y926"/>
      <c r="AA926"/>
    </row>
    <row r="927" spans="7:27" x14ac:dyDescent="0.25">
      <c r="G927"/>
      <c r="H927"/>
      <c r="I927"/>
      <c r="K927"/>
      <c r="L927"/>
      <c r="M927"/>
      <c r="N927"/>
      <c r="O927"/>
      <c r="P927"/>
      <c r="Q927"/>
      <c r="R927"/>
      <c r="S927"/>
      <c r="T927"/>
      <c r="V927"/>
      <c r="W927"/>
      <c r="X927"/>
      <c r="Y927"/>
      <c r="AA927"/>
    </row>
    <row r="928" spans="7:27" x14ac:dyDescent="0.25">
      <c r="G928"/>
      <c r="H928"/>
      <c r="I928"/>
      <c r="K928"/>
      <c r="L928"/>
      <c r="M928"/>
      <c r="N928"/>
      <c r="O928"/>
      <c r="P928"/>
      <c r="Q928"/>
      <c r="R928"/>
      <c r="S928"/>
      <c r="T928"/>
      <c r="V928"/>
      <c r="W928"/>
      <c r="X928"/>
      <c r="Y928"/>
      <c r="AA928"/>
    </row>
    <row r="929" spans="7:27" x14ac:dyDescent="0.25">
      <c r="G929"/>
      <c r="H929"/>
      <c r="I929"/>
      <c r="K929"/>
      <c r="L929"/>
      <c r="M929"/>
      <c r="N929"/>
      <c r="O929"/>
      <c r="P929"/>
      <c r="Q929"/>
      <c r="R929"/>
      <c r="S929"/>
      <c r="T929"/>
      <c r="V929"/>
      <c r="W929"/>
      <c r="X929"/>
      <c r="Y929"/>
      <c r="AA929"/>
    </row>
    <row r="930" spans="7:27" x14ac:dyDescent="0.25">
      <c r="G930"/>
      <c r="H930"/>
      <c r="I930"/>
      <c r="K930"/>
      <c r="L930"/>
      <c r="M930"/>
      <c r="N930"/>
      <c r="O930"/>
      <c r="P930"/>
      <c r="Q930"/>
      <c r="R930"/>
      <c r="S930"/>
      <c r="T930"/>
      <c r="V930"/>
      <c r="W930"/>
      <c r="X930"/>
      <c r="Y930"/>
      <c r="AA930"/>
    </row>
    <row r="931" spans="7:27" x14ac:dyDescent="0.25">
      <c r="G931"/>
      <c r="H931"/>
      <c r="I931"/>
      <c r="K931"/>
      <c r="L931"/>
      <c r="M931"/>
      <c r="N931"/>
      <c r="O931"/>
      <c r="P931"/>
      <c r="Q931"/>
      <c r="R931"/>
      <c r="S931"/>
      <c r="T931"/>
      <c r="V931"/>
      <c r="W931"/>
      <c r="X931"/>
      <c r="Y931"/>
      <c r="AA931"/>
    </row>
    <row r="932" spans="7:27" x14ac:dyDescent="0.25">
      <c r="G932"/>
      <c r="H932"/>
      <c r="I932"/>
      <c r="K932"/>
      <c r="L932"/>
      <c r="M932"/>
      <c r="N932"/>
      <c r="O932"/>
      <c r="P932"/>
      <c r="Q932"/>
      <c r="R932"/>
      <c r="S932"/>
      <c r="T932"/>
      <c r="V932"/>
      <c r="W932"/>
      <c r="X932"/>
      <c r="Y932"/>
      <c r="AA932"/>
    </row>
    <row r="933" spans="7:27" x14ac:dyDescent="0.25">
      <c r="G933"/>
      <c r="H933"/>
      <c r="I933"/>
      <c r="K933"/>
      <c r="L933"/>
      <c r="M933"/>
      <c r="N933"/>
      <c r="O933"/>
      <c r="P933"/>
      <c r="Q933"/>
      <c r="R933"/>
      <c r="S933"/>
      <c r="T933"/>
      <c r="V933"/>
      <c r="W933"/>
      <c r="X933"/>
      <c r="Y933"/>
      <c r="AA933"/>
    </row>
    <row r="934" spans="7:27" x14ac:dyDescent="0.25">
      <c r="G934"/>
      <c r="H934"/>
      <c r="I934"/>
      <c r="K934"/>
      <c r="L934"/>
      <c r="M934"/>
      <c r="N934"/>
      <c r="O934"/>
      <c r="P934"/>
      <c r="Q934"/>
      <c r="R934"/>
      <c r="S934"/>
      <c r="T934"/>
      <c r="V934"/>
      <c r="W934"/>
      <c r="X934"/>
      <c r="Y934"/>
      <c r="AA934"/>
    </row>
    <row r="935" spans="7:27" x14ac:dyDescent="0.25">
      <c r="G935"/>
      <c r="H935"/>
      <c r="I935"/>
      <c r="K935"/>
      <c r="L935"/>
      <c r="M935"/>
      <c r="N935"/>
      <c r="O935"/>
      <c r="P935"/>
      <c r="Q935"/>
      <c r="R935"/>
      <c r="S935"/>
      <c r="T935"/>
      <c r="V935"/>
      <c r="W935"/>
      <c r="X935"/>
      <c r="Y935"/>
      <c r="AA935"/>
    </row>
    <row r="936" spans="7:27" x14ac:dyDescent="0.25">
      <c r="G936"/>
      <c r="H936"/>
      <c r="I936"/>
      <c r="K936"/>
      <c r="L936"/>
      <c r="M936"/>
      <c r="N936"/>
      <c r="O936"/>
      <c r="P936"/>
      <c r="Q936"/>
      <c r="R936"/>
      <c r="S936"/>
      <c r="T936"/>
      <c r="V936"/>
      <c r="W936"/>
      <c r="X936"/>
      <c r="Y936"/>
      <c r="AA936"/>
    </row>
    <row r="937" spans="7:27" x14ac:dyDescent="0.25">
      <c r="G937"/>
      <c r="H937"/>
      <c r="I937"/>
      <c r="K937"/>
      <c r="L937"/>
      <c r="M937"/>
      <c r="N937"/>
      <c r="O937"/>
      <c r="P937"/>
      <c r="Q937"/>
      <c r="R937"/>
      <c r="S937"/>
      <c r="T937"/>
      <c r="V937"/>
      <c r="W937"/>
      <c r="X937"/>
      <c r="Y937"/>
      <c r="AA937"/>
    </row>
    <row r="938" spans="7:27" x14ac:dyDescent="0.25">
      <c r="G938"/>
      <c r="H938"/>
      <c r="I938"/>
      <c r="K938"/>
      <c r="L938"/>
      <c r="M938"/>
      <c r="N938"/>
      <c r="O938"/>
      <c r="P938"/>
      <c r="Q938"/>
      <c r="R938"/>
      <c r="S938"/>
      <c r="T938"/>
      <c r="V938"/>
      <c r="W938"/>
      <c r="X938"/>
      <c r="Y938"/>
      <c r="AA938"/>
    </row>
    <row r="939" spans="7:27" x14ac:dyDescent="0.25">
      <c r="G939"/>
      <c r="H939"/>
      <c r="I939"/>
      <c r="K939"/>
      <c r="L939"/>
      <c r="M939"/>
      <c r="N939"/>
      <c r="O939"/>
      <c r="P939"/>
      <c r="Q939"/>
      <c r="R939"/>
      <c r="S939"/>
      <c r="T939"/>
      <c r="V939"/>
      <c r="W939"/>
      <c r="X939"/>
      <c r="Y939"/>
      <c r="AA939"/>
    </row>
    <row r="940" spans="7:27" x14ac:dyDescent="0.25">
      <c r="G940"/>
      <c r="H940"/>
      <c r="I940"/>
      <c r="K940"/>
      <c r="L940"/>
      <c r="M940"/>
      <c r="N940"/>
      <c r="O940"/>
      <c r="P940"/>
      <c r="Q940"/>
      <c r="R940"/>
      <c r="S940"/>
      <c r="T940"/>
      <c r="V940"/>
      <c r="W940"/>
      <c r="X940"/>
      <c r="Y940"/>
      <c r="AA940"/>
    </row>
    <row r="941" spans="7:27" x14ac:dyDescent="0.25">
      <c r="G941"/>
      <c r="H941"/>
      <c r="I941"/>
      <c r="K941"/>
      <c r="L941"/>
      <c r="M941"/>
      <c r="N941"/>
      <c r="O941"/>
      <c r="P941"/>
      <c r="Q941"/>
      <c r="R941"/>
      <c r="S941"/>
      <c r="T941"/>
      <c r="V941"/>
      <c r="W941"/>
      <c r="X941"/>
      <c r="Y941"/>
      <c r="AA941"/>
    </row>
    <row r="942" spans="7:27" x14ac:dyDescent="0.25">
      <c r="G942"/>
      <c r="H942"/>
      <c r="I942"/>
      <c r="K942"/>
      <c r="L942"/>
      <c r="M942"/>
      <c r="N942"/>
      <c r="O942"/>
      <c r="P942"/>
      <c r="Q942"/>
      <c r="R942"/>
      <c r="S942"/>
      <c r="T942"/>
      <c r="V942"/>
      <c r="W942"/>
      <c r="X942"/>
      <c r="Y942"/>
      <c r="AA942"/>
    </row>
    <row r="943" spans="7:27" x14ac:dyDescent="0.25">
      <c r="G943"/>
      <c r="H943"/>
      <c r="I943"/>
      <c r="K943"/>
      <c r="L943"/>
      <c r="M943"/>
      <c r="N943"/>
      <c r="O943"/>
      <c r="P943"/>
      <c r="Q943"/>
      <c r="R943"/>
      <c r="S943"/>
      <c r="T943"/>
      <c r="V943"/>
      <c r="W943"/>
      <c r="X943"/>
      <c r="Y943"/>
      <c r="AA943"/>
    </row>
    <row r="944" spans="7:27" x14ac:dyDescent="0.25">
      <c r="G944"/>
      <c r="H944"/>
      <c r="I944"/>
      <c r="K944"/>
      <c r="L944"/>
      <c r="M944"/>
      <c r="N944"/>
      <c r="O944"/>
      <c r="P944"/>
      <c r="Q944"/>
      <c r="R944"/>
      <c r="S944"/>
      <c r="T944"/>
      <c r="V944"/>
      <c r="W944"/>
      <c r="X944"/>
      <c r="Y944"/>
      <c r="AA944"/>
    </row>
    <row r="945" spans="7:27" x14ac:dyDescent="0.25">
      <c r="G945"/>
      <c r="H945"/>
      <c r="I945"/>
      <c r="K945"/>
      <c r="L945"/>
      <c r="M945"/>
      <c r="N945"/>
      <c r="O945"/>
      <c r="P945"/>
      <c r="Q945"/>
      <c r="R945"/>
      <c r="S945"/>
      <c r="T945"/>
      <c r="V945"/>
      <c r="W945"/>
      <c r="X945"/>
      <c r="Y945"/>
      <c r="AA945"/>
    </row>
    <row r="946" spans="7:27" x14ac:dyDescent="0.25">
      <c r="G946"/>
      <c r="H946"/>
      <c r="I946"/>
      <c r="K946"/>
      <c r="L946"/>
      <c r="M946"/>
      <c r="N946"/>
      <c r="O946"/>
      <c r="P946"/>
      <c r="Q946"/>
      <c r="R946"/>
      <c r="S946"/>
      <c r="T946"/>
      <c r="V946"/>
      <c r="W946"/>
      <c r="X946"/>
      <c r="Y946"/>
      <c r="AA946"/>
    </row>
    <row r="947" spans="7:27" x14ac:dyDescent="0.25">
      <c r="G947"/>
      <c r="H947"/>
      <c r="I947"/>
      <c r="K947"/>
      <c r="L947"/>
      <c r="M947"/>
      <c r="N947"/>
      <c r="O947"/>
      <c r="P947"/>
      <c r="Q947"/>
      <c r="R947"/>
      <c r="S947"/>
      <c r="T947"/>
      <c r="V947"/>
      <c r="W947"/>
      <c r="X947"/>
      <c r="Y947"/>
      <c r="AA947"/>
    </row>
    <row r="948" spans="7:27" x14ac:dyDescent="0.25">
      <c r="G948"/>
      <c r="H948"/>
      <c r="I948"/>
      <c r="K948"/>
      <c r="L948"/>
      <c r="M948"/>
      <c r="N948"/>
      <c r="O948"/>
      <c r="P948"/>
      <c r="Q948"/>
      <c r="R948"/>
      <c r="S948"/>
      <c r="T948"/>
      <c r="V948"/>
      <c r="W948"/>
      <c r="X948"/>
      <c r="Y948"/>
      <c r="AA948"/>
    </row>
    <row r="949" spans="7:27" x14ac:dyDescent="0.25">
      <c r="G949"/>
      <c r="H949"/>
      <c r="I949"/>
      <c r="K949"/>
      <c r="L949"/>
      <c r="M949"/>
      <c r="N949"/>
      <c r="O949"/>
      <c r="P949"/>
      <c r="Q949"/>
      <c r="R949"/>
      <c r="S949"/>
      <c r="T949"/>
      <c r="V949"/>
      <c r="W949"/>
      <c r="X949"/>
      <c r="Y949"/>
      <c r="AA949"/>
    </row>
    <row r="950" spans="7:27" x14ac:dyDescent="0.25">
      <c r="G950"/>
      <c r="H950"/>
      <c r="I950"/>
      <c r="K950"/>
      <c r="L950"/>
      <c r="M950"/>
      <c r="N950"/>
      <c r="O950"/>
      <c r="P950"/>
      <c r="Q950"/>
      <c r="R950"/>
      <c r="S950"/>
      <c r="T950"/>
      <c r="V950"/>
      <c r="W950"/>
      <c r="X950"/>
      <c r="Y950"/>
      <c r="AA950"/>
    </row>
    <row r="951" spans="7:27" x14ac:dyDescent="0.25">
      <c r="G951"/>
      <c r="H951"/>
      <c r="I951"/>
      <c r="K951"/>
      <c r="L951"/>
      <c r="M951"/>
      <c r="N951"/>
      <c r="O951"/>
      <c r="P951"/>
      <c r="Q951"/>
      <c r="R951"/>
      <c r="S951"/>
      <c r="T951"/>
      <c r="V951"/>
      <c r="W951"/>
      <c r="X951"/>
      <c r="Y951"/>
      <c r="AA951"/>
    </row>
    <row r="952" spans="7:27" x14ac:dyDescent="0.25">
      <c r="G952"/>
      <c r="H952"/>
      <c r="I952"/>
      <c r="K952"/>
      <c r="L952"/>
      <c r="M952"/>
      <c r="N952"/>
      <c r="O952"/>
      <c r="P952"/>
      <c r="Q952"/>
      <c r="R952"/>
      <c r="S952"/>
      <c r="T952"/>
      <c r="V952"/>
      <c r="W952"/>
      <c r="X952"/>
      <c r="Y952"/>
      <c r="AA952"/>
    </row>
    <row r="953" spans="7:27" x14ac:dyDescent="0.25">
      <c r="G953"/>
      <c r="H953"/>
      <c r="I953"/>
      <c r="K953"/>
      <c r="L953"/>
      <c r="M953"/>
      <c r="N953"/>
      <c r="O953"/>
      <c r="P953"/>
      <c r="Q953"/>
      <c r="R953"/>
      <c r="S953"/>
      <c r="T953"/>
      <c r="V953"/>
      <c r="W953"/>
      <c r="X953"/>
      <c r="Y953"/>
      <c r="AA953"/>
    </row>
    <row r="954" spans="7:27" x14ac:dyDescent="0.25">
      <c r="G954"/>
      <c r="H954"/>
      <c r="I954"/>
      <c r="K954"/>
      <c r="L954"/>
      <c r="M954"/>
      <c r="N954"/>
      <c r="O954"/>
      <c r="P954"/>
      <c r="Q954"/>
      <c r="R954"/>
      <c r="S954"/>
      <c r="T954"/>
      <c r="V954"/>
      <c r="W954"/>
      <c r="X954"/>
      <c r="Y954"/>
      <c r="AA954"/>
    </row>
    <row r="955" spans="7:27" x14ac:dyDescent="0.25">
      <c r="G955"/>
      <c r="H955"/>
      <c r="I955"/>
      <c r="K955"/>
      <c r="L955"/>
      <c r="M955"/>
      <c r="N955"/>
      <c r="O955"/>
      <c r="P955"/>
      <c r="Q955"/>
      <c r="R955"/>
      <c r="S955"/>
      <c r="T955"/>
      <c r="V955"/>
      <c r="W955"/>
      <c r="X955"/>
      <c r="Y955"/>
      <c r="AA955"/>
    </row>
    <row r="956" spans="7:27" x14ac:dyDescent="0.25">
      <c r="G956"/>
      <c r="H956"/>
      <c r="I956"/>
      <c r="K956"/>
      <c r="L956"/>
      <c r="M956"/>
      <c r="N956"/>
      <c r="O956"/>
      <c r="P956"/>
      <c r="Q956"/>
      <c r="R956"/>
      <c r="S956"/>
      <c r="T956"/>
      <c r="V956"/>
      <c r="W956"/>
      <c r="X956"/>
      <c r="Y956"/>
      <c r="AA956"/>
    </row>
    <row r="957" spans="7:27" x14ac:dyDescent="0.25">
      <c r="G957"/>
      <c r="H957"/>
      <c r="I957"/>
      <c r="K957"/>
      <c r="L957"/>
      <c r="M957"/>
      <c r="N957"/>
      <c r="O957"/>
      <c r="P957"/>
      <c r="Q957"/>
      <c r="R957"/>
      <c r="S957"/>
      <c r="T957"/>
      <c r="V957"/>
      <c r="W957"/>
      <c r="X957"/>
      <c r="Y957"/>
      <c r="AA957"/>
    </row>
    <row r="958" spans="7:27" x14ac:dyDescent="0.25">
      <c r="G958"/>
      <c r="H958"/>
      <c r="I958"/>
      <c r="K958"/>
      <c r="L958"/>
      <c r="M958"/>
      <c r="N958"/>
      <c r="O958"/>
      <c r="P958"/>
      <c r="Q958"/>
      <c r="R958"/>
      <c r="S958"/>
      <c r="T958"/>
      <c r="V958"/>
      <c r="W958"/>
      <c r="X958"/>
      <c r="Y958"/>
      <c r="AA958"/>
    </row>
    <row r="959" spans="7:27" x14ac:dyDescent="0.25">
      <c r="G959"/>
      <c r="H959"/>
      <c r="I959"/>
      <c r="K959"/>
      <c r="L959"/>
      <c r="M959"/>
      <c r="N959"/>
      <c r="O959"/>
      <c r="P959"/>
      <c r="Q959"/>
      <c r="R959"/>
      <c r="S959"/>
      <c r="T959"/>
      <c r="V959"/>
      <c r="W959"/>
      <c r="X959"/>
      <c r="Y959"/>
      <c r="AA959"/>
    </row>
    <row r="960" spans="7:27" x14ac:dyDescent="0.25">
      <c r="G960"/>
      <c r="H960"/>
      <c r="I960"/>
      <c r="K960"/>
      <c r="L960"/>
      <c r="M960"/>
      <c r="N960"/>
      <c r="O960"/>
      <c r="P960"/>
      <c r="Q960"/>
      <c r="R960"/>
      <c r="S960"/>
      <c r="T960"/>
      <c r="V960"/>
      <c r="W960"/>
      <c r="X960"/>
      <c r="Y960"/>
      <c r="AA960"/>
    </row>
    <row r="961" spans="7:27" x14ac:dyDescent="0.25">
      <c r="G961"/>
      <c r="H961"/>
      <c r="I961"/>
      <c r="K961"/>
      <c r="L961"/>
      <c r="M961"/>
      <c r="N961"/>
      <c r="O961"/>
      <c r="P961"/>
      <c r="Q961"/>
      <c r="R961"/>
      <c r="S961"/>
      <c r="T961"/>
      <c r="V961"/>
      <c r="W961"/>
      <c r="X961"/>
      <c r="Y961"/>
      <c r="AA961"/>
    </row>
    <row r="962" spans="7:27" x14ac:dyDescent="0.25">
      <c r="G962"/>
      <c r="H962"/>
      <c r="I962"/>
      <c r="K962"/>
      <c r="L962"/>
      <c r="M962"/>
      <c r="N962"/>
      <c r="O962"/>
      <c r="P962"/>
      <c r="Q962"/>
      <c r="R962"/>
      <c r="S962"/>
      <c r="T962"/>
      <c r="V962"/>
      <c r="W962"/>
      <c r="X962"/>
      <c r="Y962"/>
      <c r="AA962"/>
    </row>
    <row r="963" spans="7:27" x14ac:dyDescent="0.25">
      <c r="G963"/>
      <c r="H963"/>
      <c r="I963"/>
      <c r="K963"/>
      <c r="L963"/>
      <c r="M963"/>
      <c r="N963"/>
      <c r="O963"/>
      <c r="P963"/>
      <c r="Q963"/>
      <c r="R963"/>
      <c r="S963"/>
      <c r="T963"/>
      <c r="V963"/>
      <c r="W963"/>
      <c r="X963"/>
      <c r="Y963"/>
      <c r="AA963"/>
    </row>
    <row r="964" spans="7:27" x14ac:dyDescent="0.25">
      <c r="G964"/>
      <c r="H964"/>
      <c r="I964"/>
      <c r="K964"/>
      <c r="L964"/>
      <c r="M964"/>
      <c r="N964"/>
      <c r="O964"/>
      <c r="P964"/>
      <c r="Q964"/>
      <c r="R964"/>
      <c r="S964"/>
      <c r="T964"/>
      <c r="V964"/>
      <c r="W964"/>
      <c r="X964"/>
      <c r="Y964"/>
      <c r="AA964"/>
    </row>
    <row r="965" spans="7:27" x14ac:dyDescent="0.25">
      <c r="G965"/>
      <c r="H965"/>
      <c r="I965"/>
      <c r="K965"/>
      <c r="L965"/>
      <c r="M965"/>
      <c r="N965"/>
      <c r="O965"/>
      <c r="P965"/>
      <c r="Q965"/>
      <c r="R965"/>
      <c r="S965"/>
      <c r="T965"/>
      <c r="V965"/>
      <c r="W965"/>
      <c r="X965"/>
      <c r="Y965"/>
      <c r="AA965"/>
    </row>
    <row r="966" spans="7:27" x14ac:dyDescent="0.25">
      <c r="G966"/>
      <c r="H966"/>
      <c r="I966"/>
      <c r="K966"/>
      <c r="L966"/>
      <c r="M966"/>
      <c r="N966"/>
      <c r="O966"/>
      <c r="P966"/>
      <c r="Q966"/>
      <c r="R966"/>
      <c r="S966"/>
      <c r="T966"/>
      <c r="V966"/>
      <c r="W966"/>
      <c r="X966"/>
      <c r="Y966"/>
      <c r="AA966"/>
    </row>
    <row r="967" spans="7:27" x14ac:dyDescent="0.25">
      <c r="G967"/>
      <c r="H967"/>
      <c r="I967"/>
      <c r="K967"/>
      <c r="L967"/>
      <c r="M967"/>
      <c r="N967"/>
      <c r="O967"/>
      <c r="P967"/>
      <c r="Q967"/>
      <c r="R967"/>
      <c r="S967"/>
      <c r="T967"/>
      <c r="V967"/>
      <c r="W967"/>
      <c r="X967"/>
      <c r="Y967"/>
      <c r="AA967"/>
    </row>
    <row r="968" spans="7:27" x14ac:dyDescent="0.25">
      <c r="G968"/>
      <c r="H968"/>
      <c r="I968"/>
      <c r="K968"/>
      <c r="L968"/>
      <c r="M968"/>
      <c r="N968"/>
      <c r="O968"/>
      <c r="P968"/>
      <c r="Q968"/>
      <c r="R968"/>
      <c r="S968"/>
      <c r="T968"/>
      <c r="V968"/>
      <c r="W968"/>
      <c r="X968"/>
      <c r="Y968"/>
      <c r="AA968"/>
    </row>
    <row r="969" spans="7:27" x14ac:dyDescent="0.25">
      <c r="G969"/>
      <c r="H969"/>
      <c r="I969"/>
      <c r="K969"/>
      <c r="L969"/>
      <c r="M969"/>
      <c r="N969"/>
      <c r="O969"/>
      <c r="P969"/>
      <c r="Q969"/>
      <c r="R969"/>
      <c r="S969"/>
      <c r="T969"/>
      <c r="V969"/>
      <c r="W969"/>
      <c r="X969"/>
      <c r="Y969"/>
      <c r="AA969"/>
    </row>
    <row r="970" spans="7:27" x14ac:dyDescent="0.25">
      <c r="G970"/>
      <c r="H970"/>
      <c r="I970"/>
      <c r="K970"/>
      <c r="L970"/>
      <c r="M970"/>
      <c r="N970"/>
      <c r="O970"/>
      <c r="P970"/>
      <c r="Q970"/>
      <c r="R970"/>
      <c r="S970"/>
      <c r="T970"/>
      <c r="V970"/>
      <c r="W970"/>
      <c r="X970"/>
      <c r="Y970"/>
      <c r="AA970"/>
    </row>
    <row r="971" spans="7:27" x14ac:dyDescent="0.25">
      <c r="G971"/>
      <c r="H971"/>
      <c r="I971"/>
      <c r="K971"/>
      <c r="L971"/>
      <c r="M971"/>
      <c r="N971"/>
      <c r="O971"/>
      <c r="P971"/>
      <c r="Q971"/>
      <c r="R971"/>
      <c r="S971"/>
      <c r="T971"/>
      <c r="V971"/>
      <c r="W971"/>
      <c r="X971"/>
      <c r="Y971"/>
      <c r="AA971"/>
    </row>
    <row r="972" spans="7:27" x14ac:dyDescent="0.25">
      <c r="G972"/>
      <c r="H972"/>
      <c r="I972"/>
      <c r="K972"/>
      <c r="L972"/>
      <c r="M972"/>
      <c r="N972"/>
      <c r="O972"/>
      <c r="P972"/>
      <c r="Q972"/>
      <c r="R972"/>
      <c r="S972"/>
      <c r="T972"/>
      <c r="V972"/>
      <c r="W972"/>
      <c r="X972"/>
      <c r="Y972"/>
      <c r="AA972"/>
    </row>
    <row r="973" spans="7:27" x14ac:dyDescent="0.25">
      <c r="G973"/>
      <c r="H973"/>
      <c r="I973"/>
      <c r="K973"/>
      <c r="L973"/>
      <c r="M973"/>
      <c r="N973"/>
      <c r="O973"/>
      <c r="P973"/>
      <c r="Q973"/>
      <c r="R973"/>
      <c r="S973"/>
      <c r="T973"/>
      <c r="V973"/>
      <c r="W973"/>
      <c r="X973"/>
      <c r="Y973"/>
      <c r="AA973"/>
    </row>
    <row r="974" spans="7:27" x14ac:dyDescent="0.25">
      <c r="G974"/>
      <c r="H974"/>
      <c r="I974"/>
      <c r="K974"/>
      <c r="L974"/>
      <c r="M974"/>
      <c r="N974"/>
      <c r="O974"/>
      <c r="P974"/>
      <c r="Q974"/>
      <c r="R974"/>
      <c r="S974"/>
      <c r="T974"/>
      <c r="V974"/>
      <c r="W974"/>
      <c r="X974"/>
      <c r="Y974"/>
      <c r="AA974"/>
    </row>
    <row r="975" spans="7:27" x14ac:dyDescent="0.25">
      <c r="G975"/>
      <c r="H975"/>
      <c r="I975"/>
      <c r="K975"/>
      <c r="L975"/>
      <c r="M975"/>
      <c r="N975"/>
      <c r="O975"/>
      <c r="P975"/>
      <c r="Q975"/>
      <c r="R975"/>
      <c r="S975"/>
      <c r="T975"/>
      <c r="V975"/>
      <c r="W975"/>
      <c r="X975"/>
      <c r="Y975"/>
      <c r="AA975"/>
    </row>
    <row r="976" spans="7:27" x14ac:dyDescent="0.25">
      <c r="G976"/>
      <c r="H976"/>
      <c r="I976"/>
      <c r="K976"/>
      <c r="L976"/>
      <c r="M976"/>
      <c r="N976"/>
      <c r="O976"/>
      <c r="P976"/>
      <c r="Q976"/>
      <c r="R976"/>
      <c r="S976"/>
      <c r="T976"/>
      <c r="V976"/>
      <c r="W976"/>
      <c r="X976"/>
      <c r="Y976"/>
      <c r="AA976"/>
    </row>
    <row r="977" spans="7:27" x14ac:dyDescent="0.25">
      <c r="G977"/>
      <c r="H977"/>
      <c r="I977"/>
      <c r="K977"/>
      <c r="L977"/>
      <c r="M977"/>
      <c r="N977"/>
      <c r="O977"/>
      <c r="P977"/>
      <c r="Q977"/>
      <c r="R977"/>
      <c r="S977"/>
      <c r="T977"/>
      <c r="V977"/>
      <c r="W977"/>
      <c r="X977"/>
      <c r="Y977"/>
      <c r="AA977"/>
    </row>
    <row r="978" spans="7:27" x14ac:dyDescent="0.25">
      <c r="G978"/>
      <c r="H978"/>
      <c r="I978"/>
      <c r="K978"/>
      <c r="L978"/>
      <c r="M978"/>
      <c r="N978"/>
      <c r="O978"/>
      <c r="P978"/>
      <c r="Q978"/>
      <c r="R978"/>
      <c r="S978"/>
      <c r="T978"/>
      <c r="V978"/>
      <c r="W978"/>
      <c r="X978"/>
      <c r="Y978"/>
      <c r="AA978"/>
    </row>
    <row r="979" spans="7:27" x14ac:dyDescent="0.25">
      <c r="G979"/>
      <c r="H979"/>
      <c r="I979"/>
      <c r="K979"/>
      <c r="L979"/>
      <c r="M979"/>
      <c r="N979"/>
      <c r="O979"/>
      <c r="P979"/>
      <c r="Q979"/>
      <c r="R979"/>
      <c r="S979"/>
      <c r="T979"/>
      <c r="V979"/>
      <c r="W979"/>
      <c r="X979"/>
      <c r="Y979"/>
      <c r="AA979"/>
    </row>
    <row r="980" spans="7:27" x14ac:dyDescent="0.25">
      <c r="G980"/>
      <c r="H980"/>
      <c r="I980"/>
      <c r="K980"/>
      <c r="L980"/>
      <c r="M980"/>
      <c r="N980"/>
      <c r="O980"/>
      <c r="P980"/>
      <c r="Q980"/>
      <c r="R980"/>
      <c r="S980"/>
      <c r="T980"/>
      <c r="V980"/>
      <c r="W980"/>
      <c r="X980"/>
      <c r="Y980"/>
      <c r="AA980"/>
    </row>
    <row r="981" spans="7:27" x14ac:dyDescent="0.25">
      <c r="G981"/>
      <c r="H981"/>
      <c r="I981"/>
      <c r="K981"/>
      <c r="L981"/>
      <c r="M981"/>
      <c r="N981"/>
      <c r="O981"/>
      <c r="P981"/>
      <c r="Q981"/>
      <c r="R981"/>
      <c r="S981"/>
      <c r="T981"/>
      <c r="V981"/>
      <c r="W981"/>
      <c r="X981"/>
      <c r="Y981"/>
      <c r="AA981"/>
    </row>
    <row r="982" spans="7:27" x14ac:dyDescent="0.25">
      <c r="G982"/>
      <c r="H982"/>
      <c r="I982"/>
      <c r="K982"/>
      <c r="L982"/>
      <c r="M982"/>
      <c r="N982"/>
      <c r="O982"/>
      <c r="P982"/>
      <c r="Q982"/>
      <c r="R982"/>
      <c r="S982"/>
      <c r="T982"/>
      <c r="V982"/>
      <c r="W982"/>
      <c r="X982"/>
      <c r="Y982"/>
      <c r="AA982"/>
    </row>
    <row r="983" spans="7:27" x14ac:dyDescent="0.25">
      <c r="G983"/>
      <c r="H983"/>
      <c r="I983"/>
      <c r="K983"/>
      <c r="L983"/>
      <c r="M983"/>
      <c r="N983"/>
      <c r="O983"/>
      <c r="P983"/>
      <c r="Q983"/>
      <c r="R983"/>
      <c r="S983"/>
      <c r="T983"/>
      <c r="V983"/>
      <c r="W983"/>
      <c r="X983"/>
      <c r="Y983"/>
      <c r="AA983"/>
    </row>
    <row r="984" spans="7:27" x14ac:dyDescent="0.25">
      <c r="G984"/>
      <c r="H984"/>
      <c r="I984"/>
      <c r="K984"/>
      <c r="L984"/>
      <c r="M984"/>
      <c r="N984"/>
      <c r="O984"/>
      <c r="P984"/>
      <c r="Q984"/>
      <c r="R984"/>
      <c r="S984"/>
      <c r="T984"/>
      <c r="V984"/>
      <c r="W984"/>
      <c r="X984"/>
      <c r="Y984"/>
      <c r="AA984"/>
    </row>
    <row r="985" spans="7:27" x14ac:dyDescent="0.25">
      <c r="G985"/>
      <c r="H985"/>
      <c r="I985"/>
      <c r="K985"/>
      <c r="L985"/>
      <c r="M985"/>
      <c r="N985"/>
      <c r="O985"/>
      <c r="P985"/>
      <c r="Q985"/>
      <c r="R985"/>
      <c r="S985"/>
      <c r="T985"/>
      <c r="V985"/>
      <c r="W985"/>
      <c r="X985"/>
      <c r="Y985"/>
      <c r="AA985"/>
    </row>
    <row r="986" spans="7:27" x14ac:dyDescent="0.25">
      <c r="G986"/>
      <c r="H986"/>
      <c r="I986"/>
      <c r="K986"/>
      <c r="L986"/>
      <c r="M986"/>
      <c r="N986"/>
      <c r="O986"/>
      <c r="P986"/>
      <c r="Q986"/>
      <c r="R986"/>
      <c r="S986"/>
      <c r="T986"/>
      <c r="V986"/>
      <c r="W986"/>
      <c r="X986"/>
      <c r="Y986"/>
      <c r="AA986"/>
    </row>
    <row r="987" spans="7:27" x14ac:dyDescent="0.25">
      <c r="G987"/>
      <c r="H987"/>
      <c r="I987"/>
      <c r="K987"/>
      <c r="L987"/>
      <c r="M987"/>
      <c r="N987"/>
      <c r="O987"/>
      <c r="P987"/>
      <c r="Q987"/>
      <c r="R987"/>
      <c r="S987"/>
      <c r="T987"/>
      <c r="V987"/>
      <c r="W987"/>
      <c r="X987"/>
      <c r="Y987"/>
      <c r="AA987"/>
    </row>
    <row r="988" spans="7:27" x14ac:dyDescent="0.25">
      <c r="G988"/>
      <c r="H988"/>
      <c r="I988"/>
      <c r="K988"/>
      <c r="L988"/>
      <c r="M988"/>
      <c r="N988"/>
      <c r="O988"/>
      <c r="P988"/>
      <c r="Q988"/>
      <c r="R988"/>
      <c r="S988"/>
      <c r="T988"/>
      <c r="V988"/>
      <c r="W988"/>
      <c r="X988"/>
      <c r="Y988"/>
      <c r="AA988"/>
    </row>
    <row r="989" spans="7:27" x14ac:dyDescent="0.25">
      <c r="G989"/>
      <c r="H989"/>
      <c r="I989"/>
      <c r="K989"/>
      <c r="L989"/>
      <c r="M989"/>
      <c r="N989"/>
      <c r="O989"/>
      <c r="P989"/>
      <c r="Q989"/>
      <c r="R989"/>
      <c r="S989"/>
      <c r="T989"/>
      <c r="V989"/>
      <c r="W989"/>
      <c r="X989"/>
      <c r="Y989"/>
      <c r="AA989"/>
    </row>
    <row r="990" spans="7:27" x14ac:dyDescent="0.25">
      <c r="G990"/>
      <c r="H990"/>
      <c r="I990"/>
      <c r="K990"/>
      <c r="L990"/>
      <c r="M990"/>
      <c r="N990"/>
      <c r="O990"/>
      <c r="P990"/>
      <c r="Q990"/>
      <c r="R990"/>
      <c r="S990"/>
      <c r="T990"/>
      <c r="V990"/>
      <c r="W990"/>
      <c r="X990"/>
      <c r="Y990"/>
      <c r="AA990"/>
    </row>
    <row r="991" spans="7:27" x14ac:dyDescent="0.25">
      <c r="G991"/>
      <c r="H991"/>
      <c r="I991"/>
      <c r="K991"/>
      <c r="L991"/>
      <c r="M991"/>
      <c r="N991"/>
      <c r="O991"/>
      <c r="P991"/>
      <c r="Q991"/>
      <c r="R991"/>
      <c r="S991"/>
      <c r="T991"/>
      <c r="V991"/>
      <c r="W991"/>
      <c r="X991"/>
      <c r="Y991"/>
      <c r="AA991"/>
    </row>
    <row r="992" spans="7:27" x14ac:dyDescent="0.25">
      <c r="G992"/>
      <c r="H992"/>
      <c r="I992"/>
      <c r="K992"/>
      <c r="L992"/>
      <c r="M992"/>
      <c r="N992"/>
      <c r="O992"/>
      <c r="P992"/>
      <c r="Q992"/>
      <c r="R992"/>
      <c r="S992"/>
      <c r="T992"/>
      <c r="V992"/>
      <c r="W992"/>
      <c r="X992"/>
      <c r="Y992"/>
      <c r="AA992"/>
    </row>
    <row r="993" spans="7:27" x14ac:dyDescent="0.25">
      <c r="G993"/>
      <c r="H993"/>
      <c r="I993"/>
      <c r="K993"/>
      <c r="L993"/>
      <c r="M993"/>
      <c r="N993"/>
      <c r="O993"/>
      <c r="P993"/>
      <c r="Q993"/>
      <c r="R993"/>
      <c r="S993"/>
      <c r="T993"/>
      <c r="V993"/>
      <c r="W993"/>
      <c r="X993"/>
      <c r="Y993"/>
      <c r="AA993"/>
    </row>
    <row r="994" spans="7:27" x14ac:dyDescent="0.25">
      <c r="G994"/>
      <c r="H994"/>
      <c r="I994"/>
      <c r="K994"/>
      <c r="L994"/>
      <c r="M994"/>
      <c r="N994"/>
      <c r="O994"/>
      <c r="P994"/>
      <c r="Q994"/>
      <c r="R994"/>
      <c r="S994"/>
      <c r="T994"/>
      <c r="V994"/>
      <c r="W994"/>
      <c r="X994"/>
      <c r="Y994"/>
      <c r="AA994"/>
    </row>
    <row r="995" spans="7:27" x14ac:dyDescent="0.25">
      <c r="G995"/>
      <c r="H995"/>
      <c r="I995"/>
      <c r="K995"/>
      <c r="L995"/>
      <c r="M995"/>
      <c r="N995"/>
      <c r="O995"/>
      <c r="P995"/>
      <c r="Q995"/>
      <c r="R995"/>
      <c r="S995"/>
      <c r="T995"/>
      <c r="V995"/>
      <c r="W995"/>
      <c r="X995"/>
      <c r="Y995"/>
      <c r="AA995"/>
    </row>
    <row r="996" spans="7:27" x14ac:dyDescent="0.25">
      <c r="G996"/>
      <c r="H996"/>
      <c r="I996"/>
      <c r="K996"/>
      <c r="L996"/>
      <c r="M996"/>
      <c r="N996"/>
      <c r="O996"/>
      <c r="P996"/>
      <c r="Q996"/>
      <c r="R996"/>
      <c r="S996"/>
      <c r="T996"/>
      <c r="V996"/>
      <c r="W996"/>
      <c r="X996"/>
      <c r="Y996"/>
      <c r="AA996"/>
    </row>
    <row r="997" spans="7:27" x14ac:dyDescent="0.25">
      <c r="G997"/>
      <c r="H997"/>
      <c r="I997"/>
      <c r="K997"/>
      <c r="L997"/>
      <c r="M997"/>
      <c r="N997"/>
      <c r="O997"/>
      <c r="P997"/>
      <c r="Q997"/>
      <c r="R997"/>
      <c r="S997"/>
      <c r="T997"/>
      <c r="V997"/>
      <c r="W997"/>
      <c r="X997"/>
      <c r="Y997"/>
      <c r="AA997"/>
    </row>
    <row r="998" spans="7:27" x14ac:dyDescent="0.25">
      <c r="G998"/>
      <c r="H998"/>
      <c r="I998"/>
      <c r="K998"/>
      <c r="L998"/>
      <c r="M998"/>
      <c r="N998"/>
      <c r="O998"/>
      <c r="P998"/>
      <c r="Q998"/>
      <c r="R998"/>
      <c r="S998"/>
      <c r="T998"/>
      <c r="V998"/>
      <c r="W998"/>
      <c r="X998"/>
      <c r="Y998"/>
      <c r="AA998"/>
    </row>
    <row r="999" spans="7:27" x14ac:dyDescent="0.25">
      <c r="G999"/>
      <c r="H999"/>
      <c r="I999"/>
      <c r="K999"/>
      <c r="L999"/>
      <c r="M999"/>
      <c r="N999"/>
      <c r="O999"/>
      <c r="P999"/>
      <c r="Q999"/>
      <c r="R999"/>
      <c r="S999"/>
      <c r="T999"/>
      <c r="V999"/>
      <c r="W999"/>
      <c r="X999"/>
      <c r="Y999"/>
      <c r="AA999"/>
    </row>
    <row r="1000" spans="7:27" x14ac:dyDescent="0.25">
      <c r="G1000"/>
      <c r="H1000"/>
      <c r="I1000"/>
      <c r="K1000"/>
      <c r="L1000"/>
      <c r="M1000"/>
      <c r="N1000"/>
      <c r="O1000"/>
      <c r="P1000"/>
      <c r="Q1000"/>
      <c r="R1000"/>
      <c r="S1000"/>
      <c r="T1000"/>
      <c r="V1000"/>
      <c r="W1000"/>
      <c r="X1000"/>
      <c r="Y1000"/>
      <c r="AA1000"/>
    </row>
    <row r="1001" spans="7:27" x14ac:dyDescent="0.25">
      <c r="G1001"/>
      <c r="H1001"/>
      <c r="I1001"/>
      <c r="K1001"/>
      <c r="L1001"/>
      <c r="M1001"/>
      <c r="N1001"/>
      <c r="O1001"/>
      <c r="P1001"/>
      <c r="Q1001"/>
      <c r="R1001"/>
      <c r="S1001"/>
      <c r="T1001"/>
      <c r="V1001"/>
      <c r="W1001"/>
      <c r="X1001"/>
      <c r="Y1001"/>
      <c r="AA1001"/>
    </row>
    <row r="1002" spans="7:27" x14ac:dyDescent="0.25">
      <c r="G1002"/>
      <c r="H1002"/>
      <c r="I1002"/>
      <c r="K1002"/>
      <c r="L1002"/>
      <c r="M1002"/>
      <c r="N1002"/>
      <c r="O1002"/>
      <c r="P1002"/>
      <c r="Q1002"/>
      <c r="R1002"/>
      <c r="S1002"/>
      <c r="T1002"/>
      <c r="V1002"/>
      <c r="W1002"/>
      <c r="X1002"/>
      <c r="Y1002"/>
      <c r="AA1002"/>
    </row>
    <row r="1003" spans="7:27" x14ac:dyDescent="0.25">
      <c r="G1003"/>
      <c r="H1003"/>
      <c r="I1003"/>
      <c r="K1003"/>
      <c r="L1003"/>
      <c r="M1003"/>
      <c r="N1003"/>
      <c r="O1003"/>
      <c r="P1003"/>
      <c r="Q1003"/>
      <c r="R1003"/>
      <c r="S1003"/>
      <c r="T1003"/>
      <c r="V1003"/>
      <c r="W1003"/>
      <c r="X1003"/>
      <c r="Y1003"/>
      <c r="AA1003"/>
    </row>
    <row r="1004" spans="7:27" x14ac:dyDescent="0.25">
      <c r="G1004"/>
      <c r="H1004"/>
      <c r="I1004"/>
      <c r="K1004"/>
      <c r="L1004"/>
      <c r="M1004"/>
      <c r="N1004"/>
      <c r="O1004"/>
      <c r="P1004"/>
      <c r="Q1004"/>
      <c r="R1004"/>
      <c r="S1004"/>
      <c r="T1004"/>
      <c r="V1004"/>
      <c r="W1004"/>
      <c r="X1004"/>
      <c r="Y1004"/>
      <c r="AA1004"/>
    </row>
    <row r="1005" spans="7:27" x14ac:dyDescent="0.25">
      <c r="G1005"/>
      <c r="H1005"/>
      <c r="I1005"/>
      <c r="K1005"/>
      <c r="L1005"/>
      <c r="M1005"/>
      <c r="N1005"/>
      <c r="O1005"/>
      <c r="P1005"/>
      <c r="Q1005"/>
      <c r="R1005"/>
      <c r="S1005"/>
      <c r="T1005"/>
      <c r="V1005"/>
      <c r="W1005"/>
      <c r="X1005"/>
      <c r="Y1005"/>
      <c r="AA1005"/>
    </row>
    <row r="1006" spans="7:27" x14ac:dyDescent="0.25">
      <c r="G1006"/>
      <c r="H1006"/>
      <c r="I1006"/>
      <c r="K1006"/>
      <c r="L1006"/>
      <c r="M1006"/>
      <c r="N1006"/>
      <c r="O1006"/>
      <c r="P1006"/>
      <c r="Q1006"/>
      <c r="R1006"/>
      <c r="S1006"/>
      <c r="T1006"/>
      <c r="V1006"/>
      <c r="W1006"/>
      <c r="X1006"/>
      <c r="Y1006"/>
      <c r="AA1006"/>
    </row>
    <row r="1007" spans="7:27" x14ac:dyDescent="0.25">
      <c r="G1007"/>
      <c r="H1007"/>
      <c r="I1007"/>
      <c r="K1007"/>
      <c r="L1007"/>
      <c r="M1007"/>
      <c r="N1007"/>
      <c r="O1007"/>
      <c r="P1007"/>
      <c r="Q1007"/>
      <c r="R1007"/>
      <c r="S1007"/>
      <c r="T1007"/>
      <c r="V1007"/>
      <c r="W1007"/>
      <c r="X1007"/>
      <c r="Y1007"/>
      <c r="AA1007"/>
    </row>
    <row r="1008" spans="7:27" x14ac:dyDescent="0.25">
      <c r="G1008"/>
      <c r="H1008"/>
      <c r="I1008"/>
      <c r="K1008"/>
      <c r="L1008"/>
      <c r="M1008"/>
      <c r="N1008"/>
      <c r="O1008"/>
      <c r="P1008"/>
      <c r="Q1008"/>
      <c r="R1008"/>
      <c r="S1008"/>
      <c r="T1008"/>
      <c r="V1008"/>
      <c r="W1008"/>
      <c r="X1008"/>
      <c r="Y1008"/>
      <c r="AA1008"/>
    </row>
    <row r="1009" spans="2:27" x14ac:dyDescent="0.25">
      <c r="G1009"/>
      <c r="H1009"/>
      <c r="I1009"/>
      <c r="K1009"/>
      <c r="L1009"/>
      <c r="M1009"/>
      <c r="N1009"/>
      <c r="O1009"/>
      <c r="P1009"/>
      <c r="Q1009"/>
      <c r="R1009"/>
      <c r="S1009"/>
      <c r="T1009"/>
      <c r="V1009"/>
      <c r="W1009"/>
      <c r="X1009"/>
      <c r="Y1009"/>
      <c r="AA1009"/>
    </row>
    <row r="1010" spans="2:27" x14ac:dyDescent="0.25">
      <c r="G1010"/>
      <c r="H1010"/>
      <c r="I1010"/>
      <c r="K1010"/>
      <c r="L1010"/>
      <c r="M1010"/>
      <c r="N1010"/>
      <c r="O1010"/>
      <c r="P1010"/>
      <c r="Q1010"/>
      <c r="R1010"/>
      <c r="S1010"/>
      <c r="T1010"/>
      <c r="V1010"/>
      <c r="W1010"/>
      <c r="X1010"/>
      <c r="Y1010"/>
      <c r="AA1010"/>
    </row>
    <row r="1011" spans="2:27" x14ac:dyDescent="0.25">
      <c r="G1011"/>
      <c r="H1011"/>
      <c r="I1011"/>
      <c r="K1011"/>
      <c r="L1011"/>
      <c r="M1011"/>
      <c r="N1011"/>
      <c r="O1011"/>
      <c r="P1011"/>
      <c r="Q1011"/>
      <c r="R1011"/>
      <c r="S1011"/>
      <c r="T1011"/>
      <c r="V1011"/>
      <c r="W1011"/>
      <c r="X1011"/>
      <c r="Y1011"/>
      <c r="AA1011"/>
    </row>
    <row r="1012" spans="2:27" x14ac:dyDescent="0.25">
      <c r="G1012"/>
      <c r="H1012"/>
      <c r="I1012"/>
      <c r="K1012"/>
      <c r="L1012"/>
      <c r="M1012"/>
      <c r="N1012"/>
      <c r="O1012"/>
      <c r="P1012"/>
      <c r="Q1012"/>
      <c r="R1012"/>
      <c r="S1012"/>
      <c r="T1012"/>
      <c r="V1012"/>
      <c r="W1012"/>
      <c r="X1012"/>
      <c r="Y1012"/>
      <c r="AA1012"/>
    </row>
    <row r="1013" spans="2:27" x14ac:dyDescent="0.25">
      <c r="G1013"/>
      <c r="H1013"/>
      <c r="I1013"/>
      <c r="K1013"/>
      <c r="L1013"/>
      <c r="M1013"/>
      <c r="N1013"/>
      <c r="O1013"/>
      <c r="P1013"/>
      <c r="Q1013"/>
      <c r="R1013"/>
      <c r="S1013"/>
      <c r="T1013"/>
      <c r="V1013"/>
      <c r="W1013"/>
      <c r="X1013"/>
      <c r="Y1013"/>
      <c r="AA1013"/>
    </row>
    <row r="1014" spans="2:27" x14ac:dyDescent="0.25">
      <c r="G1014"/>
      <c r="H1014"/>
      <c r="I1014"/>
      <c r="K1014"/>
      <c r="L1014"/>
      <c r="M1014"/>
      <c r="N1014"/>
      <c r="O1014"/>
      <c r="P1014"/>
      <c r="Q1014"/>
      <c r="R1014"/>
      <c r="S1014"/>
      <c r="T1014"/>
      <c r="V1014"/>
      <c r="W1014"/>
      <c r="X1014"/>
      <c r="Y1014"/>
      <c r="AA1014"/>
    </row>
    <row r="1015" spans="2:27" x14ac:dyDescent="0.25">
      <c r="G1015"/>
      <c r="H1015"/>
      <c r="I1015"/>
      <c r="K1015"/>
      <c r="L1015"/>
      <c r="M1015"/>
      <c r="N1015"/>
      <c r="O1015"/>
      <c r="P1015"/>
      <c r="Q1015"/>
      <c r="R1015"/>
      <c r="S1015"/>
      <c r="T1015"/>
      <c r="V1015"/>
      <c r="W1015"/>
      <c r="X1015"/>
      <c r="Y1015"/>
      <c r="AA1015"/>
    </row>
    <row r="1016" spans="2:27" x14ac:dyDescent="0.25">
      <c r="G1016"/>
      <c r="H1016"/>
      <c r="I1016"/>
      <c r="K1016"/>
      <c r="L1016"/>
      <c r="M1016"/>
      <c r="N1016"/>
      <c r="O1016"/>
      <c r="P1016"/>
      <c r="Q1016"/>
      <c r="R1016"/>
      <c r="S1016"/>
      <c r="T1016"/>
      <c r="V1016"/>
      <c r="W1016"/>
      <c r="X1016"/>
      <c r="Y1016"/>
      <c r="AA1016"/>
    </row>
    <row r="1017" spans="2:27" x14ac:dyDescent="0.25">
      <c r="G1017"/>
      <c r="H1017"/>
      <c r="I1017"/>
      <c r="K1017"/>
      <c r="L1017"/>
      <c r="M1017"/>
      <c r="N1017"/>
      <c r="O1017"/>
      <c r="P1017"/>
      <c r="Q1017"/>
      <c r="R1017"/>
      <c r="S1017"/>
      <c r="T1017"/>
      <c r="V1017"/>
      <c r="W1017"/>
      <c r="X1017"/>
      <c r="Y1017"/>
      <c r="AA1017"/>
    </row>
    <row r="1018" spans="2:27" x14ac:dyDescent="0.25">
      <c r="B1018" s="19"/>
      <c r="C1018" s="19"/>
      <c r="D1018" s="19"/>
      <c r="F1018" s="19"/>
      <c r="K1018" s="205"/>
      <c r="L1018" s="205"/>
      <c r="M1018" s="205"/>
      <c r="N1018" s="205"/>
      <c r="O1018" s="205"/>
      <c r="P1018" s="205"/>
      <c r="Q1018" s="205"/>
      <c r="R1018" s="205"/>
      <c r="S1018" s="19"/>
      <c r="T1018" s="19"/>
      <c r="U1018" s="19"/>
      <c r="V1018" s="19"/>
      <c r="W1018" s="19"/>
      <c r="X1018" s="19"/>
      <c r="Y1018" s="19"/>
      <c r="AA1018" s="19"/>
    </row>
    <row r="1019" spans="2:27" x14ac:dyDescent="0.25">
      <c r="B1019" s="19"/>
      <c r="C1019" s="19"/>
      <c r="D1019" s="19"/>
      <c r="F1019" s="19"/>
      <c r="K1019" s="205"/>
      <c r="L1019" s="205"/>
      <c r="M1019" s="205"/>
      <c r="N1019" s="205"/>
      <c r="O1019" s="205"/>
      <c r="P1019" s="205"/>
      <c r="Q1019" s="205"/>
      <c r="R1019" s="205"/>
      <c r="S1019" s="19"/>
      <c r="T1019" s="19"/>
      <c r="U1019" s="19"/>
      <c r="V1019" s="19"/>
      <c r="W1019" s="19"/>
      <c r="X1019" s="19"/>
      <c r="Y1019" s="19"/>
      <c r="AA1019" s="19"/>
    </row>
    <row r="1020" spans="2:27" x14ac:dyDescent="0.25">
      <c r="B1020" s="19"/>
      <c r="C1020" s="19"/>
      <c r="D1020" s="19"/>
      <c r="F1020" s="19"/>
      <c r="K1020" s="205"/>
      <c r="L1020" s="205"/>
      <c r="M1020" s="205"/>
      <c r="N1020" s="205"/>
      <c r="O1020" s="205"/>
      <c r="P1020" s="205"/>
      <c r="Q1020" s="205"/>
      <c r="R1020" s="205"/>
      <c r="S1020" s="19"/>
      <c r="T1020" s="19"/>
      <c r="U1020" s="19"/>
      <c r="V1020" s="19"/>
      <c r="W1020" s="19"/>
      <c r="X1020" s="19"/>
      <c r="Y1020" s="19"/>
      <c r="AA1020" s="19"/>
    </row>
    <row r="1021" spans="2:27" x14ac:dyDescent="0.25">
      <c r="B1021" s="19"/>
      <c r="C1021" s="19"/>
      <c r="D1021" s="19"/>
      <c r="F1021" s="19"/>
      <c r="K1021" s="205"/>
      <c r="L1021" s="205"/>
      <c r="M1021" s="205"/>
      <c r="N1021" s="205"/>
      <c r="O1021" s="205"/>
      <c r="P1021" s="205"/>
      <c r="Q1021" s="205"/>
      <c r="R1021" s="205"/>
      <c r="S1021" s="19"/>
      <c r="T1021" s="19"/>
      <c r="U1021" s="19"/>
      <c r="V1021" s="19"/>
      <c r="W1021" s="19"/>
      <c r="X1021" s="19"/>
      <c r="Y1021" s="19"/>
      <c r="AA1021" s="19"/>
    </row>
    <row r="1022" spans="2:27" x14ac:dyDescent="0.25">
      <c r="B1022" s="19"/>
      <c r="C1022" s="19"/>
      <c r="D1022" s="19"/>
      <c r="F1022" s="19"/>
      <c r="K1022" s="205"/>
      <c r="L1022" s="205"/>
      <c r="M1022" s="205"/>
      <c r="N1022" s="205"/>
      <c r="O1022" s="205"/>
      <c r="P1022" s="205"/>
      <c r="Q1022" s="205"/>
      <c r="R1022" s="205"/>
      <c r="S1022" s="19"/>
      <c r="T1022" s="19"/>
      <c r="U1022" s="19"/>
      <c r="V1022" s="19"/>
      <c r="W1022" s="19"/>
      <c r="X1022" s="19"/>
      <c r="Y1022" s="19"/>
      <c r="AA1022" s="19"/>
    </row>
    <row r="1023" spans="2:27" x14ac:dyDescent="0.25">
      <c r="B1023" s="19"/>
      <c r="C1023" s="19"/>
      <c r="D1023" s="19"/>
      <c r="F1023" s="19"/>
      <c r="K1023" s="205"/>
      <c r="L1023" s="205"/>
      <c r="M1023" s="205"/>
      <c r="N1023" s="205"/>
      <c r="O1023" s="205"/>
      <c r="P1023" s="205"/>
      <c r="Q1023" s="205"/>
      <c r="R1023" s="205"/>
      <c r="S1023" s="19"/>
      <c r="T1023" s="19"/>
      <c r="U1023" s="19"/>
      <c r="V1023" s="19"/>
      <c r="W1023" s="19"/>
      <c r="X1023" s="19"/>
      <c r="Y1023" s="19"/>
      <c r="AA1023" s="19"/>
    </row>
    <row r="1024" spans="2:27" x14ac:dyDescent="0.25">
      <c r="B1024" s="19"/>
      <c r="C1024" s="19"/>
      <c r="D1024" s="19"/>
      <c r="F1024" s="19"/>
      <c r="K1024" s="205"/>
      <c r="L1024" s="205"/>
      <c r="M1024" s="205"/>
      <c r="N1024" s="205"/>
      <c r="O1024" s="205"/>
      <c r="P1024" s="205"/>
      <c r="Q1024" s="205"/>
      <c r="R1024" s="205"/>
      <c r="S1024" s="19"/>
      <c r="T1024" s="19"/>
      <c r="U1024" s="19"/>
      <c r="V1024" s="19"/>
      <c r="W1024" s="19"/>
      <c r="X1024" s="19"/>
      <c r="Y1024" s="19"/>
      <c r="AA1024" s="19"/>
    </row>
    <row r="1025" spans="2:27" x14ac:dyDescent="0.25">
      <c r="B1025" s="19"/>
      <c r="C1025" s="19"/>
      <c r="D1025" s="19"/>
      <c r="F1025" s="19"/>
      <c r="K1025" s="205"/>
      <c r="L1025" s="205"/>
      <c r="M1025" s="205"/>
      <c r="N1025" s="205"/>
      <c r="O1025" s="205"/>
      <c r="P1025" s="205"/>
      <c r="Q1025" s="205"/>
      <c r="R1025" s="205"/>
      <c r="S1025" s="19"/>
      <c r="T1025" s="19"/>
      <c r="U1025" s="19"/>
      <c r="V1025" s="19"/>
      <c r="W1025" s="19"/>
      <c r="X1025" s="19"/>
      <c r="Y1025" s="19"/>
      <c r="AA1025" s="19"/>
    </row>
    <row r="1026" spans="2:27" x14ac:dyDescent="0.25">
      <c r="B1026" s="19"/>
      <c r="C1026" s="19"/>
      <c r="D1026" s="19"/>
      <c r="F1026" s="19"/>
      <c r="K1026" s="205"/>
      <c r="L1026" s="205"/>
      <c r="M1026" s="205"/>
      <c r="N1026" s="205"/>
      <c r="O1026" s="205"/>
      <c r="P1026" s="205"/>
      <c r="Q1026" s="205"/>
      <c r="R1026" s="205"/>
      <c r="S1026" s="19"/>
      <c r="T1026" s="19"/>
      <c r="U1026" s="19"/>
      <c r="V1026" s="19"/>
      <c r="W1026" s="19"/>
      <c r="X1026" s="19"/>
      <c r="Y1026" s="19"/>
      <c r="AA1026" s="19"/>
    </row>
    <row r="1027" spans="2:27" x14ac:dyDescent="0.25">
      <c r="B1027" s="19"/>
      <c r="C1027" s="19"/>
      <c r="D1027" s="19"/>
      <c r="F1027" s="19"/>
      <c r="K1027" s="205"/>
      <c r="L1027" s="205"/>
      <c r="M1027" s="205"/>
      <c r="N1027" s="205"/>
      <c r="O1027" s="205"/>
      <c r="P1027" s="205"/>
      <c r="Q1027" s="205"/>
      <c r="R1027" s="205"/>
      <c r="S1027" s="19"/>
      <c r="T1027" s="19"/>
      <c r="U1027" s="19"/>
      <c r="V1027" s="19"/>
      <c r="W1027" s="19"/>
      <c r="X1027" s="19"/>
      <c r="Y1027" s="19"/>
      <c r="AA1027" s="19"/>
    </row>
    <row r="1028" spans="2:27" x14ac:dyDescent="0.25">
      <c r="B1028" s="19"/>
      <c r="C1028" s="19"/>
      <c r="D1028" s="19"/>
      <c r="F1028" s="19"/>
      <c r="K1028" s="205"/>
      <c r="L1028" s="205"/>
      <c r="M1028" s="205"/>
      <c r="N1028" s="205"/>
      <c r="O1028" s="205"/>
      <c r="P1028" s="205"/>
      <c r="Q1028" s="205"/>
      <c r="R1028" s="205"/>
      <c r="S1028" s="19"/>
      <c r="T1028" s="19"/>
      <c r="U1028" s="19"/>
      <c r="V1028" s="19"/>
      <c r="W1028" s="19"/>
      <c r="X1028" s="19"/>
      <c r="Y1028" s="19"/>
      <c r="AA1028" s="19"/>
    </row>
    <row r="1029" spans="2:27" x14ac:dyDescent="0.25">
      <c r="B1029" s="19"/>
      <c r="C1029" s="19"/>
      <c r="D1029" s="19"/>
      <c r="F1029" s="19"/>
      <c r="K1029" s="205"/>
      <c r="L1029" s="205"/>
      <c r="M1029" s="205"/>
      <c r="N1029" s="205"/>
      <c r="O1029" s="205"/>
      <c r="P1029" s="205"/>
      <c r="Q1029" s="205"/>
      <c r="R1029" s="205"/>
      <c r="S1029" s="19"/>
      <c r="T1029" s="19"/>
      <c r="U1029" s="19"/>
      <c r="V1029" s="19"/>
      <c r="W1029" s="19"/>
      <c r="X1029" s="19"/>
      <c r="Y1029" s="19"/>
      <c r="AA1029" s="19"/>
    </row>
    <row r="1030" spans="2:27" x14ac:dyDescent="0.25">
      <c r="B1030" s="19"/>
      <c r="C1030" s="19"/>
      <c r="D1030" s="19"/>
      <c r="F1030" s="19"/>
      <c r="K1030" s="205"/>
      <c r="L1030" s="205"/>
      <c r="M1030" s="205"/>
      <c r="N1030" s="205"/>
      <c r="O1030" s="205"/>
      <c r="P1030" s="205"/>
      <c r="Q1030" s="205"/>
      <c r="R1030" s="205"/>
      <c r="S1030" s="19"/>
      <c r="T1030" s="19"/>
      <c r="U1030" s="19"/>
      <c r="V1030" s="19"/>
      <c r="W1030" s="19"/>
      <c r="X1030" s="19"/>
      <c r="Y1030" s="19"/>
      <c r="AA1030" s="19"/>
    </row>
    <row r="1031" spans="2:27" x14ac:dyDescent="0.25">
      <c r="B1031" s="19"/>
      <c r="C1031" s="19"/>
      <c r="D1031" s="19"/>
      <c r="F1031" s="19"/>
      <c r="K1031" s="205"/>
      <c r="L1031" s="205"/>
      <c r="M1031" s="205"/>
      <c r="N1031" s="205"/>
      <c r="O1031" s="205"/>
      <c r="P1031" s="205"/>
      <c r="Q1031" s="205"/>
      <c r="R1031" s="205"/>
      <c r="S1031" s="19"/>
      <c r="T1031" s="19"/>
      <c r="U1031" s="19"/>
      <c r="V1031" s="19"/>
      <c r="W1031" s="19"/>
      <c r="X1031" s="19"/>
      <c r="Y1031" s="19"/>
      <c r="AA1031" s="19"/>
    </row>
    <row r="1032" spans="2:27" x14ac:dyDescent="0.25">
      <c r="B1032" s="19"/>
      <c r="C1032" s="19"/>
      <c r="D1032" s="19"/>
      <c r="F1032" s="19"/>
      <c r="K1032" s="205"/>
      <c r="L1032" s="205"/>
      <c r="M1032" s="205"/>
      <c r="N1032" s="205"/>
      <c r="O1032" s="205"/>
      <c r="P1032" s="205"/>
      <c r="Q1032" s="205"/>
      <c r="R1032" s="205"/>
      <c r="S1032" s="19"/>
      <c r="T1032" s="19"/>
      <c r="U1032" s="19"/>
      <c r="V1032" s="19"/>
      <c r="W1032" s="19"/>
      <c r="X1032" s="19"/>
      <c r="Y1032" s="19"/>
      <c r="AA1032" s="19"/>
    </row>
    <row r="1033" spans="2:27" x14ac:dyDescent="0.25">
      <c r="B1033" s="19"/>
      <c r="C1033" s="19"/>
      <c r="D1033" s="19"/>
      <c r="F1033" s="19"/>
      <c r="K1033" s="205"/>
      <c r="L1033" s="205"/>
      <c r="M1033" s="205"/>
      <c r="N1033" s="205"/>
      <c r="O1033" s="205"/>
      <c r="P1033" s="205"/>
      <c r="Q1033" s="205"/>
      <c r="R1033" s="205"/>
      <c r="S1033" s="19"/>
      <c r="T1033" s="19"/>
      <c r="U1033" s="19"/>
      <c r="V1033" s="19"/>
      <c r="W1033" s="19"/>
      <c r="X1033" s="19"/>
      <c r="Y1033" s="19"/>
      <c r="AA1033" s="19"/>
    </row>
    <row r="1034" spans="2:27" x14ac:dyDescent="0.25">
      <c r="B1034" s="19"/>
      <c r="C1034" s="19"/>
      <c r="D1034" s="19"/>
      <c r="F1034" s="19"/>
      <c r="K1034" s="205"/>
      <c r="L1034" s="205"/>
      <c r="M1034" s="205"/>
      <c r="N1034" s="205"/>
      <c r="O1034" s="205"/>
      <c r="P1034" s="205"/>
      <c r="Q1034" s="205"/>
      <c r="R1034" s="205"/>
      <c r="S1034" s="19"/>
      <c r="T1034" s="19"/>
      <c r="U1034" s="19"/>
      <c r="V1034" s="19"/>
      <c r="W1034" s="19"/>
      <c r="X1034" s="19"/>
      <c r="Y1034" s="19"/>
      <c r="AA1034" s="19"/>
    </row>
    <row r="1035" spans="2:27" x14ac:dyDescent="0.25">
      <c r="B1035" s="19"/>
      <c r="C1035" s="19"/>
      <c r="D1035" s="19"/>
      <c r="F1035" s="19"/>
      <c r="K1035" s="205"/>
      <c r="L1035" s="205"/>
      <c r="M1035" s="205"/>
      <c r="N1035" s="205"/>
      <c r="O1035" s="205"/>
      <c r="P1035" s="205"/>
      <c r="Q1035" s="205"/>
      <c r="R1035" s="205"/>
      <c r="S1035" s="19"/>
      <c r="T1035" s="19"/>
      <c r="U1035" s="19"/>
      <c r="V1035" s="19"/>
      <c r="W1035" s="19"/>
      <c r="X1035" s="19"/>
      <c r="Y1035" s="19"/>
      <c r="AA1035" s="19"/>
    </row>
    <row r="1036" spans="2:27" x14ac:dyDescent="0.25">
      <c r="B1036" s="19"/>
      <c r="C1036" s="19"/>
      <c r="D1036" s="19"/>
      <c r="F1036" s="19"/>
      <c r="K1036" s="205"/>
      <c r="L1036" s="205"/>
      <c r="M1036" s="205"/>
      <c r="N1036" s="205"/>
      <c r="O1036" s="205"/>
      <c r="P1036" s="205"/>
      <c r="Q1036" s="205"/>
      <c r="R1036" s="205"/>
      <c r="S1036" s="19"/>
      <c r="T1036" s="19"/>
      <c r="U1036" s="19"/>
      <c r="V1036" s="19"/>
      <c r="W1036" s="19"/>
      <c r="X1036" s="19"/>
      <c r="Y1036" s="19"/>
      <c r="AA1036" s="19"/>
    </row>
    <row r="1037" spans="2:27" x14ac:dyDescent="0.25">
      <c r="B1037" s="19"/>
      <c r="C1037" s="19"/>
      <c r="D1037" s="19"/>
      <c r="F1037" s="19"/>
      <c r="K1037" s="205"/>
      <c r="L1037" s="205"/>
      <c r="M1037" s="205"/>
      <c r="N1037" s="205"/>
      <c r="O1037" s="205"/>
      <c r="P1037" s="205"/>
      <c r="Q1037" s="205"/>
      <c r="R1037" s="205"/>
      <c r="S1037" s="19"/>
      <c r="T1037" s="19"/>
      <c r="U1037" s="19"/>
      <c r="V1037" s="19"/>
      <c r="W1037" s="19"/>
      <c r="X1037" s="19"/>
      <c r="Y1037" s="19"/>
      <c r="AA1037" s="19"/>
    </row>
    <row r="1038" spans="2:27" x14ac:dyDescent="0.25">
      <c r="B1038" s="19"/>
      <c r="C1038" s="19"/>
      <c r="D1038" s="19"/>
      <c r="F1038" s="19"/>
      <c r="K1038" s="205"/>
      <c r="L1038" s="205"/>
      <c r="M1038" s="205"/>
      <c r="N1038" s="205"/>
      <c r="O1038" s="205"/>
      <c r="P1038" s="205"/>
      <c r="Q1038" s="205"/>
      <c r="R1038" s="205"/>
      <c r="S1038" s="19"/>
      <c r="T1038" s="19"/>
      <c r="U1038" s="19"/>
      <c r="V1038" s="19"/>
      <c r="W1038" s="19"/>
      <c r="X1038" s="19"/>
      <c r="Y1038" s="19"/>
      <c r="AA1038" s="19"/>
    </row>
    <row r="1039" spans="2:27" x14ac:dyDescent="0.25">
      <c r="B1039" s="19"/>
      <c r="C1039" s="19"/>
      <c r="D1039" s="19"/>
      <c r="F1039" s="19"/>
      <c r="K1039" s="205"/>
      <c r="L1039" s="205"/>
      <c r="M1039" s="205"/>
      <c r="N1039" s="205"/>
      <c r="O1039" s="205"/>
      <c r="P1039" s="205"/>
      <c r="Q1039" s="205"/>
      <c r="R1039" s="205"/>
      <c r="S1039" s="19"/>
      <c r="T1039" s="19"/>
      <c r="U1039" s="19"/>
      <c r="V1039" s="19"/>
      <c r="W1039" s="19"/>
      <c r="X1039" s="19"/>
      <c r="Y1039" s="19"/>
      <c r="AA1039" s="19"/>
    </row>
    <row r="1040" spans="2:27" x14ac:dyDescent="0.25">
      <c r="B1040" s="19"/>
      <c r="C1040" s="19"/>
      <c r="D1040" s="19"/>
      <c r="F1040" s="19"/>
      <c r="K1040" s="205"/>
      <c r="L1040" s="205"/>
      <c r="M1040" s="205"/>
      <c r="N1040" s="205"/>
      <c r="O1040" s="205"/>
      <c r="P1040" s="205"/>
      <c r="Q1040" s="205"/>
      <c r="R1040" s="205"/>
      <c r="S1040" s="19"/>
      <c r="T1040" s="19"/>
      <c r="U1040" s="19"/>
      <c r="V1040" s="19"/>
      <c r="W1040" s="19"/>
      <c r="X1040" s="19"/>
      <c r="Y1040" s="19"/>
      <c r="AA1040" s="19"/>
    </row>
    <row r="1041" spans="2:27" x14ac:dyDescent="0.25">
      <c r="B1041" s="19"/>
      <c r="C1041" s="19"/>
      <c r="D1041" s="19"/>
      <c r="F1041" s="19"/>
      <c r="K1041" s="205"/>
      <c r="L1041" s="205"/>
      <c r="M1041" s="205"/>
      <c r="N1041" s="205"/>
      <c r="O1041" s="205"/>
      <c r="P1041" s="205"/>
      <c r="Q1041" s="205"/>
      <c r="R1041" s="205"/>
      <c r="S1041" s="19"/>
      <c r="T1041" s="19"/>
      <c r="U1041" s="19"/>
      <c r="V1041" s="19"/>
      <c r="W1041" s="19"/>
      <c r="X1041" s="19"/>
      <c r="Y1041" s="19"/>
      <c r="AA1041" s="19"/>
    </row>
    <row r="1042" spans="2:27" x14ac:dyDescent="0.25">
      <c r="B1042" s="19"/>
      <c r="C1042" s="19"/>
      <c r="D1042" s="19"/>
      <c r="F1042" s="19"/>
      <c r="K1042" s="205"/>
      <c r="L1042" s="205"/>
      <c r="M1042" s="205"/>
      <c r="N1042" s="205"/>
      <c r="O1042" s="205"/>
      <c r="P1042" s="205"/>
      <c r="Q1042" s="205"/>
      <c r="R1042" s="205"/>
      <c r="S1042" s="19"/>
      <c r="T1042" s="19"/>
      <c r="U1042" s="19"/>
      <c r="V1042" s="19"/>
      <c r="W1042" s="19"/>
      <c r="X1042" s="19"/>
      <c r="Y1042" s="19"/>
      <c r="AA1042" s="19"/>
    </row>
    <row r="1043" spans="2:27" x14ac:dyDescent="0.25">
      <c r="B1043" s="19"/>
      <c r="C1043" s="19"/>
      <c r="D1043" s="19"/>
      <c r="F1043" s="19"/>
      <c r="K1043" s="205"/>
      <c r="L1043" s="205"/>
      <c r="M1043" s="205"/>
      <c r="N1043" s="205"/>
      <c r="O1043" s="205"/>
      <c r="P1043" s="205"/>
      <c r="Q1043" s="205"/>
      <c r="R1043" s="205"/>
      <c r="S1043" s="19"/>
      <c r="T1043" s="19"/>
      <c r="U1043" s="19"/>
      <c r="V1043" s="19"/>
      <c r="W1043" s="19"/>
      <c r="X1043" s="19"/>
      <c r="Y1043" s="19"/>
      <c r="AA1043" s="19"/>
    </row>
    <row r="1044" spans="2:27" x14ac:dyDescent="0.25">
      <c r="B1044" s="19"/>
      <c r="C1044" s="19"/>
      <c r="D1044" s="19"/>
      <c r="F1044" s="19"/>
      <c r="K1044" s="205"/>
      <c r="L1044" s="205"/>
      <c r="M1044" s="205"/>
      <c r="N1044" s="205"/>
      <c r="O1044" s="205"/>
      <c r="P1044" s="205"/>
      <c r="Q1044" s="205"/>
      <c r="R1044" s="205"/>
      <c r="S1044" s="19"/>
      <c r="T1044" s="19"/>
      <c r="U1044" s="19"/>
      <c r="V1044" s="19"/>
      <c r="W1044" s="19"/>
      <c r="X1044" s="19"/>
      <c r="Y1044" s="19"/>
      <c r="AA1044" s="19"/>
    </row>
    <row r="1045" spans="2:27" x14ac:dyDescent="0.25">
      <c r="B1045" s="19"/>
      <c r="C1045" s="19"/>
      <c r="D1045" s="19"/>
      <c r="F1045" s="19"/>
      <c r="K1045" s="205"/>
      <c r="L1045" s="205"/>
      <c r="M1045" s="205"/>
      <c r="N1045" s="205"/>
      <c r="O1045" s="205"/>
      <c r="P1045" s="205"/>
      <c r="Q1045" s="205"/>
      <c r="R1045" s="205"/>
      <c r="S1045" s="19"/>
      <c r="T1045" s="19"/>
      <c r="U1045" s="19"/>
      <c r="V1045" s="19"/>
      <c r="W1045" s="19"/>
      <c r="X1045" s="19"/>
      <c r="Y1045" s="19"/>
      <c r="AA1045" s="19"/>
    </row>
    <row r="1046" spans="2:27" x14ac:dyDescent="0.25">
      <c r="B1046" s="19"/>
      <c r="C1046" s="19"/>
      <c r="D1046" s="19"/>
      <c r="F1046" s="19"/>
      <c r="K1046" s="205"/>
      <c r="L1046" s="205"/>
      <c r="M1046" s="205"/>
      <c r="N1046" s="205"/>
      <c r="O1046" s="205"/>
      <c r="P1046" s="205"/>
      <c r="Q1046" s="205"/>
      <c r="R1046" s="205"/>
      <c r="S1046" s="19"/>
      <c r="T1046" s="19"/>
      <c r="U1046" s="19"/>
      <c r="V1046" s="19"/>
      <c r="W1046" s="19"/>
      <c r="X1046" s="19"/>
      <c r="Y1046" s="19"/>
      <c r="AA1046" s="19"/>
    </row>
    <row r="1047" spans="2:27" x14ac:dyDescent="0.25">
      <c r="B1047" s="19"/>
      <c r="C1047" s="19"/>
      <c r="D1047" s="19"/>
      <c r="F1047" s="19"/>
      <c r="K1047" s="205"/>
      <c r="L1047" s="205"/>
      <c r="M1047" s="205"/>
      <c r="N1047" s="205"/>
      <c r="O1047" s="205"/>
      <c r="P1047" s="205"/>
      <c r="Q1047" s="205"/>
      <c r="R1047" s="205"/>
      <c r="S1047" s="19"/>
      <c r="T1047" s="19"/>
      <c r="U1047" s="19"/>
      <c r="V1047" s="19"/>
      <c r="W1047" s="19"/>
      <c r="X1047" s="19"/>
      <c r="Y1047" s="19"/>
      <c r="AA1047" s="19"/>
    </row>
    <row r="1048" spans="2:27" x14ac:dyDescent="0.25">
      <c r="B1048" s="19"/>
      <c r="C1048" s="19"/>
      <c r="D1048" s="19"/>
      <c r="F1048" s="19"/>
      <c r="K1048" s="205"/>
      <c r="L1048" s="205"/>
      <c r="M1048" s="205"/>
      <c r="N1048" s="205"/>
      <c r="O1048" s="205"/>
      <c r="P1048" s="205"/>
      <c r="Q1048" s="205"/>
      <c r="R1048" s="205"/>
      <c r="S1048" s="19"/>
      <c r="T1048" s="19"/>
      <c r="U1048" s="19"/>
      <c r="V1048" s="19"/>
      <c r="W1048" s="19"/>
      <c r="X1048" s="19"/>
      <c r="Y1048" s="19"/>
      <c r="AA1048" s="19"/>
    </row>
    <row r="1049" spans="2:27" x14ac:dyDescent="0.25">
      <c r="B1049" s="19"/>
      <c r="C1049" s="19"/>
      <c r="D1049" s="19"/>
      <c r="F1049" s="19"/>
      <c r="K1049" s="205"/>
      <c r="L1049" s="205"/>
      <c r="M1049" s="205"/>
      <c r="N1049" s="205"/>
      <c r="O1049" s="205"/>
      <c r="P1049" s="205"/>
      <c r="Q1049" s="205"/>
      <c r="R1049" s="205"/>
      <c r="S1049" s="19"/>
      <c r="T1049" s="19"/>
      <c r="U1049" s="19"/>
      <c r="V1049" s="19"/>
      <c r="W1049" s="19"/>
      <c r="X1049" s="19"/>
      <c r="Y1049" s="19"/>
      <c r="AA1049" s="19"/>
    </row>
    <row r="1050" spans="2:27" x14ac:dyDescent="0.25">
      <c r="B1050" s="19"/>
      <c r="C1050" s="19"/>
      <c r="D1050" s="19"/>
      <c r="F1050" s="19"/>
      <c r="K1050" s="205"/>
      <c r="L1050" s="205"/>
      <c r="M1050" s="205"/>
      <c r="N1050" s="205"/>
      <c r="O1050" s="205"/>
      <c r="P1050" s="205"/>
      <c r="Q1050" s="205"/>
      <c r="R1050" s="205"/>
      <c r="S1050" s="19"/>
      <c r="T1050" s="19"/>
      <c r="U1050" s="19"/>
      <c r="V1050" s="19"/>
      <c r="W1050" s="19"/>
      <c r="X1050" s="19"/>
      <c r="Y1050" s="19"/>
      <c r="AA1050" s="19"/>
    </row>
    <row r="1051" spans="2:27" x14ac:dyDescent="0.25">
      <c r="B1051" s="19"/>
      <c r="C1051" s="19"/>
      <c r="D1051" s="19"/>
      <c r="F1051" s="19"/>
      <c r="K1051" s="205"/>
      <c r="L1051" s="205"/>
      <c r="M1051" s="205"/>
      <c r="N1051" s="205"/>
      <c r="O1051" s="205"/>
      <c r="P1051" s="205"/>
      <c r="Q1051" s="205"/>
      <c r="R1051" s="205"/>
      <c r="S1051" s="19"/>
      <c r="T1051" s="19"/>
      <c r="U1051" s="19"/>
      <c r="V1051" s="19"/>
      <c r="W1051" s="19"/>
      <c r="X1051" s="19"/>
      <c r="Y1051" s="19"/>
      <c r="AA1051" s="19"/>
    </row>
    <row r="1052" spans="2:27" x14ac:dyDescent="0.25">
      <c r="B1052" s="19"/>
      <c r="C1052" s="19"/>
      <c r="D1052" s="19"/>
      <c r="F1052" s="19"/>
      <c r="K1052" s="205"/>
      <c r="L1052" s="205"/>
      <c r="M1052" s="205"/>
      <c r="N1052" s="205"/>
      <c r="O1052" s="205"/>
      <c r="P1052" s="205"/>
      <c r="Q1052" s="205"/>
      <c r="R1052" s="205"/>
      <c r="S1052" s="19"/>
      <c r="T1052" s="19"/>
      <c r="U1052" s="19"/>
      <c r="V1052" s="19"/>
      <c r="W1052" s="19"/>
      <c r="X1052" s="19"/>
      <c r="Y1052" s="19"/>
      <c r="AA1052" s="19"/>
    </row>
    <row r="1053" spans="2:27" x14ac:dyDescent="0.25">
      <c r="B1053" s="19"/>
      <c r="C1053" s="19"/>
      <c r="D1053" s="19"/>
      <c r="F1053" s="19"/>
      <c r="K1053" s="205"/>
      <c r="L1053" s="205"/>
      <c r="M1053" s="205"/>
      <c r="N1053" s="205"/>
      <c r="O1053" s="205"/>
      <c r="P1053" s="205"/>
      <c r="Q1053" s="205"/>
      <c r="R1053" s="205"/>
      <c r="S1053" s="19"/>
      <c r="T1053" s="19"/>
      <c r="U1053" s="19"/>
      <c r="V1053" s="19"/>
      <c r="W1053" s="19"/>
      <c r="X1053" s="19"/>
      <c r="Y1053" s="19"/>
      <c r="AA1053" s="19"/>
    </row>
    <row r="1054" spans="2:27" x14ac:dyDescent="0.25">
      <c r="B1054" s="19"/>
      <c r="C1054" s="19"/>
      <c r="D1054" s="19"/>
      <c r="F1054" s="19"/>
      <c r="U1054" s="19"/>
      <c r="V1054"/>
      <c r="W1054"/>
      <c r="X1054"/>
      <c r="Y1054"/>
      <c r="AA1054"/>
    </row>
    <row r="1055" spans="2:27" x14ac:dyDescent="0.25">
      <c r="B1055" s="19"/>
      <c r="C1055" s="19"/>
      <c r="D1055" s="19"/>
      <c r="F1055" s="19"/>
      <c r="U1055" s="19"/>
      <c r="V1055"/>
      <c r="W1055"/>
      <c r="X1055"/>
      <c r="Y1055"/>
      <c r="AA1055"/>
    </row>
    <row r="1056" spans="2:27" x14ac:dyDescent="0.25">
      <c r="B1056" s="19"/>
      <c r="C1056" s="19"/>
      <c r="D1056" s="19"/>
      <c r="F1056" s="19"/>
      <c r="U1056" s="19"/>
      <c r="V1056"/>
      <c r="W1056"/>
      <c r="X1056"/>
      <c r="Y1056"/>
      <c r="AA1056"/>
    </row>
    <row r="1057" spans="2:27" x14ac:dyDescent="0.25">
      <c r="B1057" s="19"/>
      <c r="C1057" s="19"/>
      <c r="D1057" s="19"/>
      <c r="F1057" s="19"/>
      <c r="U1057" s="19"/>
      <c r="V1057"/>
      <c r="W1057"/>
      <c r="X1057"/>
      <c r="Y1057"/>
      <c r="AA1057"/>
    </row>
    <row r="1058" spans="2:27" x14ac:dyDescent="0.25">
      <c r="B1058" s="19"/>
      <c r="C1058" s="19"/>
      <c r="D1058" s="19"/>
      <c r="F1058" s="19"/>
      <c r="U1058" s="19"/>
      <c r="V1058"/>
      <c r="W1058"/>
      <c r="X1058"/>
      <c r="Y1058"/>
      <c r="AA1058"/>
    </row>
    <row r="1059" spans="2:27" x14ac:dyDescent="0.25">
      <c r="B1059" s="19"/>
      <c r="C1059" s="19"/>
      <c r="D1059" s="19"/>
      <c r="F1059" s="19"/>
      <c r="U1059" s="19"/>
      <c r="V1059"/>
      <c r="W1059"/>
      <c r="X1059"/>
      <c r="Y1059"/>
      <c r="AA1059"/>
    </row>
    <row r="1060" spans="2:27" x14ac:dyDescent="0.25">
      <c r="B1060" s="19"/>
      <c r="C1060" s="19"/>
      <c r="D1060" s="19"/>
      <c r="F1060" s="19"/>
      <c r="U1060" s="19"/>
      <c r="V1060"/>
      <c r="W1060"/>
      <c r="X1060"/>
      <c r="Y1060"/>
      <c r="AA1060"/>
    </row>
    <row r="1061" spans="2:27" x14ac:dyDescent="0.25">
      <c r="B1061" s="19"/>
      <c r="C1061" s="19"/>
      <c r="D1061" s="19"/>
      <c r="F1061" s="19"/>
      <c r="U1061" s="19"/>
      <c r="V1061"/>
      <c r="W1061"/>
      <c r="X1061"/>
      <c r="Y1061"/>
      <c r="AA1061"/>
    </row>
    <row r="1062" spans="2:27" x14ac:dyDescent="0.25">
      <c r="B1062" s="19"/>
      <c r="C1062" s="19"/>
      <c r="D1062" s="19"/>
      <c r="F1062" s="19"/>
      <c r="U1062" s="19"/>
      <c r="V1062"/>
      <c r="W1062"/>
      <c r="X1062"/>
      <c r="Y1062"/>
      <c r="AA1062"/>
    </row>
    <row r="1063" spans="2:27" x14ac:dyDescent="0.25">
      <c r="B1063" s="19"/>
      <c r="C1063" s="19"/>
      <c r="D1063" s="19"/>
      <c r="F1063" s="19"/>
      <c r="U1063" s="19"/>
      <c r="V1063"/>
      <c r="W1063"/>
      <c r="X1063"/>
      <c r="Y1063"/>
      <c r="AA1063"/>
    </row>
    <row r="1064" spans="2:27" x14ac:dyDescent="0.25">
      <c r="B1064" s="19"/>
      <c r="C1064" s="19"/>
      <c r="D1064" s="19"/>
      <c r="F1064" s="19"/>
      <c r="U1064" s="19"/>
      <c r="V1064"/>
      <c r="W1064"/>
      <c r="X1064"/>
      <c r="Y1064"/>
      <c r="AA1064"/>
    </row>
    <row r="1065" spans="2:27" x14ac:dyDescent="0.25">
      <c r="B1065" s="19"/>
      <c r="C1065" s="19"/>
      <c r="D1065" s="19"/>
      <c r="F1065" s="19"/>
      <c r="U1065" s="19"/>
      <c r="V1065"/>
      <c r="W1065"/>
      <c r="X1065"/>
      <c r="Y1065"/>
      <c r="AA1065"/>
    </row>
    <row r="1066" spans="2:27" x14ac:dyDescent="0.25">
      <c r="B1066" s="19"/>
      <c r="C1066" s="19"/>
      <c r="D1066" s="19"/>
      <c r="F1066" s="19"/>
      <c r="U1066" s="19"/>
      <c r="V1066"/>
      <c r="W1066"/>
      <c r="X1066"/>
      <c r="Y1066"/>
      <c r="AA1066"/>
    </row>
    <row r="1067" spans="2:27" x14ac:dyDescent="0.25">
      <c r="B1067" s="19"/>
      <c r="C1067" s="19"/>
      <c r="D1067" s="19"/>
      <c r="F1067" s="19"/>
      <c r="U1067" s="19"/>
      <c r="V1067"/>
      <c r="W1067"/>
      <c r="X1067"/>
      <c r="Y1067"/>
      <c r="AA1067"/>
    </row>
    <row r="1068" spans="2:27" x14ac:dyDescent="0.25">
      <c r="B1068" s="19"/>
      <c r="C1068" s="19"/>
      <c r="D1068" s="19"/>
      <c r="F1068" s="19"/>
      <c r="U1068" s="19"/>
      <c r="V1068"/>
      <c r="W1068"/>
      <c r="X1068"/>
      <c r="Y1068"/>
      <c r="AA1068"/>
    </row>
    <row r="1069" spans="2:27" x14ac:dyDescent="0.25">
      <c r="B1069" s="19"/>
      <c r="C1069" s="19"/>
      <c r="D1069" s="19"/>
      <c r="F1069" s="19"/>
      <c r="U1069" s="19"/>
      <c r="V1069"/>
      <c r="W1069"/>
      <c r="X1069"/>
      <c r="Y1069"/>
      <c r="AA1069"/>
    </row>
    <row r="1070" spans="2:27" x14ac:dyDescent="0.25">
      <c r="B1070" s="19"/>
      <c r="C1070" s="19"/>
      <c r="D1070" s="19"/>
      <c r="F1070" s="19"/>
      <c r="U1070" s="19"/>
      <c r="V1070"/>
      <c r="W1070"/>
      <c r="X1070"/>
      <c r="Y1070"/>
      <c r="AA1070"/>
    </row>
    <row r="1071" spans="2:27" x14ac:dyDescent="0.25">
      <c r="B1071" s="19"/>
      <c r="C1071" s="19"/>
      <c r="D1071" s="19"/>
      <c r="F1071" s="19"/>
      <c r="U1071" s="19"/>
      <c r="V1071"/>
      <c r="W1071"/>
      <c r="X1071"/>
      <c r="Y1071"/>
      <c r="AA1071"/>
    </row>
    <row r="1072" spans="2:27" x14ac:dyDescent="0.25">
      <c r="B1072" s="19"/>
      <c r="C1072" s="19"/>
      <c r="D1072" s="19"/>
      <c r="F1072" s="19"/>
      <c r="U1072" s="19"/>
      <c r="V1072"/>
      <c r="W1072"/>
      <c r="X1072"/>
      <c r="Y1072"/>
      <c r="AA1072"/>
    </row>
    <row r="1073" spans="2:27" x14ac:dyDescent="0.25">
      <c r="B1073" s="19"/>
      <c r="C1073" s="19"/>
      <c r="D1073" s="19"/>
      <c r="F1073" s="19"/>
      <c r="U1073" s="19"/>
      <c r="V1073"/>
      <c r="W1073"/>
      <c r="X1073"/>
      <c r="Y1073"/>
      <c r="AA1073"/>
    </row>
    <row r="1074" spans="2:27" x14ac:dyDescent="0.25">
      <c r="B1074" s="19"/>
      <c r="C1074" s="19"/>
      <c r="D1074" s="19"/>
      <c r="F1074" s="19"/>
      <c r="U1074" s="19"/>
      <c r="V1074"/>
      <c r="W1074"/>
      <c r="X1074"/>
      <c r="Y1074"/>
      <c r="AA1074"/>
    </row>
    <row r="1075" spans="2:27" x14ac:dyDescent="0.25">
      <c r="B1075" s="19"/>
      <c r="C1075" s="19"/>
      <c r="D1075" s="19"/>
      <c r="F1075" s="19"/>
      <c r="U1075" s="19"/>
      <c r="V1075"/>
      <c r="W1075"/>
      <c r="X1075"/>
      <c r="Y1075"/>
      <c r="AA1075"/>
    </row>
    <row r="1076" spans="2:27" x14ac:dyDescent="0.25">
      <c r="B1076" s="19"/>
      <c r="C1076" s="19"/>
      <c r="D1076" s="19"/>
      <c r="F1076" s="19"/>
      <c r="U1076" s="19"/>
      <c r="V1076"/>
      <c r="W1076"/>
      <c r="X1076"/>
      <c r="Y1076"/>
      <c r="AA1076"/>
    </row>
    <row r="1077" spans="2:27" x14ac:dyDescent="0.25">
      <c r="B1077" s="19"/>
      <c r="C1077" s="19"/>
      <c r="D1077" s="19"/>
      <c r="F1077" s="19"/>
      <c r="U1077" s="19"/>
      <c r="V1077"/>
      <c r="W1077"/>
      <c r="X1077"/>
      <c r="Y1077"/>
      <c r="AA1077"/>
    </row>
    <row r="1078" spans="2:27" x14ac:dyDescent="0.25">
      <c r="B1078" s="19"/>
      <c r="C1078" s="19"/>
      <c r="D1078" s="19"/>
      <c r="F1078" s="19"/>
      <c r="U1078" s="19"/>
      <c r="V1078"/>
      <c r="W1078"/>
      <c r="X1078"/>
      <c r="Y1078"/>
      <c r="AA1078"/>
    </row>
    <row r="1079" spans="2:27" x14ac:dyDescent="0.25">
      <c r="B1079" s="19"/>
      <c r="C1079" s="19"/>
      <c r="D1079" s="19"/>
      <c r="F1079" s="19"/>
      <c r="U1079" s="19"/>
      <c r="V1079"/>
      <c r="W1079"/>
      <c r="X1079"/>
      <c r="Y1079"/>
      <c r="AA1079"/>
    </row>
    <row r="1080" spans="2:27" x14ac:dyDescent="0.25">
      <c r="B1080" s="19"/>
      <c r="C1080" s="19"/>
      <c r="D1080" s="19"/>
      <c r="F1080" s="19"/>
      <c r="U1080" s="19"/>
      <c r="V1080"/>
      <c r="W1080"/>
      <c r="X1080"/>
      <c r="Y1080"/>
      <c r="AA1080"/>
    </row>
    <row r="1081" spans="2:27" x14ac:dyDescent="0.25">
      <c r="B1081" s="19"/>
      <c r="C1081" s="19"/>
      <c r="D1081" s="19"/>
      <c r="F1081" s="19"/>
      <c r="U1081" s="19"/>
      <c r="V1081"/>
      <c r="W1081"/>
      <c r="X1081"/>
      <c r="Y1081"/>
      <c r="AA1081"/>
    </row>
    <row r="1082" spans="2:27" x14ac:dyDescent="0.25">
      <c r="B1082" s="19"/>
      <c r="C1082" s="19"/>
      <c r="D1082" s="19"/>
      <c r="F1082" s="19"/>
      <c r="U1082" s="19"/>
      <c r="V1082"/>
      <c r="W1082"/>
      <c r="X1082"/>
      <c r="Y1082"/>
      <c r="AA1082"/>
    </row>
    <row r="1083" spans="2:27" x14ac:dyDescent="0.25">
      <c r="B1083" s="19"/>
      <c r="C1083" s="19"/>
      <c r="D1083" s="19"/>
      <c r="F1083" s="19"/>
      <c r="U1083" s="19"/>
      <c r="V1083"/>
      <c r="W1083"/>
      <c r="X1083"/>
      <c r="Y1083"/>
      <c r="AA1083"/>
    </row>
    <row r="1084" spans="2:27" x14ac:dyDescent="0.25">
      <c r="B1084" s="19"/>
      <c r="C1084" s="19"/>
      <c r="D1084" s="19"/>
      <c r="F1084" s="19"/>
      <c r="U1084" s="19"/>
      <c r="V1084"/>
      <c r="W1084"/>
      <c r="X1084"/>
      <c r="Y1084"/>
      <c r="AA1084"/>
    </row>
    <row r="1085" spans="2:27" x14ac:dyDescent="0.25">
      <c r="B1085" s="19"/>
      <c r="C1085" s="19"/>
      <c r="D1085" s="19"/>
      <c r="F1085" s="19"/>
      <c r="U1085" s="19"/>
      <c r="V1085"/>
      <c r="W1085"/>
      <c r="X1085"/>
      <c r="Y1085"/>
      <c r="AA1085"/>
    </row>
    <row r="1086" spans="2:27" x14ac:dyDescent="0.25">
      <c r="B1086" s="19"/>
      <c r="C1086" s="19"/>
      <c r="D1086" s="19"/>
      <c r="F1086" s="19"/>
      <c r="U1086" s="19"/>
      <c r="V1086"/>
      <c r="W1086"/>
      <c r="X1086"/>
      <c r="Y1086"/>
      <c r="AA1086"/>
    </row>
    <row r="1087" spans="2:27" x14ac:dyDescent="0.25">
      <c r="B1087" s="19"/>
      <c r="C1087" s="19"/>
      <c r="D1087" s="19"/>
      <c r="F1087" s="19"/>
      <c r="U1087" s="19"/>
      <c r="V1087"/>
      <c r="W1087"/>
      <c r="X1087"/>
      <c r="Y1087"/>
      <c r="AA1087"/>
    </row>
    <row r="1088" spans="2:27" x14ac:dyDescent="0.25">
      <c r="B1088" s="19"/>
      <c r="C1088" s="19"/>
      <c r="D1088" s="19"/>
      <c r="F1088" s="19"/>
      <c r="U1088" s="19"/>
      <c r="V1088"/>
      <c r="W1088"/>
      <c r="X1088"/>
      <c r="Y1088"/>
      <c r="AA1088"/>
    </row>
    <row r="1089" spans="2:27" x14ac:dyDescent="0.25">
      <c r="B1089" s="19"/>
      <c r="C1089" s="19"/>
      <c r="D1089" s="19"/>
      <c r="F1089" s="19"/>
      <c r="U1089" s="19"/>
      <c r="V1089"/>
      <c r="W1089"/>
      <c r="X1089"/>
      <c r="Y1089"/>
      <c r="AA1089"/>
    </row>
    <row r="1090" spans="2:27" x14ac:dyDescent="0.25">
      <c r="B1090" s="19"/>
      <c r="C1090" s="19"/>
      <c r="D1090" s="19"/>
      <c r="F1090" s="19"/>
      <c r="U1090" s="19"/>
      <c r="V1090"/>
      <c r="W1090"/>
      <c r="X1090"/>
      <c r="Y1090"/>
      <c r="AA1090"/>
    </row>
    <row r="1091" spans="2:27" x14ac:dyDescent="0.25">
      <c r="B1091" s="19"/>
      <c r="C1091" s="19"/>
      <c r="D1091" s="19"/>
      <c r="F1091" s="19"/>
      <c r="U1091" s="19"/>
      <c r="V1091"/>
      <c r="W1091"/>
      <c r="X1091"/>
      <c r="Y1091"/>
      <c r="AA1091"/>
    </row>
    <row r="1092" spans="2:27" x14ac:dyDescent="0.25">
      <c r="B1092" s="19"/>
      <c r="C1092" s="19"/>
      <c r="D1092" s="19"/>
      <c r="F1092" s="19"/>
      <c r="U1092" s="19"/>
      <c r="V1092"/>
      <c r="W1092"/>
      <c r="X1092"/>
      <c r="Y1092"/>
      <c r="AA1092"/>
    </row>
    <row r="1093" spans="2:27" x14ac:dyDescent="0.25">
      <c r="B1093" s="19"/>
      <c r="C1093" s="19"/>
      <c r="D1093" s="19"/>
      <c r="F1093" s="19"/>
      <c r="U1093" s="19"/>
      <c r="V1093"/>
      <c r="W1093"/>
      <c r="X1093"/>
      <c r="Y1093"/>
      <c r="AA1093"/>
    </row>
    <row r="1094" spans="2:27" x14ac:dyDescent="0.25">
      <c r="B1094" s="19"/>
      <c r="C1094" s="19"/>
      <c r="D1094" s="19"/>
      <c r="F1094" s="19"/>
      <c r="U1094" s="19"/>
      <c r="V1094"/>
      <c r="W1094"/>
      <c r="X1094"/>
      <c r="Y1094"/>
      <c r="AA1094"/>
    </row>
    <row r="1095" spans="2:27" x14ac:dyDescent="0.25">
      <c r="B1095" s="19"/>
      <c r="C1095" s="19"/>
      <c r="D1095" s="19"/>
      <c r="F1095" s="19"/>
      <c r="U1095" s="19"/>
      <c r="V1095"/>
      <c r="W1095"/>
      <c r="X1095"/>
      <c r="Y1095"/>
      <c r="AA1095"/>
    </row>
    <row r="1096" spans="2:27" x14ac:dyDescent="0.25">
      <c r="B1096" s="19"/>
      <c r="C1096" s="19"/>
      <c r="D1096" s="19"/>
      <c r="F1096" s="19"/>
      <c r="U1096" s="19"/>
      <c r="V1096"/>
      <c r="W1096"/>
      <c r="X1096"/>
      <c r="Y1096"/>
      <c r="AA1096"/>
    </row>
    <row r="1097" spans="2:27" x14ac:dyDescent="0.25">
      <c r="B1097" s="19"/>
      <c r="C1097" s="19"/>
      <c r="D1097" s="19"/>
      <c r="F1097" s="19"/>
      <c r="U1097" s="19"/>
      <c r="V1097"/>
      <c r="W1097"/>
      <c r="X1097"/>
      <c r="Y1097"/>
      <c r="AA1097"/>
    </row>
    <row r="1098" spans="2:27" x14ac:dyDescent="0.25">
      <c r="B1098" s="19"/>
      <c r="C1098" s="19"/>
      <c r="D1098" s="19"/>
      <c r="F1098" s="19"/>
      <c r="U1098" s="19"/>
      <c r="V1098"/>
      <c r="W1098"/>
      <c r="X1098"/>
      <c r="Y1098"/>
      <c r="AA1098"/>
    </row>
    <row r="1099" spans="2:27" x14ac:dyDescent="0.25">
      <c r="B1099" s="19"/>
      <c r="C1099" s="19"/>
      <c r="D1099" s="19"/>
      <c r="F1099" s="19"/>
      <c r="U1099" s="19"/>
      <c r="V1099"/>
      <c r="W1099"/>
      <c r="X1099"/>
      <c r="Y1099"/>
      <c r="AA1099"/>
    </row>
    <row r="1100" spans="2:27" x14ac:dyDescent="0.25">
      <c r="B1100" s="19"/>
      <c r="C1100" s="19"/>
      <c r="D1100" s="19"/>
      <c r="F1100" s="19"/>
      <c r="U1100" s="19"/>
      <c r="V1100"/>
      <c r="W1100"/>
      <c r="X1100"/>
      <c r="Y1100"/>
      <c r="AA1100"/>
    </row>
    <row r="1101" spans="2:27" x14ac:dyDescent="0.25">
      <c r="B1101" s="19"/>
      <c r="C1101" s="19"/>
      <c r="D1101" s="19"/>
      <c r="F1101" s="19"/>
      <c r="U1101" s="19"/>
      <c r="V1101"/>
      <c r="W1101"/>
      <c r="X1101"/>
      <c r="Y1101"/>
      <c r="AA1101"/>
    </row>
    <row r="1102" spans="2:27" x14ac:dyDescent="0.25">
      <c r="B1102" s="19"/>
      <c r="C1102" s="19"/>
      <c r="D1102" s="19"/>
      <c r="F1102" s="19"/>
      <c r="U1102" s="19"/>
      <c r="V1102"/>
      <c r="W1102"/>
      <c r="X1102"/>
      <c r="Y1102"/>
      <c r="AA1102"/>
    </row>
    <row r="1103" spans="2:27" x14ac:dyDescent="0.25">
      <c r="B1103" s="19"/>
      <c r="C1103" s="19"/>
      <c r="D1103" s="19"/>
      <c r="F1103" s="19"/>
      <c r="U1103" s="19"/>
      <c r="V1103"/>
      <c r="W1103"/>
      <c r="X1103"/>
      <c r="Y1103"/>
      <c r="AA1103"/>
    </row>
    <row r="1104" spans="2:27" x14ac:dyDescent="0.25">
      <c r="B1104" s="19"/>
      <c r="C1104" s="19"/>
      <c r="D1104" s="19"/>
      <c r="F1104" s="19"/>
      <c r="U1104" s="19"/>
      <c r="V1104"/>
      <c r="W1104"/>
      <c r="X1104"/>
      <c r="Y1104"/>
      <c r="AA1104"/>
    </row>
    <row r="1105" spans="2:27" x14ac:dyDescent="0.25">
      <c r="B1105" s="19"/>
      <c r="C1105" s="19"/>
      <c r="D1105" s="19"/>
      <c r="F1105" s="19"/>
      <c r="U1105" s="19"/>
      <c r="V1105"/>
      <c r="W1105"/>
      <c r="X1105"/>
      <c r="Y1105"/>
      <c r="AA1105"/>
    </row>
    <row r="1106" spans="2:27" x14ac:dyDescent="0.25">
      <c r="B1106" s="19"/>
      <c r="C1106" s="19"/>
      <c r="D1106" s="19"/>
      <c r="F1106" s="19"/>
      <c r="U1106" s="19"/>
      <c r="V1106"/>
      <c r="W1106"/>
      <c r="X1106"/>
      <c r="Y1106"/>
      <c r="AA1106"/>
    </row>
    <row r="1107" spans="2:27" x14ac:dyDescent="0.25">
      <c r="B1107" s="19"/>
      <c r="C1107" s="19"/>
      <c r="D1107" s="19"/>
      <c r="F1107" s="19"/>
      <c r="U1107" s="19"/>
      <c r="V1107"/>
      <c r="W1107"/>
      <c r="X1107"/>
      <c r="Y1107"/>
      <c r="AA1107"/>
    </row>
    <row r="1108" spans="2:27" x14ac:dyDescent="0.25">
      <c r="B1108" s="19"/>
      <c r="C1108" s="19"/>
      <c r="D1108" s="19"/>
      <c r="F1108" s="19"/>
      <c r="U1108" s="19"/>
      <c r="V1108"/>
      <c r="W1108"/>
      <c r="X1108"/>
      <c r="Y1108"/>
      <c r="AA1108"/>
    </row>
    <row r="1109" spans="2:27" x14ac:dyDescent="0.25">
      <c r="B1109" s="19"/>
      <c r="C1109" s="19"/>
      <c r="D1109" s="19"/>
      <c r="F1109" s="19"/>
      <c r="U1109" s="19"/>
      <c r="V1109"/>
      <c r="W1109"/>
      <c r="X1109"/>
      <c r="Y1109"/>
      <c r="AA1109"/>
    </row>
    <row r="1110" spans="2:27" x14ac:dyDescent="0.25">
      <c r="B1110" s="19"/>
      <c r="C1110" s="19"/>
      <c r="D1110" s="19"/>
      <c r="F1110" s="19"/>
      <c r="U1110" s="19"/>
      <c r="V1110"/>
      <c r="W1110"/>
      <c r="X1110"/>
      <c r="Y1110"/>
      <c r="AA1110"/>
    </row>
    <row r="1111" spans="2:27" x14ac:dyDescent="0.25">
      <c r="B1111" s="19"/>
      <c r="C1111" s="19"/>
      <c r="D1111" s="19"/>
      <c r="F1111" s="19"/>
      <c r="U1111" s="19"/>
      <c r="V1111"/>
      <c r="W1111"/>
      <c r="X1111"/>
      <c r="Y1111"/>
      <c r="AA1111"/>
    </row>
    <row r="1112" spans="2:27" x14ac:dyDescent="0.25">
      <c r="B1112" s="19"/>
      <c r="C1112" s="19"/>
      <c r="D1112" s="19"/>
      <c r="F1112" s="19"/>
      <c r="U1112" s="19"/>
      <c r="V1112"/>
      <c r="W1112"/>
      <c r="X1112"/>
      <c r="Y1112"/>
      <c r="AA1112"/>
    </row>
    <row r="1113" spans="2:27" x14ac:dyDescent="0.25">
      <c r="B1113" s="19"/>
      <c r="C1113" s="19"/>
      <c r="D1113" s="19"/>
      <c r="F1113" s="19"/>
      <c r="U1113" s="19"/>
      <c r="V1113"/>
      <c r="W1113"/>
      <c r="X1113"/>
      <c r="Y1113"/>
      <c r="AA1113"/>
    </row>
    <row r="1114" spans="2:27" x14ac:dyDescent="0.25">
      <c r="B1114" s="19"/>
      <c r="C1114" s="19"/>
      <c r="D1114" s="19"/>
      <c r="F1114" s="19"/>
      <c r="U1114" s="19"/>
      <c r="V1114"/>
      <c r="W1114"/>
      <c r="X1114"/>
      <c r="Y1114"/>
      <c r="AA1114"/>
    </row>
    <row r="1115" spans="2:27" x14ac:dyDescent="0.25">
      <c r="B1115" s="19"/>
      <c r="C1115" s="19"/>
      <c r="D1115" s="19"/>
      <c r="F1115" s="19"/>
      <c r="U1115" s="19"/>
      <c r="V1115"/>
      <c r="W1115"/>
      <c r="X1115"/>
      <c r="Y1115"/>
      <c r="AA1115"/>
    </row>
    <row r="1116" spans="2:27" x14ac:dyDescent="0.25">
      <c r="B1116" s="19"/>
      <c r="C1116" s="19"/>
      <c r="D1116" s="19"/>
      <c r="F1116" s="19"/>
      <c r="U1116" s="19"/>
      <c r="V1116"/>
      <c r="W1116"/>
      <c r="X1116"/>
      <c r="Y1116"/>
      <c r="AA1116"/>
    </row>
    <row r="1117" spans="2:27" x14ac:dyDescent="0.25">
      <c r="B1117" s="19"/>
      <c r="C1117" s="19"/>
      <c r="D1117" s="19"/>
      <c r="F1117" s="19"/>
      <c r="U1117" s="19"/>
      <c r="V1117"/>
      <c r="W1117"/>
      <c r="X1117"/>
      <c r="Y1117"/>
      <c r="AA1117"/>
    </row>
    <row r="1118" spans="2:27" x14ac:dyDescent="0.25">
      <c r="B1118" s="19"/>
      <c r="C1118" s="19"/>
      <c r="D1118" s="19"/>
      <c r="F1118" s="19"/>
      <c r="U1118" s="19"/>
      <c r="V1118"/>
      <c r="W1118"/>
      <c r="X1118"/>
      <c r="Y1118"/>
      <c r="AA1118"/>
    </row>
    <row r="1119" spans="2:27" x14ac:dyDescent="0.25">
      <c r="B1119" s="19"/>
      <c r="C1119" s="19"/>
      <c r="D1119" s="19"/>
      <c r="F1119" s="19"/>
      <c r="U1119" s="19"/>
      <c r="V1119"/>
      <c r="W1119"/>
      <c r="X1119"/>
      <c r="Y1119"/>
      <c r="AA1119"/>
    </row>
    <row r="1120" spans="2:27" x14ac:dyDescent="0.25">
      <c r="B1120" s="19"/>
      <c r="C1120" s="19"/>
      <c r="D1120" s="19"/>
      <c r="F1120" s="19"/>
      <c r="U1120" s="19"/>
      <c r="V1120"/>
      <c r="W1120"/>
      <c r="X1120"/>
      <c r="Y1120"/>
      <c r="AA1120"/>
    </row>
    <row r="1121" spans="2:27" x14ac:dyDescent="0.25">
      <c r="B1121" s="19"/>
      <c r="C1121" s="19"/>
      <c r="D1121" s="19"/>
      <c r="F1121" s="19"/>
      <c r="U1121" s="19"/>
      <c r="V1121"/>
      <c r="W1121"/>
      <c r="X1121"/>
      <c r="Y1121"/>
      <c r="AA1121"/>
    </row>
    <row r="1122" spans="2:27" x14ac:dyDescent="0.25">
      <c r="B1122" s="19"/>
      <c r="C1122" s="19"/>
      <c r="D1122" s="19"/>
      <c r="F1122" s="19"/>
      <c r="U1122" s="19"/>
      <c r="V1122"/>
      <c r="W1122"/>
      <c r="X1122"/>
      <c r="Y1122"/>
      <c r="AA1122"/>
    </row>
    <row r="1123" spans="2:27" x14ac:dyDescent="0.25">
      <c r="B1123" s="19"/>
      <c r="C1123" s="19"/>
      <c r="D1123" s="19"/>
      <c r="F1123" s="19"/>
      <c r="U1123" s="19"/>
      <c r="V1123"/>
      <c r="W1123"/>
      <c r="X1123"/>
      <c r="Y1123"/>
      <c r="AA1123"/>
    </row>
    <row r="1124" spans="2:27" x14ac:dyDescent="0.25">
      <c r="B1124" s="19"/>
      <c r="C1124" s="19"/>
      <c r="D1124" s="19"/>
      <c r="F1124" s="19"/>
      <c r="U1124" s="19"/>
      <c r="V1124"/>
      <c r="W1124"/>
      <c r="X1124"/>
      <c r="Y1124"/>
      <c r="AA1124"/>
    </row>
    <row r="1125" spans="2:27" x14ac:dyDescent="0.25">
      <c r="B1125" s="19"/>
      <c r="C1125" s="19"/>
      <c r="D1125" s="19"/>
      <c r="F1125" s="19"/>
      <c r="U1125" s="19"/>
      <c r="V1125"/>
      <c r="W1125"/>
      <c r="X1125"/>
      <c r="Y1125"/>
      <c r="AA1125"/>
    </row>
    <row r="1126" spans="2:27" x14ac:dyDescent="0.25">
      <c r="B1126" s="19"/>
      <c r="C1126" s="19"/>
      <c r="D1126" s="19"/>
      <c r="F1126" s="19"/>
      <c r="U1126" s="19"/>
      <c r="V1126"/>
      <c r="W1126"/>
      <c r="X1126"/>
      <c r="Y1126"/>
      <c r="AA1126"/>
    </row>
    <row r="1127" spans="2:27" x14ac:dyDescent="0.25">
      <c r="B1127" s="19"/>
      <c r="C1127" s="19"/>
      <c r="D1127" s="19"/>
      <c r="F1127" s="19"/>
      <c r="U1127" s="19"/>
      <c r="V1127"/>
      <c r="W1127"/>
      <c r="X1127"/>
      <c r="Y1127"/>
      <c r="AA1127"/>
    </row>
    <row r="1128" spans="2:27" x14ac:dyDescent="0.25">
      <c r="B1128" s="19"/>
      <c r="C1128" s="19"/>
      <c r="D1128" s="19"/>
      <c r="F1128" s="19"/>
      <c r="U1128" s="19"/>
      <c r="V1128"/>
      <c r="W1128"/>
      <c r="X1128"/>
      <c r="Y1128"/>
      <c r="AA1128"/>
    </row>
    <row r="1129" spans="2:27" x14ac:dyDescent="0.25">
      <c r="B1129" s="19"/>
      <c r="C1129" s="19"/>
      <c r="D1129" s="19"/>
      <c r="F1129" s="19"/>
      <c r="U1129" s="19"/>
      <c r="V1129"/>
      <c r="W1129"/>
      <c r="X1129"/>
      <c r="Y1129"/>
      <c r="AA1129"/>
    </row>
    <row r="1130" spans="2:27" x14ac:dyDescent="0.25">
      <c r="B1130" s="19"/>
      <c r="C1130" s="19"/>
      <c r="D1130" s="19"/>
      <c r="F1130" s="19"/>
      <c r="U1130" s="19"/>
      <c r="V1130"/>
      <c r="W1130"/>
      <c r="X1130"/>
      <c r="Y1130"/>
      <c r="AA1130"/>
    </row>
    <row r="1131" spans="2:27" x14ac:dyDescent="0.25">
      <c r="B1131" s="19"/>
      <c r="C1131" s="19"/>
      <c r="D1131" s="19"/>
      <c r="F1131" s="19"/>
      <c r="U1131" s="19"/>
      <c r="V1131"/>
      <c r="W1131"/>
      <c r="X1131"/>
      <c r="Y1131"/>
      <c r="AA1131"/>
    </row>
    <row r="1132" spans="2:27" x14ac:dyDescent="0.25">
      <c r="B1132" s="19"/>
      <c r="C1132" s="19"/>
      <c r="D1132" s="19"/>
      <c r="F1132" s="19"/>
      <c r="U1132" s="19"/>
      <c r="V1132"/>
      <c r="W1132"/>
      <c r="X1132"/>
      <c r="Y1132"/>
      <c r="AA1132"/>
    </row>
    <row r="1133" spans="2:27" x14ac:dyDescent="0.25">
      <c r="B1133" s="19"/>
      <c r="C1133" s="19"/>
      <c r="D1133" s="19"/>
      <c r="F1133" s="19"/>
      <c r="U1133" s="19"/>
      <c r="V1133"/>
      <c r="W1133"/>
      <c r="X1133"/>
      <c r="Y1133"/>
      <c r="AA1133"/>
    </row>
    <row r="1134" spans="2:27" x14ac:dyDescent="0.25">
      <c r="B1134" s="19"/>
      <c r="C1134" s="19"/>
      <c r="D1134" s="19"/>
      <c r="F1134" s="19"/>
      <c r="U1134" s="19"/>
      <c r="V1134"/>
      <c r="W1134"/>
      <c r="X1134"/>
      <c r="Y1134"/>
      <c r="AA1134"/>
    </row>
    <row r="1135" spans="2:27" x14ac:dyDescent="0.25">
      <c r="B1135" s="19"/>
      <c r="C1135" s="19"/>
      <c r="D1135" s="19"/>
      <c r="F1135" s="19"/>
      <c r="U1135" s="19"/>
      <c r="V1135"/>
      <c r="W1135"/>
      <c r="X1135"/>
      <c r="Y1135"/>
      <c r="AA1135"/>
    </row>
    <row r="1136" spans="2:27" x14ac:dyDescent="0.25">
      <c r="B1136" s="19"/>
      <c r="C1136" s="19"/>
      <c r="D1136" s="19"/>
      <c r="F1136" s="19"/>
      <c r="U1136" s="19"/>
      <c r="V1136"/>
      <c r="W1136"/>
      <c r="X1136"/>
      <c r="Y1136"/>
      <c r="AA1136"/>
    </row>
    <row r="1137" spans="2:27" x14ac:dyDescent="0.25">
      <c r="B1137" s="19"/>
      <c r="C1137" s="19"/>
      <c r="D1137" s="19"/>
      <c r="F1137" s="19"/>
      <c r="U1137" s="19"/>
      <c r="V1137"/>
      <c r="W1137"/>
      <c r="X1137"/>
      <c r="Y1137"/>
      <c r="AA1137"/>
    </row>
    <row r="1138" spans="2:27" x14ac:dyDescent="0.25">
      <c r="B1138" s="19"/>
      <c r="C1138" s="19"/>
      <c r="D1138" s="19"/>
      <c r="F1138" s="19"/>
      <c r="U1138" s="19"/>
      <c r="V1138"/>
      <c r="W1138"/>
      <c r="X1138"/>
      <c r="Y1138"/>
      <c r="AA1138"/>
    </row>
    <row r="1139" spans="2:27" x14ac:dyDescent="0.25">
      <c r="B1139" s="19"/>
      <c r="C1139" s="19"/>
      <c r="D1139" s="19"/>
      <c r="F1139" s="19"/>
      <c r="U1139" s="19"/>
      <c r="V1139"/>
      <c r="W1139"/>
      <c r="X1139"/>
      <c r="Y1139"/>
      <c r="AA1139"/>
    </row>
    <row r="1140" spans="2:27" x14ac:dyDescent="0.25">
      <c r="B1140" s="19"/>
      <c r="C1140" s="19"/>
      <c r="D1140" s="19"/>
      <c r="F1140" s="19"/>
      <c r="U1140" s="19"/>
      <c r="V1140"/>
      <c r="W1140"/>
      <c r="X1140"/>
      <c r="Y1140"/>
      <c r="AA1140"/>
    </row>
    <row r="1141" spans="2:27" x14ac:dyDescent="0.25">
      <c r="B1141" s="19"/>
      <c r="C1141" s="19"/>
      <c r="D1141" s="19"/>
      <c r="F1141" s="19"/>
      <c r="U1141" s="19"/>
      <c r="V1141"/>
      <c r="W1141"/>
      <c r="X1141"/>
      <c r="Y1141"/>
      <c r="AA1141"/>
    </row>
    <row r="1142" spans="2:27" x14ac:dyDescent="0.25">
      <c r="B1142" s="19"/>
      <c r="C1142" s="19"/>
      <c r="D1142" s="19"/>
      <c r="F1142" s="19"/>
      <c r="U1142" s="19"/>
      <c r="V1142"/>
      <c r="W1142"/>
      <c r="X1142"/>
      <c r="Y1142"/>
      <c r="AA1142"/>
    </row>
    <row r="1143" spans="2:27" x14ac:dyDescent="0.25">
      <c r="B1143" s="19"/>
      <c r="C1143" s="19"/>
      <c r="D1143" s="19"/>
      <c r="F1143" s="19"/>
      <c r="U1143" s="19"/>
      <c r="V1143"/>
      <c r="W1143"/>
      <c r="X1143"/>
      <c r="Y1143"/>
      <c r="AA1143"/>
    </row>
    <row r="1144" spans="2:27" x14ac:dyDescent="0.25">
      <c r="B1144" s="19"/>
      <c r="C1144" s="19"/>
      <c r="D1144" s="19"/>
      <c r="F1144" s="19"/>
      <c r="U1144" s="19"/>
      <c r="V1144"/>
      <c r="W1144"/>
      <c r="X1144"/>
      <c r="Y1144"/>
      <c r="AA1144"/>
    </row>
    <row r="1145" spans="2:27" x14ac:dyDescent="0.25">
      <c r="B1145" s="19"/>
      <c r="C1145" s="19"/>
      <c r="D1145" s="19"/>
      <c r="F1145" s="19"/>
      <c r="U1145" s="19"/>
      <c r="V1145"/>
      <c r="W1145"/>
      <c r="X1145"/>
      <c r="Y1145"/>
      <c r="AA1145"/>
    </row>
    <row r="1146" spans="2:27" x14ac:dyDescent="0.25">
      <c r="B1146" s="19"/>
      <c r="C1146" s="19"/>
      <c r="D1146" s="19"/>
      <c r="F1146" s="19"/>
      <c r="U1146" s="19"/>
      <c r="V1146"/>
      <c r="W1146"/>
      <c r="X1146"/>
      <c r="Y1146"/>
      <c r="AA1146"/>
    </row>
    <row r="1147" spans="2:27" x14ac:dyDescent="0.25">
      <c r="B1147" s="19"/>
      <c r="C1147" s="19"/>
      <c r="D1147" s="19"/>
      <c r="F1147" s="19"/>
      <c r="U1147" s="19"/>
      <c r="V1147"/>
      <c r="W1147"/>
      <c r="X1147"/>
      <c r="Y1147"/>
      <c r="AA1147"/>
    </row>
    <row r="1148" spans="2:27" x14ac:dyDescent="0.25">
      <c r="B1148" s="19"/>
      <c r="C1148" s="19"/>
      <c r="D1148" s="19"/>
      <c r="F1148" s="19"/>
      <c r="U1148" s="19"/>
      <c r="V1148"/>
      <c r="W1148"/>
      <c r="X1148"/>
      <c r="Y1148"/>
      <c r="AA1148"/>
    </row>
    <row r="1149" spans="2:27" x14ac:dyDescent="0.25">
      <c r="B1149" s="19"/>
      <c r="C1149" s="19"/>
      <c r="D1149" s="19"/>
      <c r="F1149" s="19"/>
      <c r="U1149" s="19"/>
      <c r="V1149"/>
      <c r="W1149"/>
      <c r="X1149"/>
      <c r="Y1149"/>
      <c r="AA1149"/>
    </row>
    <row r="1150" spans="2:27" x14ac:dyDescent="0.25">
      <c r="B1150" s="19"/>
      <c r="C1150" s="19"/>
      <c r="D1150" s="19"/>
      <c r="F1150" s="19"/>
      <c r="U1150" s="19"/>
      <c r="V1150"/>
      <c r="W1150"/>
      <c r="X1150"/>
      <c r="Y1150"/>
      <c r="AA1150"/>
    </row>
    <row r="1151" spans="2:27" x14ac:dyDescent="0.25">
      <c r="B1151" s="19"/>
      <c r="C1151" s="19"/>
      <c r="D1151" s="19"/>
      <c r="F1151" s="19"/>
      <c r="U1151" s="19"/>
      <c r="V1151"/>
      <c r="W1151"/>
      <c r="X1151"/>
      <c r="Y1151"/>
      <c r="AA1151"/>
    </row>
    <row r="1152" spans="2:27" x14ac:dyDescent="0.25">
      <c r="B1152" s="19"/>
      <c r="C1152" s="19"/>
      <c r="D1152" s="19"/>
      <c r="F1152" s="19"/>
      <c r="U1152" s="19"/>
      <c r="V1152"/>
      <c r="W1152"/>
      <c r="X1152"/>
      <c r="Y1152"/>
      <c r="AA1152"/>
    </row>
    <row r="1153" spans="2:27" x14ac:dyDescent="0.25">
      <c r="B1153" s="19"/>
      <c r="C1153" s="19"/>
      <c r="D1153" s="19"/>
      <c r="F1153" s="19"/>
      <c r="U1153" s="19"/>
      <c r="V1153"/>
      <c r="W1153"/>
      <c r="X1153"/>
      <c r="Y1153"/>
      <c r="AA1153"/>
    </row>
    <row r="1154" spans="2:27" x14ac:dyDescent="0.25">
      <c r="B1154" s="19"/>
      <c r="C1154" s="19"/>
      <c r="D1154" s="19"/>
      <c r="F1154" s="19"/>
      <c r="U1154" s="19"/>
      <c r="V1154"/>
      <c r="W1154"/>
      <c r="X1154"/>
      <c r="Y1154"/>
      <c r="AA1154"/>
    </row>
    <row r="1155" spans="2:27" x14ac:dyDescent="0.25">
      <c r="B1155" s="19"/>
      <c r="C1155" s="19"/>
      <c r="D1155" s="19"/>
      <c r="F1155" s="19"/>
      <c r="U1155" s="19"/>
      <c r="V1155"/>
      <c r="W1155"/>
      <c r="X1155"/>
      <c r="Y1155"/>
      <c r="AA1155"/>
    </row>
    <row r="1156" spans="2:27" x14ac:dyDescent="0.25">
      <c r="B1156" s="19"/>
      <c r="C1156" s="19"/>
      <c r="D1156" s="19"/>
      <c r="F1156" s="19"/>
      <c r="U1156" s="19"/>
      <c r="V1156"/>
      <c r="W1156"/>
      <c r="X1156"/>
      <c r="Y1156"/>
      <c r="AA1156"/>
    </row>
    <row r="1157" spans="2:27" x14ac:dyDescent="0.25">
      <c r="B1157" s="19"/>
      <c r="C1157" s="19"/>
      <c r="D1157" s="19"/>
      <c r="F1157" s="19"/>
      <c r="U1157" s="19"/>
      <c r="V1157"/>
      <c r="W1157"/>
      <c r="X1157"/>
      <c r="Y1157"/>
      <c r="AA1157"/>
    </row>
    <row r="1158" spans="2:27" x14ac:dyDescent="0.25">
      <c r="B1158" s="19"/>
      <c r="C1158" s="19"/>
      <c r="D1158" s="19"/>
      <c r="F1158" s="19"/>
      <c r="U1158" s="19"/>
      <c r="V1158"/>
      <c r="W1158"/>
      <c r="X1158"/>
      <c r="Y1158"/>
      <c r="AA1158"/>
    </row>
    <row r="1159" spans="2:27" x14ac:dyDescent="0.25">
      <c r="B1159" s="19"/>
      <c r="C1159" s="19"/>
      <c r="D1159" s="19"/>
      <c r="F1159" s="19"/>
      <c r="U1159" s="19"/>
      <c r="V1159"/>
      <c r="W1159"/>
      <c r="X1159"/>
      <c r="Y1159"/>
      <c r="AA1159"/>
    </row>
    <row r="1160" spans="2:27" x14ac:dyDescent="0.25">
      <c r="B1160" s="19"/>
      <c r="C1160" s="19"/>
      <c r="D1160" s="19"/>
      <c r="F1160" s="19"/>
      <c r="U1160" s="19"/>
      <c r="V1160"/>
      <c r="W1160"/>
      <c r="X1160"/>
      <c r="Y1160"/>
      <c r="AA1160"/>
    </row>
    <row r="1161" spans="2:27" x14ac:dyDescent="0.25">
      <c r="B1161" s="19"/>
      <c r="C1161" s="19"/>
      <c r="D1161" s="19"/>
      <c r="F1161" s="19"/>
      <c r="U1161" s="19"/>
      <c r="V1161"/>
      <c r="W1161"/>
      <c r="X1161"/>
      <c r="Y1161"/>
      <c r="AA1161"/>
    </row>
    <row r="1162" spans="2:27" x14ac:dyDescent="0.25">
      <c r="B1162" s="19"/>
      <c r="C1162" s="19"/>
      <c r="D1162" s="19"/>
      <c r="F1162" s="19"/>
      <c r="U1162" s="19"/>
      <c r="V1162"/>
      <c r="W1162"/>
      <c r="X1162"/>
      <c r="Y1162"/>
      <c r="AA1162"/>
    </row>
    <row r="1163" spans="2:27" x14ac:dyDescent="0.25">
      <c r="B1163" s="19"/>
      <c r="C1163" s="19"/>
      <c r="D1163" s="19"/>
      <c r="F1163" s="19"/>
      <c r="U1163" s="19"/>
      <c r="V1163"/>
      <c r="W1163"/>
      <c r="X1163"/>
      <c r="Y1163"/>
      <c r="AA1163"/>
    </row>
    <row r="1164" spans="2:27" x14ac:dyDescent="0.25">
      <c r="B1164" s="19"/>
      <c r="C1164" s="19"/>
      <c r="D1164" s="19"/>
      <c r="F1164" s="19"/>
      <c r="U1164" s="19"/>
      <c r="V1164"/>
      <c r="W1164"/>
      <c r="X1164"/>
      <c r="Y1164"/>
      <c r="AA1164"/>
    </row>
    <row r="1165" spans="2:27" x14ac:dyDescent="0.25">
      <c r="B1165" s="19"/>
      <c r="C1165" s="19"/>
      <c r="D1165" s="19"/>
      <c r="F1165" s="19"/>
      <c r="U1165" s="19"/>
      <c r="V1165"/>
      <c r="W1165"/>
      <c r="X1165"/>
      <c r="Y1165"/>
      <c r="AA1165"/>
    </row>
    <row r="1166" spans="2:27" x14ac:dyDescent="0.25">
      <c r="B1166" s="19"/>
      <c r="C1166" s="19"/>
      <c r="D1166" s="19"/>
      <c r="F1166" s="19"/>
      <c r="U1166" s="19"/>
      <c r="V1166"/>
      <c r="W1166"/>
      <c r="X1166"/>
      <c r="Y1166"/>
      <c r="AA1166"/>
    </row>
    <row r="1167" spans="2:27" x14ac:dyDescent="0.25">
      <c r="B1167" s="19"/>
      <c r="C1167" s="19"/>
      <c r="D1167" s="19"/>
      <c r="F1167" s="19"/>
      <c r="U1167" s="19"/>
      <c r="V1167"/>
      <c r="W1167"/>
      <c r="X1167"/>
      <c r="Y1167"/>
      <c r="AA1167"/>
    </row>
    <row r="1168" spans="2:27" x14ac:dyDescent="0.25">
      <c r="B1168" s="19"/>
      <c r="C1168" s="19"/>
      <c r="D1168" s="19"/>
      <c r="F1168" s="19"/>
      <c r="U1168" s="19"/>
      <c r="V1168"/>
      <c r="W1168"/>
      <c r="X1168"/>
      <c r="Y1168"/>
      <c r="AA1168"/>
    </row>
    <row r="1169" spans="2:27" x14ac:dyDescent="0.25">
      <c r="B1169" s="19"/>
      <c r="C1169" s="19"/>
      <c r="D1169" s="19"/>
      <c r="F1169" s="19"/>
      <c r="U1169" s="19"/>
      <c r="V1169"/>
      <c r="W1169"/>
      <c r="X1169"/>
      <c r="Y1169"/>
      <c r="AA1169"/>
    </row>
    <row r="1170" spans="2:27" x14ac:dyDescent="0.25">
      <c r="B1170" s="19"/>
      <c r="C1170" s="19"/>
      <c r="D1170" s="19"/>
      <c r="F1170" s="19"/>
      <c r="U1170" s="19"/>
      <c r="V1170"/>
      <c r="W1170"/>
      <c r="X1170"/>
      <c r="Y1170"/>
      <c r="AA1170"/>
    </row>
    <row r="1171" spans="2:27" x14ac:dyDescent="0.25">
      <c r="B1171" s="19"/>
      <c r="C1171" s="19"/>
      <c r="D1171" s="19"/>
      <c r="F1171" s="19"/>
      <c r="U1171" s="19"/>
      <c r="V1171"/>
      <c r="W1171"/>
      <c r="X1171"/>
      <c r="Y1171"/>
      <c r="AA1171"/>
    </row>
    <row r="1172" spans="2:27" x14ac:dyDescent="0.25">
      <c r="B1172" s="19"/>
      <c r="C1172" s="19"/>
      <c r="D1172" s="19"/>
      <c r="F1172" s="19"/>
      <c r="U1172" s="19"/>
      <c r="V1172"/>
      <c r="W1172"/>
      <c r="X1172"/>
      <c r="Y1172"/>
      <c r="AA1172"/>
    </row>
    <row r="1173" spans="2:27" x14ac:dyDescent="0.25">
      <c r="B1173" s="19"/>
      <c r="C1173" s="19"/>
      <c r="D1173" s="19"/>
      <c r="F1173" s="19"/>
      <c r="U1173" s="19"/>
      <c r="V1173"/>
      <c r="W1173"/>
      <c r="X1173"/>
      <c r="Y1173"/>
      <c r="AA1173"/>
    </row>
    <row r="1174" spans="2:27" x14ac:dyDescent="0.25">
      <c r="B1174" s="19"/>
      <c r="C1174" s="19"/>
      <c r="D1174" s="19"/>
      <c r="F1174" s="19"/>
      <c r="U1174" s="19"/>
      <c r="V1174"/>
      <c r="W1174"/>
      <c r="X1174"/>
      <c r="Y1174"/>
      <c r="AA1174"/>
    </row>
    <row r="1175" spans="2:27" x14ac:dyDescent="0.25">
      <c r="B1175" s="19"/>
      <c r="C1175" s="19"/>
      <c r="D1175" s="19"/>
      <c r="F1175" s="19"/>
      <c r="U1175" s="19"/>
      <c r="V1175"/>
      <c r="W1175"/>
      <c r="X1175"/>
      <c r="Y1175"/>
      <c r="AA1175"/>
    </row>
    <row r="1176" spans="2:27" x14ac:dyDescent="0.25">
      <c r="B1176" s="19"/>
      <c r="C1176" s="19"/>
      <c r="D1176" s="19"/>
      <c r="F1176" s="19"/>
      <c r="U1176" s="19"/>
      <c r="V1176"/>
      <c r="W1176"/>
      <c r="X1176"/>
      <c r="Y1176"/>
      <c r="AA1176"/>
    </row>
    <row r="1177" spans="2:27" x14ac:dyDescent="0.25">
      <c r="B1177" s="19"/>
      <c r="C1177" s="19"/>
      <c r="D1177" s="19"/>
      <c r="F1177" s="19"/>
      <c r="U1177" s="19"/>
      <c r="V1177"/>
      <c r="W1177"/>
      <c r="X1177"/>
      <c r="Y1177"/>
      <c r="AA1177"/>
    </row>
    <row r="1178" spans="2:27" x14ac:dyDescent="0.25">
      <c r="B1178" s="19"/>
      <c r="C1178" s="19"/>
      <c r="D1178" s="19"/>
      <c r="F1178" s="19"/>
      <c r="U1178" s="19"/>
      <c r="V1178"/>
      <c r="W1178"/>
      <c r="X1178"/>
      <c r="Y1178"/>
      <c r="AA1178"/>
    </row>
    <row r="1179" spans="2:27" x14ac:dyDescent="0.25">
      <c r="B1179" s="19"/>
      <c r="C1179" s="19"/>
      <c r="D1179" s="19"/>
      <c r="F1179" s="19"/>
      <c r="U1179" s="19"/>
      <c r="V1179"/>
      <c r="W1179"/>
      <c r="X1179"/>
      <c r="Y1179"/>
      <c r="AA1179"/>
    </row>
    <row r="1180" spans="2:27" x14ac:dyDescent="0.25">
      <c r="B1180" s="19"/>
      <c r="C1180" s="19"/>
      <c r="D1180" s="19"/>
      <c r="F1180" s="19"/>
      <c r="U1180" s="19"/>
      <c r="V1180"/>
      <c r="W1180"/>
      <c r="X1180"/>
      <c r="Y1180"/>
      <c r="AA1180"/>
    </row>
    <row r="1181" spans="2:27" x14ac:dyDescent="0.25">
      <c r="B1181" s="19"/>
      <c r="C1181" s="19"/>
      <c r="D1181" s="19"/>
      <c r="F1181" s="19"/>
      <c r="U1181" s="19"/>
      <c r="V1181"/>
      <c r="W1181"/>
      <c r="X1181"/>
      <c r="Y1181"/>
      <c r="AA1181"/>
    </row>
    <row r="1182" spans="2:27" x14ac:dyDescent="0.25">
      <c r="B1182" s="19"/>
      <c r="C1182" s="19"/>
      <c r="D1182" s="19"/>
      <c r="F1182" s="19"/>
      <c r="U1182" s="19"/>
      <c r="V1182"/>
      <c r="W1182"/>
      <c r="X1182"/>
      <c r="Y1182"/>
      <c r="AA1182"/>
    </row>
    <row r="1183" spans="2:27" x14ac:dyDescent="0.25">
      <c r="B1183" s="19"/>
      <c r="C1183" s="19"/>
      <c r="D1183" s="19"/>
      <c r="F1183" s="19"/>
      <c r="U1183" s="19"/>
      <c r="V1183"/>
      <c r="W1183"/>
      <c r="X1183"/>
      <c r="Y1183"/>
      <c r="AA1183"/>
    </row>
    <row r="1184" spans="2:27" x14ac:dyDescent="0.25">
      <c r="B1184" s="19"/>
      <c r="C1184" s="19"/>
      <c r="D1184" s="19"/>
      <c r="F1184" s="19"/>
      <c r="U1184" s="19"/>
      <c r="V1184"/>
      <c r="W1184"/>
      <c r="X1184"/>
      <c r="Y1184"/>
      <c r="AA1184"/>
    </row>
    <row r="1185" spans="2:27" x14ac:dyDescent="0.25">
      <c r="B1185" s="19"/>
      <c r="C1185" s="19"/>
      <c r="D1185" s="19"/>
      <c r="F1185" s="19"/>
      <c r="U1185" s="19"/>
      <c r="V1185"/>
      <c r="W1185"/>
      <c r="X1185"/>
      <c r="Y1185"/>
      <c r="AA1185"/>
    </row>
    <row r="1186" spans="2:27" x14ac:dyDescent="0.25">
      <c r="B1186" s="19"/>
      <c r="C1186" s="19"/>
      <c r="D1186" s="19"/>
      <c r="F1186" s="19"/>
      <c r="U1186" s="19"/>
      <c r="V1186"/>
      <c r="W1186"/>
      <c r="X1186"/>
      <c r="Y1186"/>
      <c r="AA1186"/>
    </row>
    <row r="1187" spans="2:27" x14ac:dyDescent="0.25">
      <c r="B1187" s="19"/>
      <c r="C1187" s="19"/>
      <c r="D1187" s="19"/>
      <c r="F1187" s="19"/>
      <c r="U1187" s="19"/>
      <c r="V1187"/>
      <c r="W1187"/>
      <c r="X1187"/>
      <c r="Y1187"/>
      <c r="AA1187"/>
    </row>
    <row r="1188" spans="2:27" x14ac:dyDescent="0.25">
      <c r="B1188" s="19"/>
      <c r="C1188" s="19"/>
      <c r="D1188" s="19"/>
      <c r="F1188" s="19"/>
      <c r="U1188" s="19"/>
      <c r="V1188"/>
      <c r="W1188"/>
      <c r="X1188"/>
      <c r="Y1188"/>
      <c r="AA1188"/>
    </row>
    <row r="1189" spans="2:27" x14ac:dyDescent="0.25">
      <c r="B1189" s="19"/>
      <c r="C1189" s="19"/>
      <c r="D1189" s="19"/>
      <c r="F1189" s="19"/>
      <c r="U1189" s="19"/>
      <c r="V1189"/>
      <c r="W1189"/>
      <c r="X1189"/>
      <c r="Y1189"/>
      <c r="AA1189"/>
    </row>
    <row r="1190" spans="2:27" x14ac:dyDescent="0.25">
      <c r="B1190" s="19"/>
      <c r="C1190" s="19"/>
      <c r="D1190" s="19"/>
      <c r="F1190" s="19"/>
      <c r="U1190" s="19"/>
      <c r="V1190"/>
      <c r="W1190"/>
      <c r="X1190"/>
      <c r="Y1190"/>
      <c r="AA1190"/>
    </row>
    <row r="1191" spans="2:27" x14ac:dyDescent="0.25">
      <c r="B1191" s="19"/>
      <c r="C1191" s="19"/>
      <c r="D1191" s="19"/>
      <c r="F1191" s="19"/>
      <c r="U1191" s="19"/>
      <c r="V1191"/>
      <c r="W1191"/>
      <c r="X1191"/>
      <c r="Y1191"/>
      <c r="AA1191"/>
    </row>
    <row r="1192" spans="2:27" x14ac:dyDescent="0.25">
      <c r="B1192" s="19"/>
      <c r="C1192" s="19"/>
      <c r="D1192" s="19"/>
      <c r="F1192" s="19"/>
      <c r="U1192" s="19"/>
      <c r="V1192"/>
      <c r="W1192"/>
      <c r="X1192"/>
      <c r="Y1192"/>
      <c r="AA1192"/>
    </row>
  </sheetData>
  <mergeCells count="2">
    <mergeCell ref="B2:D5"/>
    <mergeCell ref="T16:Y16"/>
  </mergeCells>
  <dataValidations count="1">
    <dataValidation type="list" sqref="F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7</xdr:col>
                    <xdr:colOff>314325</xdr:colOff>
                    <xdr:row>5</xdr:row>
                    <xdr:rowOff>57150</xdr:rowOff>
                  </from>
                  <to>
                    <xdr:col>8</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7</xdr:col>
                    <xdr:colOff>314325</xdr:colOff>
                    <xdr:row>10</xdr:row>
                    <xdr:rowOff>47625</xdr:rowOff>
                  </from>
                  <to>
                    <xdr:col>8</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10</xdr:col>
                    <xdr:colOff>19050</xdr:colOff>
                    <xdr:row>6</xdr:row>
                    <xdr:rowOff>161925</xdr:rowOff>
                  </from>
                  <to>
                    <xdr:col>12</xdr:col>
                    <xdr:colOff>9525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O30"/>
  <sheetViews>
    <sheetView view="pageLayout" topLeftCell="A2" zoomScaleNormal="100" workbookViewId="0">
      <selection activeCell="C4" sqref="C4"/>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5.5703125" style="21" bestFit="1" customWidth="1"/>
    <col min="12" max="12" width="5.140625" style="21" bestFit="1" customWidth="1"/>
    <col min="13" max="13" width="6.28515625" style="21" customWidth="1"/>
    <col min="14" max="14" width="8.140625" style="21" customWidth="1"/>
    <col min="15" max="15" width="13.5703125" style="21" customWidth="1"/>
    <col min="16" max="16384" width="9.140625" style="21"/>
  </cols>
  <sheetData>
    <row r="1" spans="1:15" ht="12" hidden="1" customHeight="1" x14ac:dyDescent="0.25">
      <c r="A1" s="20" t="s">
        <v>14</v>
      </c>
      <c r="B1" s="20"/>
      <c r="C1" s="20"/>
      <c r="D1" s="20"/>
      <c r="E1" s="20"/>
      <c r="F1" s="20"/>
      <c r="G1" s="20"/>
      <c r="H1" s="20"/>
      <c r="I1" s="20"/>
      <c r="J1" s="20"/>
      <c r="K1" s="20"/>
      <c r="L1" s="20"/>
      <c r="M1" s="20"/>
      <c r="N1" s="20"/>
      <c r="O1" s="20"/>
    </row>
    <row r="2" spans="1:15" ht="27" customHeight="1" x14ac:dyDescent="0.25">
      <c r="A2" s="295" t="s">
        <v>13</v>
      </c>
      <c r="B2" s="295" t="s">
        <v>15</v>
      </c>
      <c r="C2" s="295" t="s">
        <v>16</v>
      </c>
      <c r="D2" s="295" t="s">
        <v>17</v>
      </c>
      <c r="E2" s="295" t="s">
        <v>18</v>
      </c>
      <c r="F2" s="295" t="s">
        <v>19</v>
      </c>
      <c r="G2" s="293" t="s">
        <v>20</v>
      </c>
      <c r="H2" s="294"/>
      <c r="I2" s="293" t="s">
        <v>21</v>
      </c>
      <c r="J2" s="294"/>
      <c r="K2" s="293" t="s">
        <v>22</v>
      </c>
      <c r="L2" s="294"/>
      <c r="M2" s="293" t="s">
        <v>23</v>
      </c>
      <c r="N2" s="294"/>
      <c r="O2" s="295" t="s">
        <v>11</v>
      </c>
    </row>
    <row r="3" spans="1:15" x14ac:dyDescent="0.25">
      <c r="A3" s="296"/>
      <c r="B3" s="296"/>
      <c r="C3" s="296"/>
      <c r="D3" s="296"/>
      <c r="E3" s="296"/>
      <c r="F3" s="296"/>
      <c r="G3" s="22" t="s">
        <v>24</v>
      </c>
      <c r="H3" s="22" t="s">
        <v>25</v>
      </c>
      <c r="I3" s="22" t="s">
        <v>24</v>
      </c>
      <c r="J3" s="22" t="s">
        <v>25</v>
      </c>
      <c r="K3" s="22" t="s">
        <v>24</v>
      </c>
      <c r="L3" s="22" t="s">
        <v>25</v>
      </c>
      <c r="M3" s="22" t="s">
        <v>24</v>
      </c>
      <c r="N3" s="22" t="s">
        <v>25</v>
      </c>
      <c r="O3" s="296"/>
    </row>
    <row r="4" spans="1:15" x14ac:dyDescent="0.25">
      <c r="A4" s="20"/>
      <c r="B4" s="20"/>
      <c r="C4" s="20"/>
      <c r="D4" s="20"/>
      <c r="E4" s="20"/>
      <c r="F4" s="20"/>
      <c r="G4" s="20"/>
      <c r="H4" s="20"/>
      <c r="I4" s="20"/>
      <c r="J4" s="20"/>
      <c r="K4" s="20"/>
      <c r="L4" s="20"/>
      <c r="M4" s="20"/>
      <c r="N4" s="20"/>
      <c r="O4" s="20"/>
    </row>
    <row r="5" spans="1:15" x14ac:dyDescent="0.25">
      <c r="A5" s="20"/>
      <c r="B5" s="20"/>
      <c r="C5" s="20"/>
      <c r="D5" s="20"/>
      <c r="E5" s="20"/>
      <c r="F5" s="20"/>
      <c r="G5" s="20"/>
      <c r="H5" s="20"/>
      <c r="I5" s="20"/>
      <c r="J5" s="20"/>
      <c r="K5" s="20"/>
      <c r="L5" s="20"/>
      <c r="M5" s="20"/>
      <c r="N5" s="20"/>
      <c r="O5" s="20"/>
    </row>
    <row r="6" spans="1:15" x14ac:dyDescent="0.25">
      <c r="A6" s="20"/>
      <c r="B6" s="20"/>
      <c r="C6" s="20"/>
      <c r="D6" s="20"/>
      <c r="E6" s="20"/>
      <c r="F6" s="20"/>
      <c r="G6" s="20"/>
      <c r="H6" s="20"/>
      <c r="I6" s="20"/>
      <c r="J6" s="20"/>
      <c r="K6" s="20"/>
      <c r="L6" s="20"/>
      <c r="M6" s="20"/>
      <c r="N6" s="20"/>
      <c r="O6" s="20"/>
    </row>
    <row r="7" spans="1:15" x14ac:dyDescent="0.25">
      <c r="A7" s="20"/>
      <c r="B7" s="20"/>
      <c r="C7" s="20"/>
      <c r="D7" s="20"/>
      <c r="E7" s="20"/>
      <c r="F7" s="20"/>
      <c r="G7" s="20"/>
      <c r="H7" s="20"/>
      <c r="I7" s="20"/>
      <c r="J7" s="20"/>
      <c r="K7" s="20"/>
      <c r="L7" s="20"/>
      <c r="M7" s="20"/>
      <c r="N7" s="20"/>
      <c r="O7" s="20"/>
    </row>
    <row r="8" spans="1:15" x14ac:dyDescent="0.25">
      <c r="A8" s="20"/>
      <c r="B8" s="20"/>
      <c r="C8" s="20"/>
      <c r="D8" s="20"/>
      <c r="E8" s="20"/>
      <c r="F8" s="20"/>
      <c r="G8" s="20"/>
      <c r="H8" s="20"/>
      <c r="I8" s="20"/>
      <c r="J8" s="20"/>
      <c r="K8" s="20"/>
      <c r="L8" s="20"/>
      <c r="M8" s="20"/>
      <c r="N8" s="20"/>
      <c r="O8" s="20"/>
    </row>
    <row r="9" spans="1:15" x14ac:dyDescent="0.25">
      <c r="A9" s="20"/>
      <c r="B9" s="20"/>
      <c r="C9" s="20"/>
      <c r="D9" s="20"/>
      <c r="E9" s="20"/>
      <c r="F9" s="20"/>
      <c r="G9" s="20"/>
      <c r="H9" s="20"/>
      <c r="I9" s="20"/>
      <c r="J9" s="20"/>
      <c r="K9" s="20"/>
      <c r="L9" s="20"/>
      <c r="M9" s="20"/>
      <c r="N9" s="20"/>
      <c r="O9" s="20"/>
    </row>
    <row r="10" spans="1:15" x14ac:dyDescent="0.25">
      <c r="A10" s="20"/>
      <c r="B10" s="20"/>
      <c r="C10" s="20"/>
      <c r="D10" s="20"/>
      <c r="E10" s="20"/>
      <c r="F10" s="20"/>
      <c r="G10" s="20"/>
      <c r="H10" s="20"/>
      <c r="I10" s="20"/>
      <c r="J10" s="20"/>
      <c r="K10" s="20"/>
      <c r="L10" s="20"/>
      <c r="M10" s="20"/>
      <c r="N10" s="20"/>
      <c r="O10" s="20"/>
    </row>
    <row r="11" spans="1:15" x14ac:dyDescent="0.25">
      <c r="A11" s="20"/>
      <c r="B11" s="20"/>
      <c r="C11" s="20"/>
      <c r="D11" s="20"/>
      <c r="E11" s="20"/>
      <c r="F11" s="20"/>
      <c r="G11" s="20"/>
      <c r="H11" s="20"/>
      <c r="I11" s="20"/>
      <c r="J11" s="20"/>
      <c r="K11" s="20"/>
      <c r="L11" s="20"/>
      <c r="M11" s="20"/>
      <c r="N11" s="20"/>
      <c r="O11" s="20"/>
    </row>
    <row r="12" spans="1:15" x14ac:dyDescent="0.25">
      <c r="A12" s="20"/>
      <c r="B12" s="20"/>
      <c r="C12" s="20"/>
      <c r="D12" s="20"/>
      <c r="E12" s="20"/>
      <c r="F12" s="20"/>
      <c r="G12" s="20"/>
      <c r="H12" s="20"/>
      <c r="I12" s="20"/>
      <c r="J12" s="20"/>
      <c r="K12" s="20"/>
      <c r="L12" s="20"/>
      <c r="M12" s="20"/>
      <c r="N12" s="20"/>
      <c r="O12" s="20"/>
    </row>
    <row r="13" spans="1:15" x14ac:dyDescent="0.25">
      <c r="A13" s="20"/>
      <c r="B13" s="20"/>
      <c r="C13" s="20"/>
      <c r="D13" s="20"/>
      <c r="E13" s="20"/>
      <c r="F13" s="20"/>
      <c r="G13" s="20"/>
      <c r="H13" s="20"/>
      <c r="I13" s="20"/>
      <c r="J13" s="20"/>
      <c r="K13" s="20"/>
      <c r="L13" s="20"/>
      <c r="M13" s="20"/>
      <c r="N13" s="20"/>
      <c r="O13" s="20"/>
    </row>
    <row r="14" spans="1:15" x14ac:dyDescent="0.25">
      <c r="A14" s="20"/>
      <c r="B14" s="20"/>
      <c r="C14" s="20"/>
      <c r="D14" s="20"/>
      <c r="E14" s="20"/>
      <c r="F14" s="20"/>
      <c r="G14" s="20"/>
      <c r="H14" s="20"/>
      <c r="I14" s="20"/>
      <c r="J14" s="20"/>
      <c r="K14" s="20"/>
      <c r="L14" s="20"/>
      <c r="M14" s="20"/>
      <c r="N14" s="20"/>
      <c r="O14" s="20"/>
    </row>
    <row r="15" spans="1:15" x14ac:dyDescent="0.25">
      <c r="A15" s="20"/>
      <c r="B15" s="20"/>
      <c r="C15" s="20"/>
      <c r="D15" s="20"/>
      <c r="E15" s="20"/>
      <c r="F15" s="20"/>
      <c r="G15" s="20"/>
      <c r="H15" s="20"/>
      <c r="I15" s="20"/>
      <c r="J15" s="20"/>
      <c r="K15" s="20"/>
      <c r="L15" s="20"/>
      <c r="M15" s="20"/>
      <c r="N15" s="20"/>
      <c r="O15" s="20"/>
    </row>
    <row r="16" spans="1:15" x14ac:dyDescent="0.25">
      <c r="A16" s="20"/>
      <c r="B16" s="20"/>
      <c r="C16" s="20"/>
      <c r="D16" s="20"/>
      <c r="E16" s="20"/>
      <c r="F16" s="20"/>
      <c r="G16" s="20"/>
      <c r="H16" s="20"/>
      <c r="I16" s="20"/>
      <c r="J16" s="20"/>
      <c r="K16" s="20"/>
      <c r="L16" s="20"/>
      <c r="M16" s="20"/>
      <c r="N16" s="20"/>
      <c r="O16" s="20"/>
    </row>
    <row r="17" spans="1:15" x14ac:dyDescent="0.25">
      <c r="A17" s="20"/>
      <c r="B17" s="20"/>
      <c r="C17" s="20"/>
      <c r="D17" s="20"/>
      <c r="E17" s="20"/>
      <c r="F17" s="20"/>
      <c r="G17" s="20"/>
      <c r="H17" s="20"/>
      <c r="I17" s="20"/>
      <c r="J17" s="20"/>
      <c r="K17" s="20"/>
      <c r="L17" s="20"/>
      <c r="M17" s="20"/>
      <c r="N17" s="20"/>
      <c r="O17" s="20"/>
    </row>
    <row r="18" spans="1:15" x14ac:dyDescent="0.25">
      <c r="A18" s="20"/>
      <c r="B18" s="20"/>
      <c r="C18" s="20"/>
      <c r="D18" s="20"/>
      <c r="E18" s="20"/>
      <c r="F18" s="20"/>
      <c r="G18" s="20"/>
      <c r="H18" s="20"/>
      <c r="I18" s="20"/>
      <c r="J18" s="20"/>
      <c r="K18" s="20"/>
      <c r="L18" s="20"/>
      <c r="M18" s="20"/>
      <c r="N18" s="20"/>
      <c r="O18" s="20"/>
    </row>
    <row r="19" spans="1:15" x14ac:dyDescent="0.25">
      <c r="A19" s="20"/>
      <c r="B19" s="20"/>
      <c r="C19" s="20"/>
      <c r="D19" s="20"/>
      <c r="E19" s="20"/>
      <c r="F19" s="20"/>
      <c r="G19" s="20"/>
      <c r="H19" s="20"/>
      <c r="I19" s="20"/>
      <c r="J19" s="20"/>
      <c r="K19" s="20"/>
      <c r="L19" s="20"/>
      <c r="M19" s="20"/>
      <c r="N19" s="20"/>
      <c r="O19" s="20"/>
    </row>
    <row r="20" spans="1:15" x14ac:dyDescent="0.25">
      <c r="A20" s="20"/>
      <c r="B20" s="20"/>
      <c r="C20" s="20"/>
      <c r="D20" s="20"/>
      <c r="E20" s="20"/>
      <c r="F20" s="20"/>
      <c r="G20" s="20"/>
      <c r="H20" s="20"/>
      <c r="I20" s="20"/>
      <c r="J20" s="20"/>
      <c r="K20" s="20"/>
      <c r="L20" s="20"/>
      <c r="M20" s="20"/>
      <c r="N20" s="20"/>
      <c r="O20" s="20"/>
    </row>
    <row r="21" spans="1:15" x14ac:dyDescent="0.25">
      <c r="A21" s="20"/>
      <c r="B21" s="20"/>
      <c r="C21" s="20"/>
      <c r="D21" s="20"/>
      <c r="E21" s="20"/>
      <c r="F21" s="20"/>
      <c r="G21" s="20"/>
      <c r="H21" s="20"/>
      <c r="I21" s="20"/>
      <c r="J21" s="20"/>
      <c r="K21" s="20"/>
      <c r="L21" s="20"/>
      <c r="M21" s="20"/>
      <c r="N21" s="20"/>
      <c r="O21" s="20"/>
    </row>
    <row r="22" spans="1:15" x14ac:dyDescent="0.25">
      <c r="A22" s="20"/>
      <c r="B22" s="20"/>
      <c r="C22" s="20"/>
      <c r="D22" s="20"/>
      <c r="E22" s="20"/>
      <c r="F22" s="20"/>
      <c r="G22" s="20"/>
      <c r="H22" s="20"/>
      <c r="I22" s="20"/>
      <c r="J22" s="20"/>
      <c r="K22" s="20"/>
      <c r="L22" s="20"/>
      <c r="M22" s="20"/>
      <c r="N22" s="20"/>
      <c r="O22" s="20"/>
    </row>
    <row r="23" spans="1:15" x14ac:dyDescent="0.25">
      <c r="A23" s="20"/>
      <c r="B23" s="20"/>
      <c r="C23" s="20"/>
      <c r="D23" s="20"/>
      <c r="E23" s="20"/>
      <c r="F23" s="20"/>
      <c r="G23" s="20"/>
      <c r="H23" s="20"/>
      <c r="I23" s="20"/>
      <c r="J23" s="20"/>
      <c r="K23" s="20"/>
      <c r="L23" s="20"/>
      <c r="M23" s="20"/>
      <c r="N23" s="20"/>
      <c r="O23" s="20"/>
    </row>
    <row r="24" spans="1:15" x14ac:dyDescent="0.25">
      <c r="A24" s="20"/>
      <c r="B24" s="20"/>
      <c r="C24" s="20"/>
      <c r="D24" s="20"/>
      <c r="E24" s="20"/>
      <c r="F24" s="20"/>
      <c r="G24" s="20"/>
      <c r="H24" s="20"/>
      <c r="I24" s="20"/>
      <c r="J24" s="20"/>
      <c r="K24" s="20"/>
      <c r="L24" s="20"/>
      <c r="M24" s="20"/>
      <c r="N24" s="20"/>
      <c r="O24" s="20"/>
    </row>
    <row r="25" spans="1:15" x14ac:dyDescent="0.25">
      <c r="A25" s="20"/>
      <c r="B25" s="20"/>
      <c r="C25" s="20"/>
      <c r="D25" s="20"/>
      <c r="E25" s="20"/>
      <c r="F25" s="20"/>
      <c r="G25" s="20"/>
      <c r="H25" s="20"/>
      <c r="I25" s="20"/>
      <c r="J25" s="20"/>
      <c r="K25" s="20"/>
      <c r="L25" s="20"/>
      <c r="M25" s="20"/>
      <c r="N25" s="20"/>
      <c r="O25" s="20"/>
    </row>
    <row r="26" spans="1:15" x14ac:dyDescent="0.25">
      <c r="A26" s="20"/>
      <c r="B26" s="20"/>
      <c r="C26" s="20"/>
      <c r="D26" s="20"/>
      <c r="E26" s="20"/>
      <c r="F26" s="20"/>
      <c r="G26" s="20"/>
      <c r="H26" s="20"/>
      <c r="I26" s="20"/>
      <c r="J26" s="20"/>
      <c r="K26" s="20"/>
      <c r="L26" s="20"/>
      <c r="M26" s="20"/>
      <c r="N26" s="20"/>
      <c r="O26" s="20"/>
    </row>
    <row r="27" spans="1:15" x14ac:dyDescent="0.25">
      <c r="A27" s="20"/>
      <c r="B27" s="20"/>
      <c r="C27" s="20"/>
      <c r="D27" s="20"/>
      <c r="E27" s="20"/>
      <c r="F27" s="20"/>
      <c r="G27" s="20"/>
      <c r="H27" s="20"/>
      <c r="I27" s="20"/>
      <c r="J27" s="20"/>
      <c r="K27" s="20"/>
      <c r="L27" s="20"/>
      <c r="M27" s="20"/>
      <c r="N27" s="20"/>
      <c r="O27" s="20"/>
    </row>
    <row r="28" spans="1:15" x14ac:dyDescent="0.25">
      <c r="A28" s="20"/>
      <c r="B28" s="20"/>
      <c r="C28" s="20"/>
      <c r="D28" s="20"/>
      <c r="E28" s="20"/>
      <c r="F28" s="20"/>
      <c r="G28" s="20"/>
      <c r="H28" s="20"/>
      <c r="I28" s="20"/>
      <c r="J28" s="20"/>
      <c r="K28" s="20"/>
      <c r="L28" s="20"/>
      <c r="M28" s="20"/>
      <c r="N28" s="20"/>
      <c r="O28" s="20"/>
    </row>
    <row r="29" spans="1:15" x14ac:dyDescent="0.25">
      <c r="A29" s="20"/>
      <c r="B29" s="20"/>
      <c r="C29" s="20"/>
      <c r="D29" s="20"/>
      <c r="E29" s="20"/>
      <c r="F29" s="20"/>
      <c r="G29" s="20"/>
      <c r="H29" s="20"/>
      <c r="I29" s="20"/>
      <c r="J29" s="20"/>
      <c r="K29" s="20"/>
      <c r="L29" s="20"/>
      <c r="M29" s="20"/>
      <c r="N29" s="20"/>
      <c r="O29" s="20"/>
    </row>
    <row r="30" spans="1:15" x14ac:dyDescent="0.25">
      <c r="A30" s="20"/>
      <c r="B30" s="20"/>
      <c r="C30" s="20"/>
      <c r="D30" s="20"/>
      <c r="E30" s="20"/>
      <c r="F30" s="20"/>
      <c r="G30" s="20"/>
      <c r="H30" s="20"/>
      <c r="I30" s="20"/>
      <c r="J30" s="20"/>
      <c r="K30" s="20"/>
      <c r="L30" s="20"/>
      <c r="M30" s="20"/>
      <c r="N30" s="20"/>
      <c r="O30" s="20"/>
    </row>
  </sheetData>
  <mergeCells count="11">
    <mergeCell ref="F2:F3"/>
    <mergeCell ref="A2:A3"/>
    <mergeCell ref="B2:B3"/>
    <mergeCell ref="C2:C3"/>
    <mergeCell ref="D2:D3"/>
    <mergeCell ref="E2:E3"/>
    <mergeCell ref="G2:H2"/>
    <mergeCell ref="I2:J2"/>
    <mergeCell ref="K2:L2"/>
    <mergeCell ref="M2:N2"/>
    <mergeCell ref="O2:O3"/>
  </mergeCells>
  <pageMargins left="0.70866141732283472" right="0.78740157480314965" top="0.74803149606299213" bottom="0.74803149606299213" header="0.31496062992125984" footer="0.31496062992125984"/>
  <pageSetup paperSize="9" scale="82" orientation="landscape" r:id="rId1"/>
  <headerFooter>
    <oddHeader>&amp;L&amp;"ABB Logo,Regular"&amp;26&amp;KFF0000ABB&amp;CStackCalc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7"/>
  <sheetViews>
    <sheetView view="pageLayout" topLeftCell="A5" zoomScaleNormal="100" workbookViewId="0">
      <selection activeCell="D24" sqref="D24"/>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21" style="28" customWidth="1"/>
    <col min="5" max="5" width="17.42578125" style="28" customWidth="1"/>
    <col min="6" max="6" width="9.140625" style="28"/>
    <col min="7" max="7" width="9.140625" style="27"/>
    <col min="8"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20</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32"/>
    </row>
    <row r="7" spans="1:7" x14ac:dyDescent="0.25">
      <c r="A7" s="29" t="s">
        <v>29</v>
      </c>
      <c r="B7" s="301"/>
      <c r="C7" s="301"/>
      <c r="D7" s="301"/>
      <c r="E7" s="302"/>
      <c r="F7" s="30"/>
      <c r="G7" s="30"/>
    </row>
    <row r="8" spans="1:7" x14ac:dyDescent="0.25">
      <c r="A8" s="29" t="s">
        <v>30</v>
      </c>
      <c r="B8" s="260">
        <v>1</v>
      </c>
      <c r="C8" s="260"/>
      <c r="D8" s="260"/>
      <c r="E8" s="261"/>
    </row>
    <row r="9" spans="1:7" x14ac:dyDescent="0.25">
      <c r="A9" s="29" t="s">
        <v>31</v>
      </c>
      <c r="B9" s="301" t="s">
        <v>1065</v>
      </c>
      <c r="C9" s="301"/>
      <c r="D9" s="301"/>
      <c r="E9" s="302"/>
      <c r="F9" s="27"/>
    </row>
    <row r="10" spans="1:7" x14ac:dyDescent="0.25">
      <c r="A10" s="29" t="s">
        <v>32</v>
      </c>
      <c r="B10" s="301" t="s">
        <v>1073</v>
      </c>
      <c r="C10" s="301"/>
      <c r="D10" s="301"/>
      <c r="E10" s="302"/>
      <c r="F10" s="27"/>
    </row>
    <row r="11" spans="1:7" x14ac:dyDescent="0.25">
      <c r="A11" s="29" t="s">
        <v>33</v>
      </c>
      <c r="B11" s="262">
        <v>1</v>
      </c>
      <c r="C11" s="262"/>
      <c r="D11" s="279"/>
      <c r="E11" s="280"/>
      <c r="F11" s="27"/>
    </row>
    <row r="12" spans="1:7" x14ac:dyDescent="0.25">
      <c r="A12" s="29" t="s">
        <v>965</v>
      </c>
      <c r="B12" s="30" t="s">
        <v>512</v>
      </c>
      <c r="C12" s="30"/>
      <c r="D12" s="305" t="s">
        <v>974</v>
      </c>
      <c r="E12" s="306"/>
      <c r="F12" s="27"/>
    </row>
    <row r="13" spans="1:7" x14ac:dyDescent="0.25">
      <c r="A13" s="34"/>
      <c r="B13" s="35" t="s">
        <v>967</v>
      </c>
      <c r="C13" s="27"/>
      <c r="D13" s="305" t="s">
        <v>993</v>
      </c>
      <c r="E13" s="306"/>
      <c r="F13" s="27"/>
    </row>
    <row r="14" spans="1:7" x14ac:dyDescent="0.25">
      <c r="A14" s="29" t="s">
        <v>34</v>
      </c>
      <c r="B14" s="27">
        <f>FPD580_PT</f>
        <v>24</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t="s">
        <v>179</v>
      </c>
      <c r="C17" s="27"/>
      <c r="D17" s="32" t="s">
        <v>41</v>
      </c>
      <c r="E17" s="40" t="str">
        <f>IF(B22="Yes","8 holes",IF(FPD580_PIPEID&lt;=120,"4 holes",IF(FPD580_PIPEID&gt;=1200,"8 holes","6 holes")))</f>
        <v>8 holes</v>
      </c>
      <c r="F17" s="27"/>
    </row>
    <row r="18" spans="1:7" ht="15" x14ac:dyDescent="0.2">
      <c r="A18" s="29" t="s">
        <v>42</v>
      </c>
      <c r="B18" s="41">
        <v>500</v>
      </c>
      <c r="C18" s="42"/>
      <c r="D18" s="32" t="s">
        <v>43</v>
      </c>
      <c r="E18" s="40">
        <f>FPD580_Neck_L</f>
        <v>120</v>
      </c>
      <c r="F18" s="27"/>
      <c r="G18" s="28"/>
    </row>
    <row r="19" spans="1:7" ht="15" x14ac:dyDescent="0.25">
      <c r="A19" s="29" t="s">
        <v>44</v>
      </c>
      <c r="B19" s="41">
        <v>5</v>
      </c>
      <c r="C19" s="27"/>
      <c r="D19" s="32" t="s">
        <v>45</v>
      </c>
      <c r="E19" s="40">
        <f>FPD580_EC_Length</f>
        <v>1.5</v>
      </c>
      <c r="G19" s="28"/>
    </row>
    <row r="20" spans="1:7" ht="15" x14ac:dyDescent="0.25">
      <c r="A20" s="29" t="s">
        <v>46</v>
      </c>
      <c r="B20" s="41" t="s">
        <v>216</v>
      </c>
      <c r="C20" s="27"/>
      <c r="D20" s="32" t="s">
        <v>48</v>
      </c>
      <c r="E20" s="40">
        <f>IF(FPD580_ES_type="F",(2*FPD580_GT),FPD580_GT)</f>
        <v>1.5</v>
      </c>
      <c r="G20" s="28"/>
    </row>
    <row r="21" spans="1:7" ht="15" x14ac:dyDescent="0.25">
      <c r="A21" s="29" t="s">
        <v>49</v>
      </c>
      <c r="B21" s="41" t="s">
        <v>1016</v>
      </c>
      <c r="C21" s="27" t="str">
        <f>VLOOKUP(FPD580_MIS_Gasket,'FPD580 MIS Data'!A46:B50,2,0)</f>
        <v>SBG</v>
      </c>
      <c r="D21" s="32" t="s">
        <v>50</v>
      </c>
      <c r="E21" s="40">
        <v>100</v>
      </c>
      <c r="G21" s="28"/>
    </row>
    <row r="22" spans="1:7" ht="15" x14ac:dyDescent="0.25">
      <c r="A22" s="29" t="s">
        <v>51</v>
      </c>
      <c r="B22" s="41" t="s">
        <v>52</v>
      </c>
      <c r="C22" s="27"/>
      <c r="D22" s="32" t="s">
        <v>53</v>
      </c>
      <c r="E22" s="40">
        <f>FPD580_Flange_t</f>
        <v>15.9</v>
      </c>
      <c r="F22" s="27"/>
      <c r="G22" s="28"/>
    </row>
    <row r="23" spans="1:7" ht="15" x14ac:dyDescent="0.25">
      <c r="A23" s="29" t="s">
        <v>1005</v>
      </c>
      <c r="B23" s="41" t="s">
        <v>52</v>
      </c>
      <c r="D23" s="32" t="s">
        <v>54</v>
      </c>
      <c r="E23" s="40">
        <f>'FPD580 MIS Data'!F24</f>
        <v>0</v>
      </c>
      <c r="G23" s="28"/>
    </row>
    <row r="24" spans="1:7" x14ac:dyDescent="0.25">
      <c r="A24" s="303" t="str">
        <f>IF('FPD580 MIS Data'!H24="F","Note - External flanged end support","")</f>
        <v/>
      </c>
      <c r="B24" s="304"/>
      <c r="C24" s="304"/>
      <c r="D24" s="27"/>
      <c r="E24" s="33"/>
      <c r="G24" s="28"/>
    </row>
    <row r="25" spans="1:7" ht="15" x14ac:dyDescent="0.25">
      <c r="A25" s="43" t="s">
        <v>55</v>
      </c>
      <c r="B25" s="44"/>
      <c r="C25" s="44"/>
      <c r="D25" s="45" t="s">
        <v>56</v>
      </c>
      <c r="E25" s="46"/>
      <c r="G25" s="28"/>
    </row>
    <row r="26" spans="1:7" ht="15" x14ac:dyDescent="0.25">
      <c r="A26" s="47" t="s">
        <v>57</v>
      </c>
      <c r="B26" s="48">
        <f>FPD580_PIPEID+FPD580_WALLT+FPD580_MIS_NL+FPD580_FS+FPD580_TGT-FPD580_EC_Length+IF(FPD580_ES_type="N",0,FPD580_WALLT+FPD580_MIS_ES)</f>
        <v>725</v>
      </c>
      <c r="C26" s="48"/>
      <c r="D26" s="48" t="s">
        <v>58</v>
      </c>
      <c r="E26" s="49">
        <f>FPD580_MIS_NL+FPD580_GT+FPD580_FS+FPD580_WALLT</f>
        <v>226.5</v>
      </c>
      <c r="G26" s="28"/>
    </row>
    <row r="27" spans="1:7" ht="15" x14ac:dyDescent="0.25">
      <c r="A27" s="47" t="s">
        <v>59</v>
      </c>
      <c r="B27" s="48">
        <f>FPD580_A_length-FPD580_I_DIM+FPD580_EC_Length</f>
        <v>478</v>
      </c>
      <c r="C27" s="48"/>
      <c r="D27" s="48" t="s">
        <v>60</v>
      </c>
      <c r="E27" s="49" t="str">
        <f>IF(FPD580_ES_type="N","N/A",FPD580_MIS_ES+FPD580_TGT-FPD580_GT+FPD580_WALLT)</f>
        <v>N/A</v>
      </c>
    </row>
    <row r="28" spans="1:7" ht="15" x14ac:dyDescent="0.25">
      <c r="A28" s="47" t="s">
        <v>61</v>
      </c>
      <c r="B28" s="48">
        <f>IF(FPD580_NRT="Y","N/A",FPD580_J_length+10)</f>
        <v>488</v>
      </c>
      <c r="C28" s="48"/>
      <c r="D28" s="48" t="s">
        <v>62</v>
      </c>
      <c r="E28" s="49">
        <f>FPD580_A_length-FPD580_MIS_NL</f>
        <v>605</v>
      </c>
    </row>
    <row r="29" spans="1:7" ht="15" x14ac:dyDescent="0.25">
      <c r="A29" s="47"/>
      <c r="B29" s="48"/>
      <c r="C29" s="48"/>
      <c r="D29" s="48"/>
      <c r="E29" s="40"/>
    </row>
    <row r="30" spans="1:7" ht="15" x14ac:dyDescent="0.25">
      <c r="A30" s="50" t="s">
        <v>63</v>
      </c>
      <c r="B30" s="48"/>
      <c r="C30" s="48"/>
      <c r="D30" s="51" t="s">
        <v>64</v>
      </c>
      <c r="E30" s="40"/>
    </row>
    <row r="31" spans="1:7" ht="15" x14ac:dyDescent="0.25">
      <c r="A31" s="47" t="s">
        <v>65</v>
      </c>
      <c r="B31" s="52" t="str">
        <f>IF(FPD580_NRT="Y",FPD580_Fin_tw+10,"N/A")</f>
        <v>N/A</v>
      </c>
      <c r="C31" s="48"/>
      <c r="D31" s="48" t="s">
        <v>66</v>
      </c>
      <c r="E31" s="49">
        <f>(FPD580_PIPEID*'FPD580 MIS Data'!B$7)+IF(FPD580_ES_type="N",0,FPD580_WALLT+FPD580_MIS_ES+FPD580_TGT-FPD580_GT)-FPD580_EC_Length</f>
        <v>15.5</v>
      </c>
    </row>
    <row r="32" spans="1:7" ht="15" x14ac:dyDescent="0.25">
      <c r="A32" s="47" t="s">
        <v>67</v>
      </c>
      <c r="B32" s="52" t="str">
        <f>IF(FPD580_NRT="Y",(FPD580_A_length-FPD580_Average_nrt-240),"N/A")</f>
        <v>N/A</v>
      </c>
      <c r="C32" s="48"/>
      <c r="D32" s="48" t="s">
        <v>68</v>
      </c>
      <c r="E32" s="49">
        <f>(FPD580_PIPEID*'FPD580 MIS Data'!C$7)+IF(FPD580_ES_type="N",0,FPD580_WALLT+FPD580_MIS_ES+FPD580_TGT-FPD580_GT)-FPD580_EC_Length</f>
        <v>44.5</v>
      </c>
    </row>
    <row r="33" spans="1:9" ht="15" x14ac:dyDescent="0.25">
      <c r="A33" s="47" t="s">
        <v>69</v>
      </c>
      <c r="B33" s="52" t="str">
        <f>IF(FPD580_NRT="Y",FPD580_Fin_tw+135,"N/A")</f>
        <v>N/A</v>
      </c>
      <c r="C33" s="48"/>
      <c r="D33" s="48" t="s">
        <v>70</v>
      </c>
      <c r="E33" s="49">
        <f>(FPD580_PIPEID*'FPD580 MIS Data'!D$7)+IF(FPD580_ES_type="N",0,FPD580_WALLT+FPD580_MIS_ES+FPD580_TGT-FPD580_GT)-FPD580_EC_Length</f>
        <v>123.5</v>
      </c>
    </row>
    <row r="34" spans="1:9" ht="15" x14ac:dyDescent="0.25">
      <c r="A34" s="53"/>
      <c r="B34" s="48"/>
      <c r="C34" s="48"/>
      <c r="D34" s="48" t="s">
        <v>71</v>
      </c>
      <c r="E34" s="49">
        <f>(FPD580_PIPEID*'FPD580 MIS Data'!E$7)+IF(FPD580_ES_type="N",0,FPD580_WALLT+FPD580_MIS_ES+FPD580_TGT-FPD580_GT)-FPD580_EC_Length</f>
        <v>182.25</v>
      </c>
    </row>
    <row r="35" spans="1:9" ht="15" x14ac:dyDescent="0.25">
      <c r="A35" s="50"/>
      <c r="B35" s="48"/>
      <c r="C35" s="48"/>
      <c r="D35" s="48" t="s">
        <v>72</v>
      </c>
      <c r="E35" s="49">
        <f>IF('FPD580 MIS Data'!F$7=0,"N/A",(FPD580_PIPEID*'FPD580 MIS Data'!F$7)+IF(FPD580_ES_type="N",0,FPD580_WALLT+FPD580_MIS_ES+FPD580_TGT-FPD580_GT)-FPD580_EC_Length)</f>
        <v>314.75</v>
      </c>
    </row>
    <row r="36" spans="1:9" ht="15" x14ac:dyDescent="0.25">
      <c r="A36" s="47"/>
      <c r="B36" s="48"/>
      <c r="C36" s="48"/>
      <c r="D36" s="48" t="s">
        <v>73</v>
      </c>
      <c r="E36" s="49">
        <f>IF('FPD580 MIS Data'!G$7=0,"N/A",(FPD580_PIPEID*'FPD580 MIS Data'!G$7)+IF(FPD580_ES_type="N",0,FPD580_WALLT+FPD580_MIS_ES+FPD580_TGT-FPD580_GT)-FPD580_EC_Length)</f>
        <v>373.5</v>
      </c>
    </row>
    <row r="37" spans="1:9" ht="15" x14ac:dyDescent="0.25">
      <c r="A37" s="47"/>
      <c r="B37" s="48"/>
      <c r="C37" s="48"/>
      <c r="D37" s="48" t="s">
        <v>74</v>
      </c>
      <c r="E37" s="49">
        <f>IF('FPD580 MIS Data'!H$7=0,"N/A",(FPD580_PIPEID*'FPD580 MIS Data'!H$7)+IF(FPD580_ES_type="N",0,FPD580_WALLT+FPD580_MIS_ES+FPD580_TGT-FPD580_GT)-FPD580_EC_Length)</f>
        <v>452.5</v>
      </c>
    </row>
    <row r="38" spans="1:9" ht="15" x14ac:dyDescent="0.25">
      <c r="A38" s="47"/>
      <c r="B38" s="48"/>
      <c r="C38" s="48"/>
      <c r="D38" s="48" t="s">
        <v>75</v>
      </c>
      <c r="E38" s="49">
        <f>IF('FPD580 MIS Data'!I$7=0,"N/A",(FPD580_PIPEID*'FPD580 MIS Data'!I$7)+IF(FPD580_ES_type="N",0,FPD580_WALLT+FPD580_MIS_ES+FPD580_TGT-FPD580_GT)-FPD580_EC_Length)</f>
        <v>481.5</v>
      </c>
      <c r="H38" s="27"/>
      <c r="I38" s="27"/>
    </row>
    <row r="39" spans="1:9" ht="15" x14ac:dyDescent="0.25">
      <c r="A39" s="47"/>
      <c r="B39" s="48"/>
      <c r="C39" s="48"/>
      <c r="D39" s="48" t="s">
        <v>76</v>
      </c>
      <c r="E39" s="49">
        <f>(FPD580_PIPEID*'FPD580 MIS Data'!A$7)+IF(FPD580_ES_type="N",0,FPD580_WALLT+FPD580_MIS_ES+FPD580_TGT-FPD580_GT)-FPD580_EC_Length</f>
        <v>248.5</v>
      </c>
    </row>
    <row r="40" spans="1:9" ht="15" x14ac:dyDescent="0.25">
      <c r="A40" s="54"/>
      <c r="B40" s="55"/>
      <c r="C40" s="55"/>
      <c r="D40" s="55"/>
      <c r="E40" s="56"/>
    </row>
    <row r="41" spans="1:9" s="60" customFormat="1" ht="15" customHeight="1" x14ac:dyDescent="0.25">
      <c r="A41" s="57"/>
      <c r="B41" s="58"/>
      <c r="C41" s="58"/>
      <c r="D41" s="58"/>
      <c r="E41" s="59"/>
      <c r="G41" s="41"/>
    </row>
    <row r="42" spans="1:9" ht="15" hidden="1" x14ac:dyDescent="0.25">
      <c r="A42" s="61" t="s">
        <v>55</v>
      </c>
      <c r="B42" s="62"/>
      <c r="C42" s="62"/>
      <c r="D42" s="63" t="s">
        <v>56</v>
      </c>
      <c r="E42" s="64"/>
      <c r="G42" s="28"/>
    </row>
    <row r="43" spans="1:9" ht="15" hidden="1" x14ac:dyDescent="0.25">
      <c r="A43" s="65" t="s">
        <v>57</v>
      </c>
      <c r="B43" s="66">
        <f>FPD580_PIPEID+FPD580_WALLT+FPD580_MIS_NL+FPD580_FS+FPD580_TGT-FPD580_EC_Length+IF(FPD580_ES_type="N",0,FPD580_WALLT+FPD580_MIS_ES)-G44</f>
        <v>433.75</v>
      </c>
      <c r="C43" s="67"/>
      <c r="D43" s="67" t="s">
        <v>58</v>
      </c>
      <c r="E43" s="68">
        <f>FPD580_MIS_NL+FPD580_GT+FPD580_FS+FPD580_WALLT</f>
        <v>226.5</v>
      </c>
      <c r="G43" s="28"/>
    </row>
    <row r="44" spans="1:9" ht="15" hidden="1" x14ac:dyDescent="0.25">
      <c r="A44" s="65" t="s">
        <v>59</v>
      </c>
      <c r="B44" s="66">
        <f>B43-E56+FPD580_EC_Length</f>
        <v>329.375</v>
      </c>
      <c r="C44" s="67"/>
      <c r="D44" s="67" t="s">
        <v>60</v>
      </c>
      <c r="E44" s="68" t="str">
        <f>IF(FPD580_ES_type="N","N/A",FPD580_MIS_ES+FPD580_TGT-FPD580_GT+FPD580_WALLT)</f>
        <v>N/A</v>
      </c>
      <c r="G44" s="28">
        <f>FPD580_PIPEID-G46</f>
        <v>291.25</v>
      </c>
    </row>
    <row r="45" spans="1:9" ht="15" hidden="1" x14ac:dyDescent="0.25">
      <c r="A45" s="65" t="s">
        <v>61</v>
      </c>
      <c r="B45" s="66">
        <f>IF(FPD580_NRT="Y","N/A",B44+10)</f>
        <v>339.375</v>
      </c>
      <c r="C45" s="67"/>
      <c r="D45" s="67" t="s">
        <v>62</v>
      </c>
      <c r="E45" s="68">
        <f>B43-FPD580_MIS_NL</f>
        <v>313.75</v>
      </c>
    </row>
    <row r="46" spans="1:9" ht="15" hidden="1" x14ac:dyDescent="0.25">
      <c r="A46" s="65"/>
      <c r="B46" s="67"/>
      <c r="C46" s="67"/>
      <c r="D46" s="67"/>
      <c r="E46" s="69"/>
      <c r="G46" s="27">
        <f>IF((FPD580_PIPEID*(1-'FPD580 MIS Data'!F7))+25&gt;'FPD580 MIS Data'!K24,'FPD580 MIS Data'!K24,(FPD580_PIPEID*(1-'FPD580 MIS Data'!F7))+25)</f>
        <v>208.75000000000003</v>
      </c>
    </row>
    <row r="47" spans="1:9" ht="15" hidden="1" x14ac:dyDescent="0.25">
      <c r="A47" s="70" t="s">
        <v>63</v>
      </c>
      <c r="B47" s="67"/>
      <c r="C47" s="67"/>
      <c r="D47" s="71" t="s">
        <v>64</v>
      </c>
      <c r="E47" s="69"/>
    </row>
    <row r="48" spans="1:9" ht="15" hidden="1" x14ac:dyDescent="0.25">
      <c r="A48" s="65" t="s">
        <v>65</v>
      </c>
      <c r="B48" s="66" t="str">
        <f>IF(FPD580_NRT="Y",FPD580_Fin_tw+10,"N/A")</f>
        <v>N/A</v>
      </c>
      <c r="C48" s="67"/>
      <c r="D48" s="67" t="s">
        <v>66</v>
      </c>
      <c r="E48" s="68">
        <v>0</v>
      </c>
    </row>
    <row r="49" spans="1:5" ht="15" hidden="1" x14ac:dyDescent="0.25">
      <c r="A49" s="65" t="s">
        <v>67</v>
      </c>
      <c r="B49" s="66" t="str">
        <f>IF(FPD580_NRT="Y",(FPD580_A_length-FPD580_Average_nrt-240),"N/A")</f>
        <v>N/A</v>
      </c>
      <c r="C49" s="67"/>
      <c r="D49" s="67" t="s">
        <v>68</v>
      </c>
      <c r="E49" s="68">
        <v>0</v>
      </c>
    </row>
    <row r="50" spans="1:5" ht="15" hidden="1" x14ac:dyDescent="0.25">
      <c r="A50" s="65" t="s">
        <v>69</v>
      </c>
      <c r="B50" s="66" t="str">
        <f>IF(FPD580_NRT="Y",FPD580_Fin_tw+135,"N/A")</f>
        <v>N/A</v>
      </c>
      <c r="C50" s="67"/>
      <c r="D50" s="67" t="s">
        <v>70</v>
      </c>
      <c r="E50" s="68">
        <v>0</v>
      </c>
    </row>
    <row r="51" spans="1:5" ht="15" hidden="1" x14ac:dyDescent="0.25">
      <c r="A51" s="72"/>
      <c r="B51" s="67"/>
      <c r="C51" s="67"/>
      <c r="D51" s="67" t="s">
        <v>71</v>
      </c>
      <c r="E51" s="68">
        <v>0</v>
      </c>
    </row>
    <row r="52" spans="1:5" ht="15" hidden="1" x14ac:dyDescent="0.25">
      <c r="A52" s="297" t="s">
        <v>77</v>
      </c>
      <c r="B52" s="298"/>
      <c r="C52" s="298"/>
      <c r="D52" s="67" t="s">
        <v>72</v>
      </c>
      <c r="E52" s="68">
        <f>FPD580_G_DIM-G44+FPD580_MIS_EC</f>
        <v>25</v>
      </c>
    </row>
    <row r="53" spans="1:5" ht="15" hidden="1" x14ac:dyDescent="0.25">
      <c r="A53" s="297"/>
      <c r="B53" s="298"/>
      <c r="C53" s="298"/>
      <c r="D53" s="67" t="s">
        <v>73</v>
      </c>
      <c r="E53" s="68">
        <f>FPD580_H_DIM-G44+FPD580_MIS_EC</f>
        <v>83.75</v>
      </c>
    </row>
    <row r="54" spans="1:5" ht="15" hidden="1" x14ac:dyDescent="0.25">
      <c r="A54" s="297"/>
      <c r="B54" s="298"/>
      <c r="C54" s="298"/>
      <c r="D54" s="67" t="s">
        <v>74</v>
      </c>
      <c r="E54" s="68">
        <f>FPD580_N_DIM-G44+FPD580_MIS_EC</f>
        <v>162.75</v>
      </c>
    </row>
    <row r="55" spans="1:5" ht="15" hidden="1" x14ac:dyDescent="0.25">
      <c r="A55" s="297"/>
      <c r="B55" s="298"/>
      <c r="C55" s="298"/>
      <c r="D55" s="67" t="s">
        <v>75</v>
      </c>
      <c r="E55" s="68">
        <f>FPD580_P_DIM-G44+FPD580_MIS_EC</f>
        <v>191.75</v>
      </c>
    </row>
    <row r="56" spans="1:5" ht="15" hidden="1" x14ac:dyDescent="0.25">
      <c r="A56" s="297"/>
      <c r="B56" s="298"/>
      <c r="C56" s="298"/>
      <c r="D56" s="67" t="s">
        <v>76</v>
      </c>
      <c r="E56" s="68">
        <f>(G46/2)+FPD580_MIS_EC</f>
        <v>105.87500000000001</v>
      </c>
    </row>
    <row r="57" spans="1:5" ht="15" hidden="1" x14ac:dyDescent="0.25">
      <c r="A57" s="299"/>
      <c r="B57" s="300"/>
      <c r="C57" s="300"/>
      <c r="D57" s="73"/>
      <c r="E57" s="74"/>
    </row>
  </sheetData>
  <dataConsolidate/>
  <mergeCells count="7">
    <mergeCell ref="A52:C57"/>
    <mergeCell ref="B7:E7"/>
    <mergeCell ref="B9:E9"/>
    <mergeCell ref="B10:E10"/>
    <mergeCell ref="A24:C24"/>
    <mergeCell ref="D12:E12"/>
    <mergeCell ref="D13:E13"/>
  </mergeCells>
  <dataValidations count="4">
    <dataValidation type="list" allowBlank="1" showInputMessage="1" showErrorMessage="1" sqref="B22 B23" xr:uid="{00000000-0002-0000-0200-000000000000}">
      <formula1>"Yes,No"</formula1>
    </dataValidation>
    <dataValidation type="list" allowBlank="1" showInputMessage="1" showErrorMessage="1" sqref="B21" xr:uid="{00000000-0002-0000-0200-000001000000}">
      <formula1>FPD580_Gasket_List</formula1>
    </dataValidation>
    <dataValidation type="list" allowBlank="1" showInputMessage="1" showErrorMessage="1" sqref="B20" xr:uid="{00000000-0002-0000-0200-000002000000}">
      <formula1>FPD580_FS_List</formula1>
    </dataValidation>
    <dataValidation type="list" allowBlank="1" showInputMessage="1" showErrorMessage="1" sqref="B17"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&amp;L&amp;"ABB Logo,Plain"&amp;26&amp;KFF0000ABB&amp;C&amp;"Calibri,Regular"&amp;22StackCalc MIS Sheet&amp;R&amp;D</oddHead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topLeftCell="A2" zoomScale="110" zoomScaleNormal="100" zoomScalePageLayoutView="110" workbookViewId="0">
      <selection activeCell="E26" sqref="E26:G26"/>
    </sheetView>
  </sheetViews>
  <sheetFormatPr defaultColWidth="9.140625" defaultRowHeight="12.75" x14ac:dyDescent="0.2"/>
  <cols>
    <col min="1" max="5" width="9.42578125" style="75" customWidth="1"/>
    <col min="6" max="6" width="10.5703125" style="75" customWidth="1"/>
    <col min="7" max="10" width="9.42578125" style="75" customWidth="1"/>
    <col min="11" max="16384" width="9.140625" style="75"/>
  </cols>
  <sheetData>
    <row r="1" spans="1:10" x14ac:dyDescent="0.2">
      <c r="A1" s="335"/>
      <c r="B1" s="335"/>
      <c r="C1" s="335"/>
      <c r="D1" s="335"/>
      <c r="E1" s="335"/>
      <c r="F1" s="335"/>
      <c r="G1" s="335"/>
      <c r="H1" s="335"/>
      <c r="I1" s="335"/>
      <c r="J1" s="335"/>
    </row>
    <row r="2" spans="1:10" x14ac:dyDescent="0.2">
      <c r="A2" s="328" t="s">
        <v>78</v>
      </c>
      <c r="B2" s="328"/>
      <c r="C2" s="328"/>
      <c r="D2" s="328" t="s">
        <v>79</v>
      </c>
      <c r="E2" s="328"/>
      <c r="F2" s="328"/>
      <c r="G2" s="328" t="s">
        <v>80</v>
      </c>
      <c r="H2" s="328"/>
      <c r="I2" s="328"/>
      <c r="J2" s="328"/>
    </row>
    <row r="3" spans="1:10" ht="14.25" customHeight="1" x14ac:dyDescent="0.2">
      <c r="A3" s="332" t="str">
        <f>CustomerName</f>
        <v>OurNameTest</v>
      </c>
      <c r="B3" s="332"/>
      <c r="C3" s="332"/>
      <c r="D3" s="332">
        <f>PurchaseOrderNumber</f>
        <v>450125487</v>
      </c>
      <c r="E3" s="332"/>
      <c r="F3" s="332"/>
      <c r="G3" s="332" t="s">
        <v>1065</v>
      </c>
      <c r="H3" s="332"/>
      <c r="I3" s="332"/>
      <c r="J3" s="332"/>
    </row>
    <row r="4" spans="1:10" ht="12.75" customHeight="1" x14ac:dyDescent="0.2">
      <c r="A4" s="328" t="s">
        <v>81</v>
      </c>
      <c r="B4" s="328"/>
      <c r="C4" s="328"/>
      <c r="D4" s="328" t="s">
        <v>82</v>
      </c>
      <c r="E4" s="328"/>
      <c r="F4" s="328"/>
      <c r="G4" s="328" t="s">
        <v>83</v>
      </c>
      <c r="H4" s="328"/>
      <c r="I4" s="328"/>
      <c r="J4" s="328"/>
    </row>
    <row r="5" spans="1:10" ht="12.75" customHeight="1" x14ac:dyDescent="0.2">
      <c r="A5" s="332">
        <f>SalesOrderNumber</f>
        <v>1002</v>
      </c>
      <c r="B5" s="332"/>
      <c r="C5" s="332"/>
      <c r="D5" s="332">
        <v>20</v>
      </c>
      <c r="E5" s="332"/>
      <c r="F5" s="332"/>
      <c r="G5" s="332"/>
      <c r="H5" s="332"/>
      <c r="I5" s="332"/>
      <c r="J5" s="332"/>
    </row>
    <row r="6" spans="1:10" ht="12.75" customHeight="1" x14ac:dyDescent="0.2">
      <c r="A6" s="328" t="s">
        <v>84</v>
      </c>
      <c r="B6" s="328"/>
      <c r="C6" s="328"/>
      <c r="D6" s="328" t="s">
        <v>85</v>
      </c>
      <c r="E6" s="328"/>
      <c r="F6" s="328"/>
      <c r="G6" s="328" t="s">
        <v>86</v>
      </c>
      <c r="H6" s="328"/>
      <c r="I6" s="328"/>
      <c r="J6" s="328"/>
    </row>
    <row r="7" spans="1:10" ht="12.75" customHeight="1" x14ac:dyDescent="0.2">
      <c r="A7" s="76" t="s">
        <v>87</v>
      </c>
      <c r="B7" s="76">
        <v>5.4904999999999999</v>
      </c>
      <c r="C7" s="76" t="s">
        <v>88</v>
      </c>
      <c r="D7" s="334" t="s">
        <v>89</v>
      </c>
      <c r="E7" s="334"/>
      <c r="F7" s="334"/>
      <c r="G7" s="334" t="s">
        <v>1074</v>
      </c>
      <c r="H7" s="334"/>
      <c r="I7" s="334" t="s">
        <v>90</v>
      </c>
      <c r="J7" s="334"/>
    </row>
    <row r="8" spans="1:10" ht="12.75" customHeight="1" x14ac:dyDescent="0.2">
      <c r="A8" s="328" t="s">
        <v>91</v>
      </c>
      <c r="B8" s="328"/>
      <c r="C8" s="328"/>
      <c r="D8" s="328"/>
      <c r="E8" s="328"/>
      <c r="F8" s="328" t="s">
        <v>92</v>
      </c>
      <c r="G8" s="328"/>
      <c r="H8" s="328"/>
      <c r="I8" s="328"/>
      <c r="J8" s="328"/>
    </row>
    <row r="9" spans="1:10" ht="22.5" customHeight="1" x14ac:dyDescent="0.2">
      <c r="A9" s="329" t="s">
        <v>1073</v>
      </c>
      <c r="B9" s="330"/>
      <c r="C9" s="330"/>
      <c r="D9" s="330"/>
      <c r="E9" s="331"/>
      <c r="F9" s="332"/>
      <c r="G9" s="332"/>
      <c r="H9" s="332"/>
      <c r="I9" s="332"/>
      <c r="J9" s="332"/>
    </row>
    <row r="10" spans="1:10" ht="21" customHeight="1" x14ac:dyDescent="0.2">
      <c r="A10" s="325" t="s">
        <v>93</v>
      </c>
      <c r="B10" s="325"/>
      <c r="C10" s="325"/>
      <c r="D10" s="325"/>
      <c r="E10" s="325"/>
      <c r="F10" s="325"/>
      <c r="G10" s="325"/>
      <c r="H10" s="325"/>
      <c r="I10" s="325"/>
      <c r="J10" s="325"/>
    </row>
    <row r="11" spans="1:10" ht="18" customHeight="1" x14ac:dyDescent="0.2">
      <c r="A11" s="333" t="s">
        <v>94</v>
      </c>
      <c r="B11" s="333"/>
      <c r="C11" s="333"/>
      <c r="D11" s="333"/>
      <c r="E11" s="333" t="s">
        <v>95</v>
      </c>
      <c r="F11" s="333"/>
      <c r="G11" s="333"/>
      <c r="H11" s="333"/>
      <c r="I11" s="333"/>
      <c r="J11" s="333"/>
    </row>
    <row r="12" spans="1:10" ht="15" customHeight="1" x14ac:dyDescent="0.2">
      <c r="A12" s="318" t="s">
        <v>96</v>
      </c>
      <c r="B12" s="319"/>
      <c r="C12" s="319"/>
      <c r="D12" s="319"/>
      <c r="E12" s="320" t="s">
        <v>97</v>
      </c>
      <c r="F12" s="321"/>
      <c r="G12" s="322"/>
      <c r="H12" s="323"/>
      <c r="I12" s="324"/>
      <c r="J12" s="324"/>
    </row>
    <row r="13" spans="1:10" ht="15" customHeight="1" x14ac:dyDescent="0.2">
      <c r="A13" s="318" t="s">
        <v>98</v>
      </c>
      <c r="B13" s="319"/>
      <c r="C13" s="319"/>
      <c r="D13" s="319"/>
      <c r="E13" s="320" t="s">
        <v>99</v>
      </c>
      <c r="F13" s="321"/>
      <c r="G13" s="322"/>
      <c r="H13" s="323"/>
      <c r="I13" s="324"/>
      <c r="J13" s="324"/>
    </row>
    <row r="14" spans="1:10" ht="15" customHeight="1" x14ac:dyDescent="0.2">
      <c r="A14" s="318" t="s">
        <v>100</v>
      </c>
      <c r="B14" s="319"/>
      <c r="C14" s="319"/>
      <c r="D14" s="319"/>
      <c r="E14" s="320" t="s">
        <v>101</v>
      </c>
      <c r="F14" s="321"/>
      <c r="G14" s="322"/>
      <c r="H14" s="323"/>
      <c r="I14" s="324"/>
      <c r="J14" s="324"/>
    </row>
    <row r="15" spans="1:10" ht="15" customHeight="1" x14ac:dyDescent="0.2">
      <c r="A15" s="318" t="s">
        <v>102</v>
      </c>
      <c r="B15" s="319"/>
      <c r="C15" s="319"/>
      <c r="D15" s="319"/>
      <c r="E15" s="320" t="s">
        <v>88</v>
      </c>
      <c r="F15" s="321"/>
      <c r="G15" s="322"/>
      <c r="H15" s="323"/>
      <c r="I15" s="324"/>
      <c r="J15" s="324"/>
    </row>
    <row r="16" spans="1:10" ht="15" customHeight="1" x14ac:dyDescent="0.2">
      <c r="A16" s="318" t="s">
        <v>103</v>
      </c>
      <c r="B16" s="319"/>
      <c r="C16" s="319"/>
      <c r="D16" s="319"/>
      <c r="E16" s="320">
        <v>0</v>
      </c>
      <c r="F16" s="321"/>
      <c r="G16" s="322"/>
      <c r="H16" s="323"/>
      <c r="I16" s="324"/>
      <c r="J16" s="324"/>
    </row>
    <row r="17" spans="1:10" ht="15" customHeight="1" x14ac:dyDescent="0.2">
      <c r="A17" s="318" t="s">
        <v>104</v>
      </c>
      <c r="B17" s="319"/>
      <c r="C17" s="319"/>
      <c r="D17" s="319"/>
      <c r="E17" s="320">
        <v>5.4904999999999999</v>
      </c>
      <c r="F17" s="321"/>
      <c r="G17" s="322"/>
      <c r="H17" s="323"/>
      <c r="I17" s="324"/>
      <c r="J17" s="324"/>
    </row>
    <row r="18" spans="1:10" ht="15" customHeight="1" x14ac:dyDescent="0.2">
      <c r="A18" s="318" t="s">
        <v>105</v>
      </c>
      <c r="B18" s="319"/>
      <c r="C18" s="319"/>
      <c r="D18" s="319"/>
      <c r="E18" s="320" t="s">
        <v>106</v>
      </c>
      <c r="F18" s="321"/>
      <c r="G18" s="322"/>
      <c r="H18" s="323"/>
      <c r="I18" s="324"/>
      <c r="J18" s="324"/>
    </row>
    <row r="19" spans="1:10" ht="15" customHeight="1" x14ac:dyDescent="0.2">
      <c r="A19" s="318" t="s">
        <v>107</v>
      </c>
      <c r="B19" s="319"/>
      <c r="C19" s="319"/>
      <c r="D19" s="319"/>
      <c r="E19" s="320" t="s">
        <v>108</v>
      </c>
      <c r="F19" s="321"/>
      <c r="G19" s="322"/>
      <c r="H19" s="323"/>
      <c r="I19" s="324"/>
      <c r="J19" s="324"/>
    </row>
    <row r="20" spans="1:10" ht="15" customHeight="1" x14ac:dyDescent="0.2">
      <c r="A20" s="318" t="s">
        <v>109</v>
      </c>
      <c r="B20" s="319"/>
      <c r="C20" s="319"/>
      <c r="D20" s="319"/>
      <c r="E20" s="320" t="s">
        <v>110</v>
      </c>
      <c r="F20" s="321"/>
      <c r="G20" s="322"/>
      <c r="H20" s="323"/>
      <c r="I20" s="324"/>
      <c r="J20" s="324"/>
    </row>
    <row r="21" spans="1:10" ht="15" customHeight="1" x14ac:dyDescent="0.2">
      <c r="A21" s="318" t="s">
        <v>111</v>
      </c>
      <c r="B21" s="319"/>
      <c r="C21" s="319"/>
      <c r="D21" s="319"/>
      <c r="E21" s="320" t="s">
        <v>110</v>
      </c>
      <c r="F21" s="321"/>
      <c r="G21" s="322"/>
      <c r="H21" s="323"/>
      <c r="I21" s="324"/>
      <c r="J21" s="324"/>
    </row>
    <row r="22" spans="1:10" ht="15" customHeight="1" x14ac:dyDescent="0.2">
      <c r="A22" s="318" t="s">
        <v>112</v>
      </c>
      <c r="B22" s="319"/>
      <c r="C22" s="319"/>
      <c r="D22" s="319"/>
      <c r="E22" s="320" t="s">
        <v>1075</v>
      </c>
      <c r="F22" s="321"/>
      <c r="G22" s="322"/>
      <c r="H22" s="323"/>
      <c r="I22" s="324"/>
      <c r="J22" s="324"/>
    </row>
    <row r="23" spans="1:10" ht="15" customHeight="1" x14ac:dyDescent="0.2">
      <c r="A23" s="318" t="s">
        <v>113</v>
      </c>
      <c r="B23" s="319"/>
      <c r="C23" s="319"/>
      <c r="D23" s="319"/>
      <c r="E23" s="320" t="s">
        <v>1069</v>
      </c>
      <c r="F23" s="321"/>
      <c r="G23" s="322"/>
      <c r="H23" s="323"/>
      <c r="I23" s="324"/>
      <c r="J23" s="324"/>
    </row>
    <row r="24" spans="1:10" ht="15" customHeight="1" x14ac:dyDescent="0.2">
      <c r="A24" s="318" t="s">
        <v>114</v>
      </c>
      <c r="B24" s="319"/>
      <c r="C24" s="319"/>
      <c r="D24" s="319"/>
      <c r="E24" s="320" t="s">
        <v>924</v>
      </c>
      <c r="F24" s="321"/>
      <c r="G24" s="322"/>
      <c r="H24" s="323"/>
      <c r="I24" s="324"/>
      <c r="J24" s="324"/>
    </row>
    <row r="25" spans="1:10" ht="15" customHeight="1" x14ac:dyDescent="0.2">
      <c r="A25" s="318" t="s">
        <v>9</v>
      </c>
      <c r="B25" s="319"/>
      <c r="C25" s="319"/>
      <c r="D25" s="319"/>
      <c r="E25" s="320" t="s">
        <v>1050</v>
      </c>
      <c r="F25" s="321"/>
      <c r="G25" s="322"/>
      <c r="H25" s="323"/>
      <c r="I25" s="324"/>
      <c r="J25" s="324"/>
    </row>
    <row r="26" spans="1:10" ht="15" customHeight="1" x14ac:dyDescent="0.2">
      <c r="A26" s="318" t="s">
        <v>115</v>
      </c>
      <c r="B26" s="319"/>
      <c r="C26" s="319"/>
      <c r="D26" s="319"/>
      <c r="E26" s="320" t="s">
        <v>1076</v>
      </c>
      <c r="F26" s="321"/>
      <c r="G26" s="322"/>
      <c r="H26" s="323"/>
      <c r="I26" s="324"/>
      <c r="J26" s="324"/>
    </row>
    <row r="27" spans="1:10" ht="15" customHeight="1" x14ac:dyDescent="0.2">
      <c r="A27" s="318" t="s">
        <v>116</v>
      </c>
      <c r="B27" s="319"/>
      <c r="C27" s="319"/>
      <c r="D27" s="319"/>
      <c r="E27" s="320" t="s">
        <v>117</v>
      </c>
      <c r="F27" s="321"/>
      <c r="G27" s="322"/>
      <c r="H27" s="323"/>
      <c r="I27" s="324"/>
      <c r="J27" s="324"/>
    </row>
    <row r="28" spans="1:10" ht="15" customHeight="1" x14ac:dyDescent="0.2">
      <c r="A28" s="318" t="s">
        <v>118</v>
      </c>
      <c r="B28" s="319"/>
      <c r="C28" s="319"/>
      <c r="D28" s="319"/>
      <c r="E28" s="320" t="s">
        <v>1077</v>
      </c>
      <c r="F28" s="321"/>
      <c r="G28" s="322"/>
      <c r="H28" s="323"/>
      <c r="I28" s="324"/>
      <c r="J28" s="324"/>
    </row>
    <row r="29" spans="1:10" ht="15" customHeight="1" x14ac:dyDescent="0.2">
      <c r="A29" s="318" t="s">
        <v>119</v>
      </c>
      <c r="B29" s="319"/>
      <c r="C29" s="319"/>
      <c r="D29" s="319"/>
      <c r="E29" s="320">
        <v>270540</v>
      </c>
      <c r="F29" s="321"/>
      <c r="G29" s="322"/>
      <c r="H29" s="323"/>
      <c r="I29" s="324"/>
      <c r="J29" s="324"/>
    </row>
    <row r="30" spans="1:10" ht="15" customHeight="1" x14ac:dyDescent="0.2">
      <c r="A30" s="318" t="s">
        <v>120</v>
      </c>
      <c r="B30" s="319"/>
      <c r="C30" s="319"/>
      <c r="D30" s="319"/>
      <c r="E30" s="320">
        <v>100</v>
      </c>
      <c r="F30" s="321"/>
      <c r="G30" s="322"/>
      <c r="H30" s="323"/>
      <c r="I30" s="324"/>
      <c r="J30" s="324"/>
    </row>
    <row r="31" spans="1:10" ht="15" customHeight="1" x14ac:dyDescent="0.2">
      <c r="A31" s="318" t="s">
        <v>121</v>
      </c>
      <c r="B31" s="319"/>
      <c r="C31" s="319"/>
      <c r="D31" s="319"/>
      <c r="E31" s="327" t="s">
        <v>1078</v>
      </c>
      <c r="F31" s="321"/>
      <c r="G31" s="322"/>
      <c r="H31" s="323"/>
      <c r="I31" s="324"/>
      <c r="J31" s="324"/>
    </row>
    <row r="32" spans="1:10" ht="15" customHeight="1" x14ac:dyDescent="0.2">
      <c r="A32" s="318" t="s">
        <v>122</v>
      </c>
      <c r="B32" s="319"/>
      <c r="C32" s="319"/>
      <c r="D32" s="319"/>
      <c r="E32" s="320"/>
      <c r="F32" s="321"/>
      <c r="G32" s="322"/>
      <c r="H32" s="323"/>
      <c r="I32" s="324"/>
      <c r="J32" s="324"/>
    </row>
    <row r="33" spans="1:10" ht="21" customHeight="1" x14ac:dyDescent="0.2">
      <c r="A33" s="325"/>
      <c r="B33" s="325"/>
      <c r="C33" s="325"/>
      <c r="D33" s="325"/>
      <c r="E33" s="325"/>
      <c r="F33" s="325"/>
      <c r="G33" s="325"/>
      <c r="H33" s="325"/>
      <c r="I33" s="325"/>
      <c r="J33" s="325"/>
    </row>
    <row r="34" spans="1:10" s="77" customFormat="1" ht="14.25" customHeight="1" x14ac:dyDescent="0.2">
      <c r="A34" s="326"/>
      <c r="B34" s="326"/>
      <c r="C34" s="326"/>
      <c r="D34" s="326"/>
      <c r="E34" s="326"/>
      <c r="F34" s="326"/>
      <c r="G34" s="326"/>
      <c r="H34" s="326"/>
      <c r="I34" s="326"/>
      <c r="J34" s="326"/>
    </row>
    <row r="35" spans="1:10" s="77" customFormat="1" ht="15" customHeight="1" x14ac:dyDescent="0.2">
      <c r="A35" s="314"/>
      <c r="B35" s="314"/>
      <c r="C35" s="314"/>
      <c r="D35" s="314"/>
      <c r="E35" s="315"/>
      <c r="F35" s="315"/>
      <c r="G35" s="315"/>
      <c r="H35" s="316"/>
      <c r="I35" s="317"/>
      <c r="J35" s="317"/>
    </row>
    <row r="36" spans="1:10" s="77" customFormat="1" ht="15" customHeight="1" x14ac:dyDescent="0.2">
      <c r="A36" s="314"/>
      <c r="B36" s="314"/>
      <c r="C36" s="314"/>
      <c r="D36" s="314"/>
      <c r="E36" s="315"/>
      <c r="F36" s="315"/>
      <c r="G36" s="315"/>
      <c r="H36" s="316"/>
      <c r="I36" s="317"/>
      <c r="J36" s="317"/>
    </row>
    <row r="37" spans="1:10" s="77" customFormat="1" ht="15" customHeight="1" x14ac:dyDescent="0.2">
      <c r="A37" s="314"/>
      <c r="B37" s="314"/>
      <c r="C37" s="314"/>
      <c r="D37" s="314"/>
      <c r="E37" s="315"/>
      <c r="F37" s="315"/>
      <c r="G37" s="315"/>
      <c r="H37" s="316"/>
      <c r="I37" s="317"/>
      <c r="J37" s="317"/>
    </row>
    <row r="38" spans="1:10" s="77" customFormat="1" ht="15" customHeight="1" x14ac:dyDescent="0.2">
      <c r="A38" s="314"/>
      <c r="B38" s="314"/>
      <c r="C38" s="314"/>
      <c r="D38" s="314"/>
      <c r="E38" s="315"/>
      <c r="F38" s="315"/>
      <c r="G38" s="315"/>
      <c r="H38" s="316"/>
      <c r="I38" s="317"/>
      <c r="J38" s="317"/>
    </row>
    <row r="40" spans="1:10" ht="36.75" customHeight="1" x14ac:dyDescent="0.2">
      <c r="A40" s="307" t="s">
        <v>123</v>
      </c>
      <c r="B40" s="308"/>
      <c r="C40" s="308"/>
      <c r="D40" s="308"/>
      <c r="E40" s="308"/>
      <c r="F40" s="308"/>
      <c r="G40" s="308"/>
      <c r="H40" s="308"/>
      <c r="I40" s="308"/>
      <c r="J40" s="309"/>
    </row>
    <row r="41" spans="1:10" ht="15" customHeight="1" x14ac:dyDescent="0.2">
      <c r="A41" s="78"/>
      <c r="B41" s="78"/>
      <c r="C41" s="78"/>
      <c r="D41" s="78"/>
      <c r="E41" s="78"/>
      <c r="F41" s="78"/>
      <c r="G41" s="78"/>
      <c r="H41" s="78"/>
      <c r="I41" s="78"/>
      <c r="J41" s="78"/>
    </row>
    <row r="42" spans="1:10" ht="24" customHeight="1" x14ac:dyDescent="0.2">
      <c r="A42" s="310" t="s">
        <v>124</v>
      </c>
      <c r="B42" s="310"/>
      <c r="C42" s="310"/>
      <c r="D42" s="310"/>
      <c r="E42" s="311"/>
      <c r="F42" s="311"/>
      <c r="G42" s="311"/>
      <c r="H42" s="311"/>
      <c r="I42" s="311"/>
      <c r="J42" s="311"/>
    </row>
    <row r="43" spans="1:10" ht="15" customHeight="1" x14ac:dyDescent="0.2">
      <c r="A43" s="79"/>
      <c r="B43" s="79"/>
      <c r="C43" s="79"/>
      <c r="D43" s="79"/>
      <c r="E43" s="80"/>
      <c r="F43" s="80"/>
      <c r="G43" s="80"/>
      <c r="H43" s="80"/>
      <c r="I43" s="80"/>
      <c r="J43" s="80"/>
    </row>
    <row r="44" spans="1:10" x14ac:dyDescent="0.2">
      <c r="A44" s="81" t="s">
        <v>125</v>
      </c>
      <c r="B44" s="82"/>
      <c r="C44" s="82"/>
      <c r="D44" s="83"/>
      <c r="E44" s="81" t="s">
        <v>126</v>
      </c>
      <c r="F44" s="82"/>
      <c r="G44" s="82"/>
      <c r="H44" s="84" t="s">
        <v>127</v>
      </c>
      <c r="I44" s="81" t="s">
        <v>128</v>
      </c>
      <c r="J44" s="84"/>
    </row>
    <row r="45" spans="1:10" x14ac:dyDescent="0.2">
      <c r="A45" s="312"/>
      <c r="B45" s="313"/>
      <c r="C45" s="85"/>
      <c r="D45" s="86"/>
      <c r="E45" s="87"/>
      <c r="F45" s="88"/>
      <c r="G45" s="88"/>
      <c r="H45" s="86"/>
      <c r="I45" s="87"/>
      <c r="J45" s="86"/>
    </row>
    <row r="47" spans="1:10" ht="27" customHeight="1" x14ac:dyDescent="0.2"/>
    <row r="51" ht="14.25" customHeight="1" x14ac:dyDescent="0.2"/>
    <row r="52" ht="25.5" customHeight="1" x14ac:dyDescent="0.2"/>
  </sheetData>
  <mergeCells count="108">
    <mergeCell ref="A4:C4"/>
    <mergeCell ref="D4:F4"/>
    <mergeCell ref="G4:J4"/>
    <mergeCell ref="A5:C5"/>
    <mergeCell ref="D5:F5"/>
    <mergeCell ref="G5:J5"/>
    <mergeCell ref="A1:J1"/>
    <mergeCell ref="A2:C2"/>
    <mergeCell ref="D2:F2"/>
    <mergeCell ref="G2:J2"/>
    <mergeCell ref="A3:C3"/>
    <mergeCell ref="D3:F3"/>
    <mergeCell ref="G3:J3"/>
    <mergeCell ref="A8:E8"/>
    <mergeCell ref="F8:J8"/>
    <mergeCell ref="A9:E9"/>
    <mergeCell ref="F9:J9"/>
    <mergeCell ref="A10:J10"/>
    <mergeCell ref="A11:D11"/>
    <mergeCell ref="E11:J11"/>
    <mergeCell ref="A6:C6"/>
    <mergeCell ref="D6:F6"/>
    <mergeCell ref="G6:J6"/>
    <mergeCell ref="D7:F7"/>
    <mergeCell ref="G7:H7"/>
    <mergeCell ref="I7:J7"/>
    <mergeCell ref="A14:D14"/>
    <mergeCell ref="E14:G14"/>
    <mergeCell ref="H14:J14"/>
    <mergeCell ref="A15:D15"/>
    <mergeCell ref="E15:G15"/>
    <mergeCell ref="H15:J15"/>
    <mergeCell ref="A12:D12"/>
    <mergeCell ref="E12:G12"/>
    <mergeCell ref="H12:J12"/>
    <mergeCell ref="A13:D13"/>
    <mergeCell ref="E13:G13"/>
    <mergeCell ref="H13:J13"/>
    <mergeCell ref="A18:D18"/>
    <mergeCell ref="E18:G18"/>
    <mergeCell ref="H18:J18"/>
    <mergeCell ref="A19:D19"/>
    <mergeCell ref="E19:G19"/>
    <mergeCell ref="H19:J19"/>
    <mergeCell ref="A16:D16"/>
    <mergeCell ref="E16:G16"/>
    <mergeCell ref="H16:J16"/>
    <mergeCell ref="A17:D17"/>
    <mergeCell ref="E17:G17"/>
    <mergeCell ref="H17:J17"/>
    <mergeCell ref="A22:D22"/>
    <mergeCell ref="E22:G22"/>
    <mergeCell ref="H22:J22"/>
    <mergeCell ref="A23:D23"/>
    <mergeCell ref="E23:G23"/>
    <mergeCell ref="H23:J23"/>
    <mergeCell ref="A20:D20"/>
    <mergeCell ref="E20:G20"/>
    <mergeCell ref="H20:J20"/>
    <mergeCell ref="A21:D21"/>
    <mergeCell ref="E21:G21"/>
    <mergeCell ref="H21:J21"/>
    <mergeCell ref="A26:D26"/>
    <mergeCell ref="E26:G26"/>
    <mergeCell ref="H26:J26"/>
    <mergeCell ref="A27:D27"/>
    <mergeCell ref="E27:G27"/>
    <mergeCell ref="H27:J27"/>
    <mergeCell ref="A24:D24"/>
    <mergeCell ref="E24:G24"/>
    <mergeCell ref="H24:J24"/>
    <mergeCell ref="A25:D25"/>
    <mergeCell ref="E25:G25"/>
    <mergeCell ref="H25:J25"/>
    <mergeCell ref="A30:D30"/>
    <mergeCell ref="E30:G30"/>
    <mergeCell ref="H30:J30"/>
    <mergeCell ref="A31:D31"/>
    <mergeCell ref="E31:G31"/>
    <mergeCell ref="H31:J31"/>
    <mergeCell ref="A28:D28"/>
    <mergeCell ref="E28:G28"/>
    <mergeCell ref="H28:J28"/>
    <mergeCell ref="A29:D29"/>
    <mergeCell ref="E29:G29"/>
    <mergeCell ref="H29:J29"/>
    <mergeCell ref="A35:D35"/>
    <mergeCell ref="E35:G35"/>
    <mergeCell ref="H35:J35"/>
    <mergeCell ref="A36:D36"/>
    <mergeCell ref="E36:G36"/>
    <mergeCell ref="H36:J36"/>
    <mergeCell ref="A32:D32"/>
    <mergeCell ref="E32:G32"/>
    <mergeCell ref="H32:J32"/>
    <mergeCell ref="A33:J33"/>
    <mergeCell ref="A34:D34"/>
    <mergeCell ref="E34:J34"/>
    <mergeCell ref="A40:J40"/>
    <mergeCell ref="A42:D42"/>
    <mergeCell ref="E42:J42"/>
    <mergeCell ref="A45:B45"/>
    <mergeCell ref="A37:D37"/>
    <mergeCell ref="E37:G37"/>
    <mergeCell ref="H37:J37"/>
    <mergeCell ref="A38:D38"/>
    <mergeCell ref="E38:G38"/>
    <mergeCell ref="H38:J38"/>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topLeftCell="A7" zoomScaleNormal="100" workbookViewId="0">
      <selection activeCell="E34" sqref="E34:F34"/>
    </sheetView>
  </sheetViews>
  <sheetFormatPr defaultRowHeight="12.75" x14ac:dyDescent="0.2"/>
  <cols>
    <col min="1" max="1" width="11.140625" style="75" customWidth="1"/>
    <col min="2" max="2" width="8.5703125" style="75" customWidth="1"/>
    <col min="3" max="3" width="7" style="75" customWidth="1"/>
    <col min="4" max="4" width="20.140625" style="113" bestFit="1" customWidth="1"/>
    <col min="5" max="5" width="12.42578125" style="75" customWidth="1"/>
    <col min="6" max="6" width="12.140625" style="75" customWidth="1"/>
    <col min="7" max="7" width="4.5703125" style="75" customWidth="1"/>
    <col min="8" max="8" width="5.85546875" style="75" customWidth="1"/>
    <col min="9" max="9" width="8.28515625" style="75" customWidth="1"/>
    <col min="10" max="255" width="9.140625" style="75"/>
    <col min="256" max="256" width="17.28515625" style="75" bestFit="1" customWidth="1"/>
    <col min="257" max="257" width="20.28515625" style="75" bestFit="1" customWidth="1"/>
    <col min="258" max="258" width="19.85546875" style="75" bestFit="1" customWidth="1"/>
    <col min="259" max="259" width="58" style="75" bestFit="1" customWidth="1"/>
    <col min="260" max="511" width="9.140625" style="75"/>
    <col min="512" max="512" width="17.28515625" style="75" bestFit="1" customWidth="1"/>
    <col min="513" max="513" width="20.28515625" style="75" bestFit="1" customWidth="1"/>
    <col min="514" max="514" width="19.85546875" style="75" bestFit="1" customWidth="1"/>
    <col min="515" max="515" width="58" style="75" bestFit="1" customWidth="1"/>
    <col min="516" max="767" width="9.140625" style="75"/>
    <col min="768" max="768" width="17.28515625" style="75" bestFit="1" customWidth="1"/>
    <col min="769" max="769" width="20.28515625" style="75" bestFit="1" customWidth="1"/>
    <col min="770" max="770" width="19.85546875" style="75" bestFit="1" customWidth="1"/>
    <col min="771" max="771" width="58" style="75" bestFit="1" customWidth="1"/>
    <col min="772" max="1023" width="9.140625" style="75"/>
    <col min="1024" max="1024" width="17.28515625" style="75" bestFit="1" customWidth="1"/>
    <col min="1025" max="1025" width="20.28515625" style="75" bestFit="1" customWidth="1"/>
    <col min="1026" max="1026" width="19.85546875" style="75" bestFit="1" customWidth="1"/>
    <col min="1027" max="1027" width="58" style="75" bestFit="1" customWidth="1"/>
    <col min="1028" max="1279" width="9.140625" style="75"/>
    <col min="1280" max="1280" width="17.28515625" style="75" bestFit="1" customWidth="1"/>
    <col min="1281" max="1281" width="20.28515625" style="75" bestFit="1" customWidth="1"/>
    <col min="1282" max="1282" width="19.85546875" style="75" bestFit="1" customWidth="1"/>
    <col min="1283" max="1283" width="58" style="75" bestFit="1" customWidth="1"/>
    <col min="1284" max="1535" width="9.140625" style="75"/>
    <col min="1536" max="1536" width="17.28515625" style="75" bestFit="1" customWidth="1"/>
    <col min="1537" max="1537" width="20.28515625" style="75" bestFit="1" customWidth="1"/>
    <col min="1538" max="1538" width="19.85546875" style="75" bestFit="1" customWidth="1"/>
    <col min="1539" max="1539" width="58" style="75" bestFit="1" customWidth="1"/>
    <col min="1540" max="1791" width="9.140625" style="75"/>
    <col min="1792" max="1792" width="17.28515625" style="75" bestFit="1" customWidth="1"/>
    <col min="1793" max="1793" width="20.28515625" style="75" bestFit="1" customWidth="1"/>
    <col min="1794" max="1794" width="19.85546875" style="75" bestFit="1" customWidth="1"/>
    <col min="1795" max="1795" width="58" style="75" bestFit="1" customWidth="1"/>
    <col min="1796" max="2047" width="9.140625" style="75"/>
    <col min="2048" max="2048" width="17.28515625" style="75" bestFit="1" customWidth="1"/>
    <col min="2049" max="2049" width="20.28515625" style="75" bestFit="1" customWidth="1"/>
    <col min="2050" max="2050" width="19.85546875" style="75" bestFit="1" customWidth="1"/>
    <col min="2051" max="2051" width="58" style="75" bestFit="1" customWidth="1"/>
    <col min="2052" max="2303" width="9.140625" style="75"/>
    <col min="2304" max="2304" width="17.28515625" style="75" bestFit="1" customWidth="1"/>
    <col min="2305" max="2305" width="20.28515625" style="75" bestFit="1" customWidth="1"/>
    <col min="2306" max="2306" width="19.85546875" style="75" bestFit="1" customWidth="1"/>
    <col min="2307" max="2307" width="58" style="75" bestFit="1" customWidth="1"/>
    <col min="2308" max="2559" width="9.140625" style="75"/>
    <col min="2560" max="2560" width="17.28515625" style="75" bestFit="1" customWidth="1"/>
    <col min="2561" max="2561" width="20.28515625" style="75" bestFit="1" customWidth="1"/>
    <col min="2562" max="2562" width="19.85546875" style="75" bestFit="1" customWidth="1"/>
    <col min="2563" max="2563" width="58" style="75" bestFit="1" customWidth="1"/>
    <col min="2564" max="2815" width="9.140625" style="75"/>
    <col min="2816" max="2816" width="17.28515625" style="75" bestFit="1" customWidth="1"/>
    <col min="2817" max="2817" width="20.28515625" style="75" bestFit="1" customWidth="1"/>
    <col min="2818" max="2818" width="19.85546875" style="75" bestFit="1" customWidth="1"/>
    <col min="2819" max="2819" width="58" style="75" bestFit="1" customWidth="1"/>
    <col min="2820" max="3071" width="9.140625" style="75"/>
    <col min="3072" max="3072" width="17.28515625" style="75" bestFit="1" customWidth="1"/>
    <col min="3073" max="3073" width="20.28515625" style="75" bestFit="1" customWidth="1"/>
    <col min="3074" max="3074" width="19.85546875" style="75" bestFit="1" customWidth="1"/>
    <col min="3075" max="3075" width="58" style="75" bestFit="1" customWidth="1"/>
    <col min="3076" max="3327" width="9.140625" style="75"/>
    <col min="3328" max="3328" width="17.28515625" style="75" bestFit="1" customWidth="1"/>
    <col min="3329" max="3329" width="20.28515625" style="75" bestFit="1" customWidth="1"/>
    <col min="3330" max="3330" width="19.85546875" style="75" bestFit="1" customWidth="1"/>
    <col min="3331" max="3331" width="58" style="75" bestFit="1" customWidth="1"/>
    <col min="3332" max="3583" width="9.140625" style="75"/>
    <col min="3584" max="3584" width="17.28515625" style="75" bestFit="1" customWidth="1"/>
    <col min="3585" max="3585" width="20.28515625" style="75" bestFit="1" customWidth="1"/>
    <col min="3586" max="3586" width="19.85546875" style="75" bestFit="1" customWidth="1"/>
    <col min="3587" max="3587" width="58" style="75" bestFit="1" customWidth="1"/>
    <col min="3588" max="3839" width="9.140625" style="75"/>
    <col min="3840" max="3840" width="17.28515625" style="75" bestFit="1" customWidth="1"/>
    <col min="3841" max="3841" width="20.28515625" style="75" bestFit="1" customWidth="1"/>
    <col min="3842" max="3842" width="19.85546875" style="75" bestFit="1" customWidth="1"/>
    <col min="3843" max="3843" width="58" style="75" bestFit="1" customWidth="1"/>
    <col min="3844" max="4095" width="9.140625" style="75"/>
    <col min="4096" max="4096" width="17.28515625" style="75" bestFit="1" customWidth="1"/>
    <col min="4097" max="4097" width="20.28515625" style="75" bestFit="1" customWidth="1"/>
    <col min="4098" max="4098" width="19.85546875" style="75" bestFit="1" customWidth="1"/>
    <col min="4099" max="4099" width="58" style="75" bestFit="1" customWidth="1"/>
    <col min="4100" max="4351" width="9.140625" style="75"/>
    <col min="4352" max="4352" width="17.28515625" style="75" bestFit="1" customWidth="1"/>
    <col min="4353" max="4353" width="20.28515625" style="75" bestFit="1" customWidth="1"/>
    <col min="4354" max="4354" width="19.85546875" style="75" bestFit="1" customWidth="1"/>
    <col min="4355" max="4355" width="58" style="75" bestFit="1" customWidth="1"/>
    <col min="4356" max="4607" width="9.140625" style="75"/>
    <col min="4608" max="4608" width="17.28515625" style="75" bestFit="1" customWidth="1"/>
    <col min="4609" max="4609" width="20.28515625" style="75" bestFit="1" customWidth="1"/>
    <col min="4610" max="4610" width="19.85546875" style="75" bestFit="1" customWidth="1"/>
    <col min="4611" max="4611" width="58" style="75" bestFit="1" customWidth="1"/>
    <col min="4612" max="4863" width="9.140625" style="75"/>
    <col min="4864" max="4864" width="17.28515625" style="75" bestFit="1" customWidth="1"/>
    <col min="4865" max="4865" width="20.28515625" style="75" bestFit="1" customWidth="1"/>
    <col min="4866" max="4866" width="19.85546875" style="75" bestFit="1" customWidth="1"/>
    <col min="4867" max="4867" width="58" style="75" bestFit="1" customWidth="1"/>
    <col min="4868" max="5119" width="9.140625" style="75"/>
    <col min="5120" max="5120" width="17.28515625" style="75" bestFit="1" customWidth="1"/>
    <col min="5121" max="5121" width="20.28515625" style="75" bestFit="1" customWidth="1"/>
    <col min="5122" max="5122" width="19.85546875" style="75" bestFit="1" customWidth="1"/>
    <col min="5123" max="5123" width="58" style="75" bestFit="1" customWidth="1"/>
    <col min="5124" max="5375" width="9.140625" style="75"/>
    <col min="5376" max="5376" width="17.28515625" style="75" bestFit="1" customWidth="1"/>
    <col min="5377" max="5377" width="20.28515625" style="75" bestFit="1" customWidth="1"/>
    <col min="5378" max="5378" width="19.85546875" style="75" bestFit="1" customWidth="1"/>
    <col min="5379" max="5379" width="58" style="75" bestFit="1" customWidth="1"/>
    <col min="5380" max="5631" width="9.140625" style="75"/>
    <col min="5632" max="5632" width="17.28515625" style="75" bestFit="1" customWidth="1"/>
    <col min="5633" max="5633" width="20.28515625" style="75" bestFit="1" customWidth="1"/>
    <col min="5634" max="5634" width="19.85546875" style="75" bestFit="1" customWidth="1"/>
    <col min="5635" max="5635" width="58" style="75" bestFit="1" customWidth="1"/>
    <col min="5636" max="5887" width="9.140625" style="75"/>
    <col min="5888" max="5888" width="17.28515625" style="75" bestFit="1" customWidth="1"/>
    <col min="5889" max="5889" width="20.28515625" style="75" bestFit="1" customWidth="1"/>
    <col min="5890" max="5890" width="19.85546875" style="75" bestFit="1" customWidth="1"/>
    <col min="5891" max="5891" width="58" style="75" bestFit="1" customWidth="1"/>
    <col min="5892" max="6143" width="9.140625" style="75"/>
    <col min="6144" max="6144" width="17.28515625" style="75" bestFit="1" customWidth="1"/>
    <col min="6145" max="6145" width="20.28515625" style="75" bestFit="1" customWidth="1"/>
    <col min="6146" max="6146" width="19.85546875" style="75" bestFit="1" customWidth="1"/>
    <col min="6147" max="6147" width="58" style="75" bestFit="1" customWidth="1"/>
    <col min="6148" max="6399" width="9.140625" style="75"/>
    <col min="6400" max="6400" width="17.28515625" style="75" bestFit="1" customWidth="1"/>
    <col min="6401" max="6401" width="20.28515625" style="75" bestFit="1" customWidth="1"/>
    <col min="6402" max="6402" width="19.85546875" style="75" bestFit="1" customWidth="1"/>
    <col min="6403" max="6403" width="58" style="75" bestFit="1" customWidth="1"/>
    <col min="6404" max="6655" width="9.140625" style="75"/>
    <col min="6656" max="6656" width="17.28515625" style="75" bestFit="1" customWidth="1"/>
    <col min="6657" max="6657" width="20.28515625" style="75" bestFit="1" customWidth="1"/>
    <col min="6658" max="6658" width="19.85546875" style="75" bestFit="1" customWidth="1"/>
    <col min="6659" max="6659" width="58" style="75" bestFit="1" customWidth="1"/>
    <col min="6660" max="6911" width="9.140625" style="75"/>
    <col min="6912" max="6912" width="17.28515625" style="75" bestFit="1" customWidth="1"/>
    <col min="6913" max="6913" width="20.28515625" style="75" bestFit="1" customWidth="1"/>
    <col min="6914" max="6914" width="19.85546875" style="75" bestFit="1" customWidth="1"/>
    <col min="6915" max="6915" width="58" style="75" bestFit="1" customWidth="1"/>
    <col min="6916" max="7167" width="9.140625" style="75"/>
    <col min="7168" max="7168" width="17.28515625" style="75" bestFit="1" customWidth="1"/>
    <col min="7169" max="7169" width="20.28515625" style="75" bestFit="1" customWidth="1"/>
    <col min="7170" max="7170" width="19.85546875" style="75" bestFit="1" customWidth="1"/>
    <col min="7171" max="7171" width="58" style="75" bestFit="1" customWidth="1"/>
    <col min="7172" max="7423" width="9.140625" style="75"/>
    <col min="7424" max="7424" width="17.28515625" style="75" bestFit="1" customWidth="1"/>
    <col min="7425" max="7425" width="20.28515625" style="75" bestFit="1" customWidth="1"/>
    <col min="7426" max="7426" width="19.85546875" style="75" bestFit="1" customWidth="1"/>
    <col min="7427" max="7427" width="58" style="75" bestFit="1" customWidth="1"/>
    <col min="7428" max="7679" width="9.140625" style="75"/>
    <col min="7680" max="7680" width="17.28515625" style="75" bestFit="1" customWidth="1"/>
    <col min="7681" max="7681" width="20.28515625" style="75" bestFit="1" customWidth="1"/>
    <col min="7682" max="7682" width="19.85546875" style="75" bestFit="1" customWidth="1"/>
    <col min="7683" max="7683" width="58" style="75" bestFit="1" customWidth="1"/>
    <col min="7684" max="7935" width="9.140625" style="75"/>
    <col min="7936" max="7936" width="17.28515625" style="75" bestFit="1" customWidth="1"/>
    <col min="7937" max="7937" width="20.28515625" style="75" bestFit="1" customWidth="1"/>
    <col min="7938" max="7938" width="19.85546875" style="75" bestFit="1" customWidth="1"/>
    <col min="7939" max="7939" width="58" style="75" bestFit="1" customWidth="1"/>
    <col min="7940" max="8191" width="9.140625" style="75"/>
    <col min="8192" max="8192" width="17.28515625" style="75" bestFit="1" customWidth="1"/>
    <col min="8193" max="8193" width="20.28515625" style="75" bestFit="1" customWidth="1"/>
    <col min="8194" max="8194" width="19.85546875" style="75" bestFit="1" customWidth="1"/>
    <col min="8195" max="8195" width="58" style="75" bestFit="1" customWidth="1"/>
    <col min="8196" max="8447" width="9.140625" style="75"/>
    <col min="8448" max="8448" width="17.28515625" style="75" bestFit="1" customWidth="1"/>
    <col min="8449" max="8449" width="20.28515625" style="75" bestFit="1" customWidth="1"/>
    <col min="8450" max="8450" width="19.85546875" style="75" bestFit="1" customWidth="1"/>
    <col min="8451" max="8451" width="58" style="75" bestFit="1" customWidth="1"/>
    <col min="8452" max="8703" width="9.140625" style="75"/>
    <col min="8704" max="8704" width="17.28515625" style="75" bestFit="1" customWidth="1"/>
    <col min="8705" max="8705" width="20.28515625" style="75" bestFit="1" customWidth="1"/>
    <col min="8706" max="8706" width="19.85546875" style="75" bestFit="1" customWidth="1"/>
    <col min="8707" max="8707" width="58" style="75" bestFit="1" customWidth="1"/>
    <col min="8708" max="8959" width="9.140625" style="75"/>
    <col min="8960" max="8960" width="17.28515625" style="75" bestFit="1" customWidth="1"/>
    <col min="8961" max="8961" width="20.28515625" style="75" bestFit="1" customWidth="1"/>
    <col min="8962" max="8962" width="19.85546875" style="75" bestFit="1" customWidth="1"/>
    <col min="8963" max="8963" width="58" style="75" bestFit="1" customWidth="1"/>
    <col min="8964" max="9215" width="9.140625" style="75"/>
    <col min="9216" max="9216" width="17.28515625" style="75" bestFit="1" customWidth="1"/>
    <col min="9217" max="9217" width="20.28515625" style="75" bestFit="1" customWidth="1"/>
    <col min="9218" max="9218" width="19.85546875" style="75" bestFit="1" customWidth="1"/>
    <col min="9219" max="9219" width="58" style="75" bestFit="1" customWidth="1"/>
    <col min="9220" max="9471" width="9.140625" style="75"/>
    <col min="9472" max="9472" width="17.28515625" style="75" bestFit="1" customWidth="1"/>
    <col min="9473" max="9473" width="20.28515625" style="75" bestFit="1" customWidth="1"/>
    <col min="9474" max="9474" width="19.85546875" style="75" bestFit="1" customWidth="1"/>
    <col min="9475" max="9475" width="58" style="75" bestFit="1" customWidth="1"/>
    <col min="9476" max="9727" width="9.140625" style="75"/>
    <col min="9728" max="9728" width="17.28515625" style="75" bestFit="1" customWidth="1"/>
    <col min="9729" max="9729" width="20.28515625" style="75" bestFit="1" customWidth="1"/>
    <col min="9730" max="9730" width="19.85546875" style="75" bestFit="1" customWidth="1"/>
    <col min="9731" max="9731" width="58" style="75" bestFit="1" customWidth="1"/>
    <col min="9732" max="9983" width="9.140625" style="75"/>
    <col min="9984" max="9984" width="17.28515625" style="75" bestFit="1" customWidth="1"/>
    <col min="9985" max="9985" width="20.28515625" style="75" bestFit="1" customWidth="1"/>
    <col min="9986" max="9986" width="19.85546875" style="75" bestFit="1" customWidth="1"/>
    <col min="9987" max="9987" width="58" style="75" bestFit="1" customWidth="1"/>
    <col min="9988" max="10239" width="9.140625" style="75"/>
    <col min="10240" max="10240" width="17.28515625" style="75" bestFit="1" customWidth="1"/>
    <col min="10241" max="10241" width="20.28515625" style="75" bestFit="1" customWidth="1"/>
    <col min="10242" max="10242" width="19.85546875" style="75" bestFit="1" customWidth="1"/>
    <col min="10243" max="10243" width="58" style="75" bestFit="1" customWidth="1"/>
    <col min="10244" max="10495" width="9.140625" style="75"/>
    <col min="10496" max="10496" width="17.28515625" style="75" bestFit="1" customWidth="1"/>
    <col min="10497" max="10497" width="20.28515625" style="75" bestFit="1" customWidth="1"/>
    <col min="10498" max="10498" width="19.85546875" style="75" bestFit="1" customWidth="1"/>
    <col min="10499" max="10499" width="58" style="75" bestFit="1" customWidth="1"/>
    <col min="10500" max="10751" width="9.140625" style="75"/>
    <col min="10752" max="10752" width="17.28515625" style="75" bestFit="1" customWidth="1"/>
    <col min="10753" max="10753" width="20.28515625" style="75" bestFit="1" customWidth="1"/>
    <col min="10754" max="10754" width="19.85546875" style="75" bestFit="1" customWidth="1"/>
    <col min="10755" max="10755" width="58" style="75" bestFit="1" customWidth="1"/>
    <col min="10756" max="11007" width="9.140625" style="75"/>
    <col min="11008" max="11008" width="17.28515625" style="75" bestFit="1" customWidth="1"/>
    <col min="11009" max="11009" width="20.28515625" style="75" bestFit="1" customWidth="1"/>
    <col min="11010" max="11010" width="19.85546875" style="75" bestFit="1" customWidth="1"/>
    <col min="11011" max="11011" width="58" style="75" bestFit="1" customWidth="1"/>
    <col min="11012" max="11263" width="9.140625" style="75"/>
    <col min="11264" max="11264" width="17.28515625" style="75" bestFit="1" customWidth="1"/>
    <col min="11265" max="11265" width="20.28515625" style="75" bestFit="1" customWidth="1"/>
    <col min="11266" max="11266" width="19.85546875" style="75" bestFit="1" customWidth="1"/>
    <col min="11267" max="11267" width="58" style="75" bestFit="1" customWidth="1"/>
    <col min="11268" max="11519" width="9.140625" style="75"/>
    <col min="11520" max="11520" width="17.28515625" style="75" bestFit="1" customWidth="1"/>
    <col min="11521" max="11521" width="20.28515625" style="75" bestFit="1" customWidth="1"/>
    <col min="11522" max="11522" width="19.85546875" style="75" bestFit="1" customWidth="1"/>
    <col min="11523" max="11523" width="58" style="75" bestFit="1" customWidth="1"/>
    <col min="11524" max="11775" width="9.140625" style="75"/>
    <col min="11776" max="11776" width="17.28515625" style="75" bestFit="1" customWidth="1"/>
    <col min="11777" max="11777" width="20.28515625" style="75" bestFit="1" customWidth="1"/>
    <col min="11778" max="11778" width="19.85546875" style="75" bestFit="1" customWidth="1"/>
    <col min="11779" max="11779" width="58" style="75" bestFit="1" customWidth="1"/>
    <col min="11780" max="12031" width="9.140625" style="75"/>
    <col min="12032" max="12032" width="17.28515625" style="75" bestFit="1" customWidth="1"/>
    <col min="12033" max="12033" width="20.28515625" style="75" bestFit="1" customWidth="1"/>
    <col min="12034" max="12034" width="19.85546875" style="75" bestFit="1" customWidth="1"/>
    <col min="12035" max="12035" width="58" style="75" bestFit="1" customWidth="1"/>
    <col min="12036" max="12287" width="9.140625" style="75"/>
    <col min="12288" max="12288" width="17.28515625" style="75" bestFit="1" customWidth="1"/>
    <col min="12289" max="12289" width="20.28515625" style="75" bestFit="1" customWidth="1"/>
    <col min="12290" max="12290" width="19.85546875" style="75" bestFit="1" customWidth="1"/>
    <col min="12291" max="12291" width="58" style="75" bestFit="1" customWidth="1"/>
    <col min="12292" max="12543" width="9.140625" style="75"/>
    <col min="12544" max="12544" width="17.28515625" style="75" bestFit="1" customWidth="1"/>
    <col min="12545" max="12545" width="20.28515625" style="75" bestFit="1" customWidth="1"/>
    <col min="12546" max="12546" width="19.85546875" style="75" bestFit="1" customWidth="1"/>
    <col min="12547" max="12547" width="58" style="75" bestFit="1" customWidth="1"/>
    <col min="12548" max="12799" width="9.140625" style="75"/>
    <col min="12800" max="12800" width="17.28515625" style="75" bestFit="1" customWidth="1"/>
    <col min="12801" max="12801" width="20.28515625" style="75" bestFit="1" customWidth="1"/>
    <col min="12802" max="12802" width="19.85546875" style="75" bestFit="1" customWidth="1"/>
    <col min="12803" max="12803" width="58" style="75" bestFit="1" customWidth="1"/>
    <col min="12804" max="13055" width="9.140625" style="75"/>
    <col min="13056" max="13056" width="17.28515625" style="75" bestFit="1" customWidth="1"/>
    <col min="13057" max="13057" width="20.28515625" style="75" bestFit="1" customWidth="1"/>
    <col min="13058" max="13058" width="19.85546875" style="75" bestFit="1" customWidth="1"/>
    <col min="13059" max="13059" width="58" style="75" bestFit="1" customWidth="1"/>
    <col min="13060" max="13311" width="9.140625" style="75"/>
    <col min="13312" max="13312" width="17.28515625" style="75" bestFit="1" customWidth="1"/>
    <col min="13313" max="13313" width="20.28515625" style="75" bestFit="1" customWidth="1"/>
    <col min="13314" max="13314" width="19.85546875" style="75" bestFit="1" customWidth="1"/>
    <col min="13315" max="13315" width="58" style="75" bestFit="1" customWidth="1"/>
    <col min="13316" max="13567" width="9.140625" style="75"/>
    <col min="13568" max="13568" width="17.28515625" style="75" bestFit="1" customWidth="1"/>
    <col min="13569" max="13569" width="20.28515625" style="75" bestFit="1" customWidth="1"/>
    <col min="13570" max="13570" width="19.85546875" style="75" bestFit="1" customWidth="1"/>
    <col min="13571" max="13571" width="58" style="75" bestFit="1" customWidth="1"/>
    <col min="13572" max="13823" width="9.140625" style="75"/>
    <col min="13824" max="13824" width="17.28515625" style="75" bestFit="1" customWidth="1"/>
    <col min="13825" max="13825" width="20.28515625" style="75" bestFit="1" customWidth="1"/>
    <col min="13826" max="13826" width="19.85546875" style="75" bestFit="1" customWidth="1"/>
    <col min="13827" max="13827" width="58" style="75" bestFit="1" customWidth="1"/>
    <col min="13828" max="14079" width="9.140625" style="75"/>
    <col min="14080" max="14080" width="17.28515625" style="75" bestFit="1" customWidth="1"/>
    <col min="14081" max="14081" width="20.28515625" style="75" bestFit="1" customWidth="1"/>
    <col min="14082" max="14082" width="19.85546875" style="75" bestFit="1" customWidth="1"/>
    <col min="14083" max="14083" width="58" style="75" bestFit="1" customWidth="1"/>
    <col min="14084" max="14335" width="9.140625" style="75"/>
    <col min="14336" max="14336" width="17.28515625" style="75" bestFit="1" customWidth="1"/>
    <col min="14337" max="14337" width="20.28515625" style="75" bestFit="1" customWidth="1"/>
    <col min="14338" max="14338" width="19.85546875" style="75" bestFit="1" customWidth="1"/>
    <col min="14339" max="14339" width="58" style="75" bestFit="1" customWidth="1"/>
    <col min="14340" max="14591" width="9.140625" style="75"/>
    <col min="14592" max="14592" width="17.28515625" style="75" bestFit="1" customWidth="1"/>
    <col min="14593" max="14593" width="20.28515625" style="75" bestFit="1" customWidth="1"/>
    <col min="14594" max="14594" width="19.85546875" style="75" bestFit="1" customWidth="1"/>
    <col min="14595" max="14595" width="58" style="75" bestFit="1" customWidth="1"/>
    <col min="14596" max="14847" width="9.140625" style="75"/>
    <col min="14848" max="14848" width="17.28515625" style="75" bestFit="1" customWidth="1"/>
    <col min="14849" max="14849" width="20.28515625" style="75" bestFit="1" customWidth="1"/>
    <col min="14850" max="14850" width="19.85546875" style="75" bestFit="1" customWidth="1"/>
    <col min="14851" max="14851" width="58" style="75" bestFit="1" customWidth="1"/>
    <col min="14852" max="15103" width="9.140625" style="75"/>
    <col min="15104" max="15104" width="17.28515625" style="75" bestFit="1" customWidth="1"/>
    <col min="15105" max="15105" width="20.28515625" style="75" bestFit="1" customWidth="1"/>
    <col min="15106" max="15106" width="19.85546875" style="75" bestFit="1" customWidth="1"/>
    <col min="15107" max="15107" width="58" style="75" bestFit="1" customWidth="1"/>
    <col min="15108" max="15359" width="9.140625" style="75"/>
    <col min="15360" max="15360" width="17.28515625" style="75" bestFit="1" customWidth="1"/>
    <col min="15361" max="15361" width="20.28515625" style="75" bestFit="1" customWidth="1"/>
    <col min="15362" max="15362" width="19.85546875" style="75" bestFit="1" customWidth="1"/>
    <col min="15363" max="15363" width="58" style="75" bestFit="1" customWidth="1"/>
    <col min="15364" max="15615" width="9.140625" style="75"/>
    <col min="15616" max="15616" width="17.28515625" style="75" bestFit="1" customWidth="1"/>
    <col min="15617" max="15617" width="20.28515625" style="75" bestFit="1" customWidth="1"/>
    <col min="15618" max="15618" width="19.85546875" style="75" bestFit="1" customWidth="1"/>
    <col min="15619" max="15619" width="58" style="75" bestFit="1" customWidth="1"/>
    <col min="15620" max="15871" width="9.140625" style="75"/>
    <col min="15872" max="15872" width="17.28515625" style="75" bestFit="1" customWidth="1"/>
    <col min="15873" max="15873" width="20.28515625" style="75" bestFit="1" customWidth="1"/>
    <col min="15874" max="15874" width="19.85546875" style="75" bestFit="1" customWidth="1"/>
    <col min="15875" max="15875" width="58" style="75" bestFit="1" customWidth="1"/>
    <col min="15876" max="16127" width="9.140625" style="75"/>
    <col min="16128" max="16128" width="17.28515625" style="75" bestFit="1" customWidth="1"/>
    <col min="16129" max="16129" width="20.28515625" style="75" bestFit="1" customWidth="1"/>
    <col min="16130" max="16130" width="19.85546875" style="75" bestFit="1" customWidth="1"/>
    <col min="16131" max="16131" width="58" style="75" bestFit="1" customWidth="1"/>
    <col min="16132" max="16384" width="9.140625" style="75"/>
  </cols>
  <sheetData>
    <row r="1" spans="1:9" x14ac:dyDescent="0.2">
      <c r="A1" s="328" t="s">
        <v>78</v>
      </c>
      <c r="B1" s="328"/>
      <c r="C1" s="328"/>
      <c r="D1" s="328" t="s">
        <v>79</v>
      </c>
      <c r="E1" s="328"/>
      <c r="F1" s="328" t="s">
        <v>80</v>
      </c>
      <c r="G1" s="328"/>
      <c r="H1" s="328"/>
      <c r="I1" s="328"/>
    </row>
    <row r="2" spans="1:9" x14ac:dyDescent="0.2">
      <c r="A2" s="332" t="str">
        <f>CustomerName</f>
        <v>OurNameTest</v>
      </c>
      <c r="B2" s="332"/>
      <c r="C2" s="332"/>
      <c r="D2" s="332">
        <f>PurchaseOrderNumber</f>
        <v>450125487</v>
      </c>
      <c r="E2" s="332"/>
      <c r="F2" s="332"/>
      <c r="G2" s="332"/>
      <c r="H2" s="332"/>
      <c r="I2" s="332"/>
    </row>
    <row r="3" spans="1:9" x14ac:dyDescent="0.2">
      <c r="A3" s="328" t="s">
        <v>81</v>
      </c>
      <c r="B3" s="328"/>
      <c r="C3" s="328"/>
      <c r="D3" s="328" t="s">
        <v>82</v>
      </c>
      <c r="E3" s="328"/>
      <c r="F3" s="328" t="s">
        <v>83</v>
      </c>
      <c r="G3" s="328"/>
      <c r="H3" s="328"/>
      <c r="I3" s="328"/>
    </row>
    <row r="4" spans="1:9" x14ac:dyDescent="0.2">
      <c r="A4" s="332">
        <f>SalesOrderNumber</f>
        <v>1002</v>
      </c>
      <c r="B4" s="332"/>
      <c r="C4" s="332"/>
      <c r="D4" s="332" t="s">
        <v>921</v>
      </c>
      <c r="E4" s="332"/>
      <c r="F4" s="332"/>
      <c r="G4" s="332"/>
      <c r="H4" s="332"/>
      <c r="I4" s="332"/>
    </row>
    <row r="5" spans="1:9" x14ac:dyDescent="0.2">
      <c r="A5" s="328" t="s">
        <v>84</v>
      </c>
      <c r="B5" s="328"/>
      <c r="C5" s="328"/>
      <c r="D5" s="328" t="s">
        <v>85</v>
      </c>
      <c r="E5" s="328"/>
      <c r="F5" s="328" t="s">
        <v>86</v>
      </c>
      <c r="G5" s="328"/>
      <c r="H5" s="328"/>
      <c r="I5" s="328"/>
    </row>
    <row r="6" spans="1:9" x14ac:dyDescent="0.2">
      <c r="A6" s="76" t="s">
        <v>87</v>
      </c>
      <c r="B6" s="76"/>
      <c r="C6" s="76" t="s">
        <v>88</v>
      </c>
      <c r="D6" s="334" t="s">
        <v>89</v>
      </c>
      <c r="E6" s="334"/>
      <c r="F6" s="334">
        <v>10000</v>
      </c>
      <c r="G6" s="334"/>
      <c r="H6" s="334" t="s">
        <v>384</v>
      </c>
      <c r="I6" s="334"/>
    </row>
    <row r="7" spans="1:9" x14ac:dyDescent="0.2">
      <c r="A7" s="328" t="s">
        <v>91</v>
      </c>
      <c r="B7" s="328"/>
      <c r="C7" s="328"/>
      <c r="D7" s="328"/>
      <c r="E7" s="328" t="s">
        <v>92</v>
      </c>
      <c r="F7" s="328"/>
      <c r="G7" s="328"/>
      <c r="H7" s="328"/>
      <c r="I7" s="328"/>
    </row>
    <row r="8" spans="1:9" s="89" customFormat="1" ht="28.5" customHeight="1" x14ac:dyDescent="0.2">
      <c r="A8" s="347" t="s">
        <v>1020</v>
      </c>
      <c r="B8" s="347"/>
      <c r="C8" s="347"/>
      <c r="D8" s="347"/>
      <c r="E8" s="348"/>
      <c r="F8" s="348"/>
      <c r="G8" s="348"/>
      <c r="H8" s="348"/>
      <c r="I8" s="348"/>
    </row>
    <row r="9" spans="1:9" ht="15.75" x14ac:dyDescent="0.2">
      <c r="A9" s="349" t="s">
        <v>129</v>
      </c>
      <c r="B9" s="325"/>
      <c r="C9" s="325"/>
      <c r="D9" s="325"/>
      <c r="E9" s="325"/>
      <c r="F9" s="325"/>
      <c r="G9" s="325"/>
      <c r="H9" s="325"/>
      <c r="I9" s="350"/>
    </row>
    <row r="10" spans="1:9" x14ac:dyDescent="0.2">
      <c r="A10" s="344" t="s">
        <v>130</v>
      </c>
      <c r="B10" s="345"/>
      <c r="C10" s="345"/>
      <c r="D10" s="345"/>
      <c r="E10" s="345"/>
      <c r="F10" s="345"/>
      <c r="G10" s="345"/>
      <c r="H10" s="345"/>
      <c r="I10" s="346"/>
    </row>
    <row r="11" spans="1:9" x14ac:dyDescent="0.2">
      <c r="A11" s="342" t="s">
        <v>131</v>
      </c>
      <c r="B11" s="343"/>
      <c r="C11" s="343"/>
      <c r="D11" s="77"/>
      <c r="E11" s="90"/>
      <c r="F11" s="77"/>
      <c r="G11" s="77"/>
      <c r="H11" s="77"/>
      <c r="I11" s="91"/>
    </row>
    <row r="12" spans="1:9" x14ac:dyDescent="0.2">
      <c r="A12" s="92"/>
      <c r="B12" s="77"/>
      <c r="C12" s="77"/>
      <c r="D12" s="93" t="s">
        <v>132</v>
      </c>
      <c r="E12" s="336"/>
      <c r="F12" s="336"/>
      <c r="G12" s="337"/>
      <c r="H12" s="337"/>
      <c r="I12" s="91"/>
    </row>
    <row r="13" spans="1:9" s="98" customFormat="1" x14ac:dyDescent="0.2">
      <c r="A13" s="94"/>
      <c r="B13" s="95"/>
      <c r="C13" s="95"/>
      <c r="D13" s="96" t="s">
        <v>133</v>
      </c>
      <c r="E13" s="336" t="s">
        <v>134</v>
      </c>
      <c r="F13" s="336"/>
      <c r="G13" s="337"/>
      <c r="H13" s="337"/>
      <c r="I13" s="97"/>
    </row>
    <row r="14" spans="1:9" s="98" customFormat="1" x14ac:dyDescent="0.2">
      <c r="A14" s="94"/>
      <c r="B14" s="95"/>
      <c r="C14" s="95"/>
      <c r="D14" s="96" t="s">
        <v>135</v>
      </c>
      <c r="E14" s="336" t="s">
        <v>134</v>
      </c>
      <c r="F14" s="336"/>
      <c r="G14" s="337"/>
      <c r="H14" s="337"/>
      <c r="I14" s="97"/>
    </row>
    <row r="15" spans="1:9" x14ac:dyDescent="0.2">
      <c r="A15" s="92"/>
      <c r="B15" s="77"/>
      <c r="C15" s="77"/>
      <c r="D15" s="93" t="s">
        <v>136</v>
      </c>
      <c r="E15" s="336" t="s">
        <v>134</v>
      </c>
      <c r="F15" s="336"/>
      <c r="G15" s="337"/>
      <c r="H15" s="337"/>
      <c r="I15" s="91"/>
    </row>
    <row r="16" spans="1:9" x14ac:dyDescent="0.2">
      <c r="A16" s="344" t="s">
        <v>137</v>
      </c>
      <c r="B16" s="345"/>
      <c r="C16" s="345"/>
      <c r="D16" s="345"/>
      <c r="E16" s="345"/>
      <c r="F16" s="345"/>
      <c r="G16" s="345"/>
      <c r="H16" s="345"/>
      <c r="I16" s="346"/>
    </row>
    <row r="17" spans="1:9" ht="15" customHeight="1" x14ac:dyDescent="0.2">
      <c r="A17" s="342" t="s">
        <v>138</v>
      </c>
      <c r="B17" s="343"/>
      <c r="C17" s="343"/>
      <c r="D17" s="99"/>
      <c r="E17" s="100"/>
      <c r="F17" s="77"/>
      <c r="G17" s="77"/>
      <c r="H17" s="77"/>
      <c r="I17" s="91"/>
    </row>
    <row r="18" spans="1:9" x14ac:dyDescent="0.2">
      <c r="A18" s="92"/>
      <c r="B18" s="77"/>
      <c r="C18" s="77"/>
      <c r="D18" s="93" t="s">
        <v>139</v>
      </c>
      <c r="E18" s="336" t="s">
        <v>88</v>
      </c>
      <c r="F18" s="336"/>
      <c r="G18" s="337"/>
      <c r="H18" s="337"/>
      <c r="I18" s="91"/>
    </row>
    <row r="19" spans="1:9" x14ac:dyDescent="0.2">
      <c r="A19" s="92"/>
      <c r="B19" s="77"/>
      <c r="C19" s="77"/>
      <c r="D19" s="93" t="s">
        <v>140</v>
      </c>
      <c r="E19" s="336" t="s">
        <v>306</v>
      </c>
      <c r="F19" s="336"/>
      <c r="G19" s="337"/>
      <c r="H19" s="337"/>
      <c r="I19" s="91"/>
    </row>
    <row r="20" spans="1:9" x14ac:dyDescent="0.2">
      <c r="A20" s="92"/>
      <c r="B20" s="77"/>
      <c r="C20" s="77"/>
      <c r="D20" s="93" t="s">
        <v>142</v>
      </c>
      <c r="E20" s="336" t="s">
        <v>384</v>
      </c>
      <c r="F20" s="336"/>
      <c r="G20" s="337"/>
      <c r="H20" s="337"/>
      <c r="I20" s="91"/>
    </row>
    <row r="21" spans="1:9" x14ac:dyDescent="0.2">
      <c r="A21" s="92"/>
      <c r="B21" s="77"/>
      <c r="C21" s="77"/>
      <c r="D21" s="93" t="s">
        <v>143</v>
      </c>
      <c r="E21" s="336" t="s">
        <v>1017</v>
      </c>
      <c r="F21" s="336"/>
      <c r="G21" s="337"/>
      <c r="H21" s="337"/>
      <c r="I21" s="91"/>
    </row>
    <row r="22" spans="1:9" x14ac:dyDescent="0.2">
      <c r="A22" s="92"/>
      <c r="B22" s="77"/>
      <c r="C22" s="77"/>
      <c r="D22" s="93" t="s">
        <v>144</v>
      </c>
      <c r="E22" s="336" t="s">
        <v>145</v>
      </c>
      <c r="F22" s="336"/>
      <c r="G22" s="337"/>
      <c r="H22" s="337"/>
      <c r="I22" s="91"/>
    </row>
    <row r="23" spans="1:9" x14ac:dyDescent="0.2">
      <c r="A23" s="92"/>
      <c r="B23" s="77"/>
      <c r="C23" s="77"/>
      <c r="D23" s="93" t="s">
        <v>9</v>
      </c>
      <c r="E23" s="336" t="s">
        <v>146</v>
      </c>
      <c r="F23" s="336"/>
      <c r="G23" s="337"/>
      <c r="H23" s="337"/>
      <c r="I23" s="91"/>
    </row>
    <row r="24" spans="1:9" x14ac:dyDescent="0.2">
      <c r="A24" s="92"/>
      <c r="B24" s="77"/>
      <c r="C24" s="77"/>
      <c r="D24" s="93" t="s">
        <v>147</v>
      </c>
      <c r="E24" s="336" t="s">
        <v>148</v>
      </c>
      <c r="F24" s="336"/>
      <c r="G24" s="337"/>
      <c r="H24" s="337"/>
      <c r="I24" s="91"/>
    </row>
    <row r="25" spans="1:9" x14ac:dyDescent="0.2">
      <c r="A25" s="92"/>
      <c r="B25" s="77"/>
      <c r="C25" s="77"/>
      <c r="D25" s="93" t="s">
        <v>149</v>
      </c>
      <c r="E25" s="336" t="s">
        <v>150</v>
      </c>
      <c r="F25" s="336"/>
      <c r="G25" s="337"/>
      <c r="H25" s="337"/>
      <c r="I25" s="91"/>
    </row>
    <row r="26" spans="1:9" x14ac:dyDescent="0.2">
      <c r="A26" s="92"/>
      <c r="B26" s="77"/>
      <c r="C26" s="77"/>
      <c r="D26" s="93" t="s">
        <v>151</v>
      </c>
      <c r="E26" s="336" t="s">
        <v>152</v>
      </c>
      <c r="F26" s="336"/>
      <c r="G26" s="337"/>
      <c r="H26" s="337"/>
      <c r="I26" s="91"/>
    </row>
    <row r="27" spans="1:9" x14ac:dyDescent="0.2">
      <c r="A27" s="342" t="s">
        <v>153</v>
      </c>
      <c r="B27" s="343"/>
      <c r="C27" s="343"/>
      <c r="D27" s="99"/>
      <c r="E27" s="90"/>
      <c r="F27" s="77"/>
      <c r="G27" s="77"/>
      <c r="H27" s="77"/>
      <c r="I27" s="91"/>
    </row>
    <row r="28" spans="1:9" x14ac:dyDescent="0.2">
      <c r="A28" s="92"/>
      <c r="B28" s="77"/>
      <c r="C28" s="77"/>
      <c r="D28" s="93" t="s">
        <v>154</v>
      </c>
      <c r="E28" s="336">
        <v>10</v>
      </c>
      <c r="F28" s="336"/>
      <c r="G28" s="337"/>
      <c r="H28" s="337"/>
      <c r="I28" s="91"/>
    </row>
    <row r="29" spans="1:9" x14ac:dyDescent="0.2">
      <c r="A29" s="92"/>
      <c r="B29" s="77"/>
      <c r="C29" s="77"/>
      <c r="D29" s="93" t="s">
        <v>155</v>
      </c>
      <c r="E29" s="336"/>
      <c r="F29" s="336"/>
      <c r="G29" s="337"/>
      <c r="H29" s="337"/>
      <c r="I29" s="91"/>
    </row>
    <row r="30" spans="1:9" x14ac:dyDescent="0.2">
      <c r="A30" s="92"/>
      <c r="B30" s="77"/>
      <c r="C30" s="77"/>
      <c r="D30" s="93" t="s">
        <v>156</v>
      </c>
      <c r="E30" s="336">
        <v>3.59</v>
      </c>
      <c r="F30" s="336"/>
      <c r="G30" s="337"/>
      <c r="H30" s="337"/>
      <c r="I30" s="91"/>
    </row>
    <row r="31" spans="1:9" x14ac:dyDescent="0.2">
      <c r="A31" s="92"/>
      <c r="B31" s="77"/>
      <c r="C31" s="77"/>
      <c r="D31" s="93" t="s">
        <v>157</v>
      </c>
      <c r="E31" s="336">
        <v>100</v>
      </c>
      <c r="F31" s="336"/>
      <c r="G31" s="337"/>
      <c r="H31" s="337"/>
      <c r="I31" s="91"/>
    </row>
    <row r="32" spans="1:9" x14ac:dyDescent="0.2">
      <c r="A32" s="92"/>
      <c r="B32" s="77"/>
      <c r="C32" s="77"/>
      <c r="D32" s="93" t="s">
        <v>158</v>
      </c>
      <c r="E32" s="336">
        <v>28.98</v>
      </c>
      <c r="F32" s="336"/>
      <c r="G32" s="337"/>
      <c r="H32" s="337"/>
      <c r="I32" s="91"/>
    </row>
    <row r="33" spans="1:9" x14ac:dyDescent="0.2">
      <c r="A33" s="92"/>
      <c r="B33" s="77"/>
      <c r="C33" s="77"/>
      <c r="D33" s="93" t="s">
        <v>159</v>
      </c>
      <c r="E33" s="336">
        <v>1.0013000000000001</v>
      </c>
      <c r="F33" s="336"/>
      <c r="G33" s="337"/>
      <c r="H33" s="337"/>
      <c r="I33" s="91"/>
    </row>
    <row r="34" spans="1:9" x14ac:dyDescent="0.2">
      <c r="A34" s="92"/>
      <c r="B34" s="77"/>
      <c r="C34" s="77"/>
      <c r="D34" s="93" t="s">
        <v>151</v>
      </c>
      <c r="E34" s="336">
        <v>2393.65</v>
      </c>
      <c r="F34" s="336"/>
      <c r="G34" s="337"/>
      <c r="H34" s="337"/>
      <c r="I34" s="91"/>
    </row>
    <row r="35" spans="1:9" ht="15" customHeight="1" x14ac:dyDescent="0.2">
      <c r="A35" s="92"/>
      <c r="B35" s="77"/>
      <c r="C35" s="77"/>
      <c r="D35" s="99"/>
      <c r="E35" s="90"/>
      <c r="F35" s="77"/>
      <c r="G35" s="77"/>
      <c r="H35" s="77"/>
      <c r="I35" s="91"/>
    </row>
    <row r="36" spans="1:9" x14ac:dyDescent="0.2">
      <c r="A36" s="92"/>
      <c r="B36" s="77"/>
      <c r="C36" s="77"/>
      <c r="D36" s="93" t="s">
        <v>160</v>
      </c>
      <c r="E36" s="336">
        <v>100</v>
      </c>
      <c r="F36" s="336"/>
      <c r="G36" s="337"/>
      <c r="H36" s="337"/>
      <c r="I36" s="91"/>
    </row>
    <row r="37" spans="1:9" x14ac:dyDescent="0.2">
      <c r="A37" s="92"/>
      <c r="B37" s="77"/>
      <c r="C37" s="77"/>
      <c r="D37" s="93" t="s">
        <v>161</v>
      </c>
      <c r="E37" s="338"/>
      <c r="F37" s="338"/>
      <c r="G37" s="337"/>
      <c r="H37" s="337"/>
      <c r="I37" s="91"/>
    </row>
    <row r="38" spans="1:9" s="104" customFormat="1" x14ac:dyDescent="0.2">
      <c r="A38" s="101"/>
      <c r="B38" s="102"/>
      <c r="C38" s="102"/>
      <c r="D38" s="102"/>
      <c r="E38" s="102"/>
      <c r="F38" s="102"/>
      <c r="G38" s="102"/>
      <c r="H38" s="102"/>
      <c r="I38" s="103"/>
    </row>
    <row r="39" spans="1:9" ht="31.5" customHeight="1" x14ac:dyDescent="0.2">
      <c r="A39" s="339" t="s">
        <v>123</v>
      </c>
      <c r="B39" s="340"/>
      <c r="C39" s="340"/>
      <c r="D39" s="340"/>
      <c r="E39" s="340"/>
      <c r="F39" s="340"/>
      <c r="G39" s="340"/>
      <c r="H39" s="340"/>
      <c r="I39" s="341"/>
    </row>
    <row r="40" spans="1:9" x14ac:dyDescent="0.2">
      <c r="A40" s="105"/>
      <c r="B40" s="78"/>
      <c r="C40" s="78"/>
      <c r="D40" s="78"/>
      <c r="E40" s="78"/>
      <c r="F40" s="78"/>
      <c r="G40" s="78"/>
      <c r="H40" s="78"/>
      <c r="I40" s="106"/>
    </row>
    <row r="41" spans="1:9" x14ac:dyDescent="0.2">
      <c r="A41" s="107"/>
      <c r="B41" s="79"/>
      <c r="C41" s="79"/>
      <c r="D41" s="79"/>
      <c r="E41" s="80"/>
      <c r="F41" s="80"/>
      <c r="G41" s="80"/>
      <c r="H41" s="80"/>
      <c r="I41" s="108"/>
    </row>
    <row r="42" spans="1:9" x14ac:dyDescent="0.2">
      <c r="A42" s="81" t="s">
        <v>125</v>
      </c>
      <c r="B42" s="82"/>
      <c r="C42" s="82"/>
      <c r="D42" s="83"/>
      <c r="E42" s="81" t="s">
        <v>126</v>
      </c>
      <c r="F42" s="82"/>
      <c r="G42" s="84" t="s">
        <v>127</v>
      </c>
      <c r="H42" s="81" t="s">
        <v>128</v>
      </c>
      <c r="I42" s="84"/>
    </row>
    <row r="43" spans="1:9" x14ac:dyDescent="0.2">
      <c r="A43" s="312"/>
      <c r="B43" s="313"/>
      <c r="C43" s="85"/>
      <c r="D43" s="86"/>
      <c r="E43" s="87"/>
      <c r="F43" s="88"/>
      <c r="G43" s="86"/>
      <c r="H43" s="87"/>
      <c r="I43" s="86"/>
    </row>
    <row r="44" spans="1:9" x14ac:dyDescent="0.2">
      <c r="A44" s="92"/>
      <c r="B44" s="77"/>
      <c r="C44" s="77"/>
      <c r="D44" s="77"/>
      <c r="E44" s="77"/>
      <c r="F44" s="77"/>
      <c r="G44" s="77"/>
      <c r="H44" s="77"/>
      <c r="I44" s="91"/>
    </row>
    <row r="45" spans="1:9" x14ac:dyDescent="0.2">
      <c r="A45" s="109"/>
      <c r="B45" s="110"/>
      <c r="C45" s="110"/>
      <c r="D45" s="111"/>
      <c r="E45" s="110"/>
      <c r="F45" s="110"/>
      <c r="G45" s="110"/>
      <c r="H45" s="110"/>
      <c r="I45" s="112"/>
    </row>
  </sheetData>
  <mergeCells count="74">
    <mergeCell ref="A1:C1"/>
    <mergeCell ref="D1:E1"/>
    <mergeCell ref="F1:I1"/>
    <mergeCell ref="A2:C2"/>
    <mergeCell ref="D2:E2"/>
    <mergeCell ref="F2:I2"/>
    <mergeCell ref="A3:C3"/>
    <mergeCell ref="D3:E3"/>
    <mergeCell ref="F3:I3"/>
    <mergeCell ref="A4:C4"/>
    <mergeCell ref="D4:E4"/>
    <mergeCell ref="F4:I4"/>
    <mergeCell ref="A5:C5"/>
    <mergeCell ref="D5:E5"/>
    <mergeCell ref="F5:I5"/>
    <mergeCell ref="D6:E6"/>
    <mergeCell ref="F6:G6"/>
    <mergeCell ref="H6:I6"/>
    <mergeCell ref="E14:F14"/>
    <mergeCell ref="G14:H14"/>
    <mergeCell ref="A7:D7"/>
    <mergeCell ref="E7:I7"/>
    <mergeCell ref="A8:D8"/>
    <mergeCell ref="E8:I8"/>
    <mergeCell ref="A9:I9"/>
    <mergeCell ref="A10:I10"/>
    <mergeCell ref="A11:C11"/>
    <mergeCell ref="E12:F12"/>
    <mergeCell ref="G12:H12"/>
    <mergeCell ref="E13:F13"/>
    <mergeCell ref="G13:H13"/>
    <mergeCell ref="E15:F15"/>
    <mergeCell ref="G15:H15"/>
    <mergeCell ref="A16:I16"/>
    <mergeCell ref="A17:C17"/>
    <mergeCell ref="E18:F18"/>
    <mergeCell ref="G18:H1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A27:C27"/>
    <mergeCell ref="E29:F29"/>
    <mergeCell ref="G29:H29"/>
    <mergeCell ref="E30:F30"/>
    <mergeCell ref="G30:H30"/>
    <mergeCell ref="E28:F28"/>
    <mergeCell ref="G28:H28"/>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05"/>
  <sheetViews>
    <sheetView workbookViewId="0">
      <selection activeCell="B8" sqref="B8"/>
    </sheetView>
  </sheetViews>
  <sheetFormatPr defaultColWidth="9.140625" defaultRowHeight="12" x14ac:dyDescent="0.2"/>
  <cols>
    <col min="1" max="1" width="22.140625" style="114" bestFit="1" customWidth="1"/>
    <col min="2" max="2" width="31.7109375" style="114" customWidth="1"/>
    <col min="3" max="3" width="20.85546875" style="114" bestFit="1" customWidth="1"/>
    <col min="4" max="4" width="13.85546875" style="114" bestFit="1" customWidth="1"/>
    <col min="5" max="5" width="7.5703125" style="114" bestFit="1" customWidth="1"/>
    <col min="6" max="6" width="11" style="114" bestFit="1" customWidth="1"/>
    <col min="7" max="7" width="12.7109375" style="114" bestFit="1" customWidth="1"/>
    <col min="8" max="8" width="16" style="114" bestFit="1" customWidth="1"/>
    <col min="9" max="9" width="13.5703125" style="114" bestFit="1" customWidth="1"/>
    <col min="10" max="10" width="11.42578125" style="114" bestFit="1" customWidth="1"/>
    <col min="11" max="11" width="16.85546875" style="114" bestFit="1" customWidth="1"/>
    <col min="12" max="12" width="7.140625" style="114" bestFit="1" customWidth="1"/>
    <col min="13" max="13" width="7" style="114" bestFit="1" customWidth="1"/>
    <col min="14" max="14" width="13.28515625" style="114" customWidth="1"/>
    <col min="15" max="16384" width="9.140625" style="114"/>
  </cols>
  <sheetData>
    <row r="1" spans="1:12" x14ac:dyDescent="0.2">
      <c r="A1" s="114" t="s">
        <v>162</v>
      </c>
      <c r="B1" s="114" t="s">
        <v>66</v>
      </c>
      <c r="C1" s="115" t="s">
        <v>68</v>
      </c>
      <c r="D1" s="115" t="s">
        <v>70</v>
      </c>
      <c r="E1" s="115" t="s">
        <v>71</v>
      </c>
      <c r="F1" s="115" t="s">
        <v>72</v>
      </c>
      <c r="G1" s="115" t="s">
        <v>73</v>
      </c>
      <c r="H1" s="115" t="s">
        <v>74</v>
      </c>
      <c r="I1" s="115" t="s">
        <v>75</v>
      </c>
      <c r="K1" s="116" t="s">
        <v>163</v>
      </c>
    </row>
    <row r="2" spans="1:12" x14ac:dyDescent="0.2">
      <c r="A2" s="114" t="s">
        <v>164</v>
      </c>
      <c r="B2" s="42">
        <v>0.13500000000000001</v>
      </c>
      <c r="C2" s="42">
        <v>0.32</v>
      </c>
      <c r="D2" s="42">
        <v>0.68</v>
      </c>
      <c r="E2" s="42">
        <v>0.86499999999999999</v>
      </c>
      <c r="F2" s="114">
        <v>0</v>
      </c>
      <c r="G2" s="114">
        <v>0</v>
      </c>
      <c r="H2" s="114">
        <v>0</v>
      </c>
      <c r="I2" s="114">
        <v>0</v>
      </c>
      <c r="K2" s="114" t="s">
        <v>165</v>
      </c>
      <c r="L2" s="114">
        <f>AVERAGE(FPD580_D_DIM:FPD580_F_DIM)</f>
        <v>152.875</v>
      </c>
    </row>
    <row r="3" spans="1:12" x14ac:dyDescent="0.2">
      <c r="A3" s="114" t="s">
        <v>166</v>
      </c>
      <c r="B3" s="114">
        <v>3.2000000000000001E-2</v>
      </c>
      <c r="C3" s="114">
        <v>0.13500000000000001</v>
      </c>
      <c r="D3" s="114">
        <v>0.32</v>
      </c>
      <c r="E3" s="114">
        <v>0.68</v>
      </c>
      <c r="F3" s="114">
        <v>0.86499999999999999</v>
      </c>
      <c r="G3" s="114">
        <v>0.96799999999999997</v>
      </c>
      <c r="H3" s="114">
        <v>0</v>
      </c>
      <c r="I3" s="114">
        <v>0</v>
      </c>
      <c r="K3" s="114" t="s">
        <v>167</v>
      </c>
      <c r="L3" s="114">
        <f>AVERAGE(FPD580_G_DIM:FPD580_H_DIM)</f>
        <v>344.125</v>
      </c>
    </row>
    <row r="4" spans="1:12" x14ac:dyDescent="0.2">
      <c r="A4" s="114" t="s">
        <v>168</v>
      </c>
      <c r="B4" s="114">
        <v>3.4000000000000002E-2</v>
      </c>
      <c r="C4" s="114">
        <v>9.1999999999999998E-2</v>
      </c>
      <c r="D4" s="114">
        <v>0.25</v>
      </c>
      <c r="E4" s="114">
        <v>0.36749999999999999</v>
      </c>
      <c r="F4" s="114">
        <v>0.63249999999999995</v>
      </c>
      <c r="G4" s="114">
        <v>0.75</v>
      </c>
      <c r="H4" s="114">
        <v>0.90800000000000003</v>
      </c>
      <c r="I4" s="114">
        <v>0.96599999999999997</v>
      </c>
      <c r="K4" s="114" t="s">
        <v>169</v>
      </c>
      <c r="L4" s="114">
        <f>AVERAGE(FPD580_N_DIM:FPD580_P_DIM)</f>
        <v>467</v>
      </c>
    </row>
    <row r="5" spans="1:12" x14ac:dyDescent="0.2">
      <c r="K5" s="116" t="s">
        <v>170</v>
      </c>
      <c r="L5" s="114">
        <f>VLOOKUP('FPD580 MIS Sheet'!E17,K2:L4,2,0)</f>
        <v>467</v>
      </c>
    </row>
    <row r="6" spans="1:12" x14ac:dyDescent="0.2">
      <c r="A6" s="114" t="s">
        <v>76</v>
      </c>
      <c r="B6" s="114" t="s">
        <v>66</v>
      </c>
      <c r="C6" s="117" t="s">
        <v>68</v>
      </c>
      <c r="D6" s="117" t="s">
        <v>70</v>
      </c>
      <c r="E6" s="117" t="s">
        <v>71</v>
      </c>
      <c r="F6" s="117" t="s">
        <v>72</v>
      </c>
      <c r="G6" s="117" t="s">
        <v>73</v>
      </c>
      <c r="H6" s="117" t="s">
        <v>74</v>
      </c>
      <c r="I6" s="117" t="s">
        <v>75</v>
      </c>
    </row>
    <row r="7" spans="1:12" x14ac:dyDescent="0.2">
      <c r="A7" s="114">
        <v>0.5</v>
      </c>
      <c r="B7" s="114">
        <v>3.4000000000000002E-2</v>
      </c>
      <c r="C7" s="118">
        <f>VLOOKUP('FPD580 MIS Sheet'!$E$17,FPD580_Hole_calc,3,0)</f>
        <v>9.1999999999999998E-2</v>
      </c>
      <c r="D7" s="118">
        <f>VLOOKUP('FPD580 MIS Sheet'!$E$17,FPD580_Hole_calc,4,0)</f>
        <v>0.25</v>
      </c>
      <c r="E7" s="118">
        <f>VLOOKUP('FPD580 MIS Sheet'!$E$17,FPD580_Hole_calc,5,0)</f>
        <v>0.36749999999999999</v>
      </c>
      <c r="F7" s="118">
        <f>VLOOKUP('FPD580 MIS Sheet'!$E$17,FPD580_Hole_calc,6,0)</f>
        <v>0.63249999999999995</v>
      </c>
      <c r="G7" s="118">
        <f>VLOOKUP('FPD580 MIS Sheet'!$E$17,FPD580_Hole_calc,7,0)</f>
        <v>0.75</v>
      </c>
      <c r="H7" s="118">
        <f>VLOOKUP('FPD580 MIS Sheet'!$E$17,FPD580_Hole_calc,8,0)</f>
        <v>0.90800000000000003</v>
      </c>
      <c r="I7" s="118">
        <f>VLOOKUP('FPD580 MIS Sheet'!$E$17,FPD580_Hole_calc,9,0)</f>
        <v>0.96599999999999997</v>
      </c>
    </row>
    <row r="11" spans="1:12" x14ac:dyDescent="0.2">
      <c r="A11" s="119" t="s">
        <v>171</v>
      </c>
      <c r="B11" s="120" t="s">
        <v>172</v>
      </c>
      <c r="C11" s="121" t="s">
        <v>173</v>
      </c>
      <c r="D11" s="122" t="s">
        <v>43</v>
      </c>
      <c r="E11" s="122" t="s">
        <v>45</v>
      </c>
      <c r="F11" s="122" t="s">
        <v>174</v>
      </c>
      <c r="G11" s="122" t="s">
        <v>175</v>
      </c>
      <c r="H11" s="122" t="s">
        <v>174</v>
      </c>
      <c r="I11" s="122" t="s">
        <v>176</v>
      </c>
      <c r="J11" s="122" t="s">
        <v>177</v>
      </c>
      <c r="K11" s="114" t="s">
        <v>178</v>
      </c>
    </row>
    <row r="12" spans="1:12" x14ac:dyDescent="0.2">
      <c r="A12" s="123" t="s">
        <v>179</v>
      </c>
      <c r="B12" s="124" t="s">
        <v>180</v>
      </c>
      <c r="C12" s="42" t="s">
        <v>117</v>
      </c>
      <c r="D12" s="42">
        <v>120</v>
      </c>
      <c r="E12" s="42">
        <v>1.5</v>
      </c>
      <c r="F12" s="42">
        <v>0</v>
      </c>
      <c r="G12" s="42" t="s">
        <v>74</v>
      </c>
      <c r="H12" s="42" t="s">
        <v>74</v>
      </c>
      <c r="I12" s="42">
        <v>4</v>
      </c>
      <c r="J12" s="42">
        <v>411</v>
      </c>
      <c r="K12" s="114">
        <v>1400</v>
      </c>
    </row>
    <row r="13" spans="1:12" x14ac:dyDescent="0.2">
      <c r="A13" s="123" t="s">
        <v>181</v>
      </c>
      <c r="B13" s="124" t="s">
        <v>182</v>
      </c>
      <c r="C13" s="42" t="s">
        <v>117</v>
      </c>
      <c r="D13" s="42">
        <v>120</v>
      </c>
      <c r="E13" s="42">
        <v>1.5</v>
      </c>
      <c r="F13" s="42">
        <v>40</v>
      </c>
      <c r="G13" s="42" t="s">
        <v>74</v>
      </c>
      <c r="H13" s="42" t="s">
        <v>183</v>
      </c>
      <c r="I13" s="42">
        <v>4</v>
      </c>
      <c r="J13" s="42">
        <v>412</v>
      </c>
      <c r="K13" s="114">
        <v>1400</v>
      </c>
    </row>
    <row r="14" spans="1:12" x14ac:dyDescent="0.2">
      <c r="A14" s="123" t="s">
        <v>184</v>
      </c>
      <c r="B14" s="124" t="s">
        <v>185</v>
      </c>
      <c r="C14" s="42" t="s">
        <v>117</v>
      </c>
      <c r="D14" s="42">
        <v>120</v>
      </c>
      <c r="E14" s="42">
        <v>1.5</v>
      </c>
      <c r="F14" s="125">
        <f>FS+Flange_t+40</f>
        <v>155.9</v>
      </c>
      <c r="G14" s="42" t="s">
        <v>74</v>
      </c>
      <c r="H14" s="42" t="s">
        <v>71</v>
      </c>
      <c r="I14" s="42">
        <v>4</v>
      </c>
      <c r="J14" s="42" t="s">
        <v>186</v>
      </c>
      <c r="K14" s="114">
        <v>1400</v>
      </c>
    </row>
    <row r="15" spans="1:12" x14ac:dyDescent="0.2">
      <c r="A15" s="123" t="s">
        <v>187</v>
      </c>
      <c r="B15" s="124" t="s">
        <v>188</v>
      </c>
      <c r="C15" s="42" t="s">
        <v>117</v>
      </c>
      <c r="D15" s="42">
        <v>120</v>
      </c>
      <c r="E15" s="42">
        <v>3</v>
      </c>
      <c r="F15" s="42">
        <v>0</v>
      </c>
      <c r="G15" s="42" t="s">
        <v>74</v>
      </c>
      <c r="H15" s="42" t="s">
        <v>74</v>
      </c>
      <c r="I15" s="42">
        <v>5</v>
      </c>
      <c r="J15" s="42">
        <v>511</v>
      </c>
      <c r="K15" s="114">
        <v>2000</v>
      </c>
    </row>
    <row r="16" spans="1:12" x14ac:dyDescent="0.2">
      <c r="A16" s="123" t="s">
        <v>189</v>
      </c>
      <c r="B16" s="124" t="s">
        <v>190</v>
      </c>
      <c r="C16" s="42" t="s">
        <v>117</v>
      </c>
      <c r="D16" s="42">
        <v>120</v>
      </c>
      <c r="E16" s="42">
        <v>3</v>
      </c>
      <c r="F16" s="125">
        <f>FS+Flange_t+60</f>
        <v>175.9</v>
      </c>
      <c r="G16" s="42" t="s">
        <v>74</v>
      </c>
      <c r="H16" s="42" t="s">
        <v>71</v>
      </c>
      <c r="I16" s="42">
        <v>5</v>
      </c>
      <c r="J16" s="42" t="s">
        <v>191</v>
      </c>
      <c r="K16" s="114">
        <v>2000</v>
      </c>
    </row>
    <row r="17" spans="1:11" x14ac:dyDescent="0.2">
      <c r="A17" s="123" t="s">
        <v>192</v>
      </c>
      <c r="B17" s="124" t="s">
        <v>180</v>
      </c>
      <c r="C17" s="42" t="s">
        <v>193</v>
      </c>
      <c r="D17" s="42">
        <v>280</v>
      </c>
      <c r="E17" s="42">
        <v>1.5</v>
      </c>
      <c r="F17" s="42">
        <v>0</v>
      </c>
      <c r="G17" s="42" t="s">
        <v>183</v>
      </c>
      <c r="H17" s="42" t="s">
        <v>74</v>
      </c>
      <c r="I17" s="42">
        <v>4</v>
      </c>
      <c r="J17" s="42" t="s">
        <v>194</v>
      </c>
      <c r="K17" s="114">
        <v>1400</v>
      </c>
    </row>
    <row r="18" spans="1:11" x14ac:dyDescent="0.2">
      <c r="A18" s="123" t="s">
        <v>195</v>
      </c>
      <c r="B18" s="124" t="s">
        <v>182</v>
      </c>
      <c r="C18" s="42" t="s">
        <v>193</v>
      </c>
      <c r="D18" s="42">
        <v>280</v>
      </c>
      <c r="E18" s="42">
        <v>1.5</v>
      </c>
      <c r="F18" s="42">
        <v>40</v>
      </c>
      <c r="G18" s="42" t="s">
        <v>183</v>
      </c>
      <c r="H18" s="42" t="s">
        <v>183</v>
      </c>
      <c r="I18" s="42">
        <v>4</v>
      </c>
      <c r="J18" s="42" t="s">
        <v>196</v>
      </c>
      <c r="K18" s="114">
        <v>1400</v>
      </c>
    </row>
    <row r="19" spans="1:11" x14ac:dyDescent="0.2">
      <c r="A19" s="123" t="s">
        <v>197</v>
      </c>
      <c r="B19" s="124" t="s">
        <v>185</v>
      </c>
      <c r="C19" s="42" t="s">
        <v>193</v>
      </c>
      <c r="D19" s="42">
        <v>280</v>
      </c>
      <c r="E19" s="42">
        <v>1.5</v>
      </c>
      <c r="F19" s="125">
        <f>FS+Flange_t+40</f>
        <v>155.9</v>
      </c>
      <c r="G19" s="42" t="s">
        <v>183</v>
      </c>
      <c r="H19" s="42" t="s">
        <v>71</v>
      </c>
      <c r="I19" s="42">
        <v>4</v>
      </c>
      <c r="J19" s="42" t="s">
        <v>198</v>
      </c>
      <c r="K19" s="114">
        <v>1400</v>
      </c>
    </row>
    <row r="20" spans="1:11" x14ac:dyDescent="0.2">
      <c r="A20" s="123" t="s">
        <v>40</v>
      </c>
      <c r="B20" s="124" t="s">
        <v>188</v>
      </c>
      <c r="C20" s="42" t="s">
        <v>193</v>
      </c>
      <c r="D20" s="42">
        <v>280</v>
      </c>
      <c r="E20" s="42">
        <v>3</v>
      </c>
      <c r="F20" s="42">
        <v>0</v>
      </c>
      <c r="G20" s="42" t="s">
        <v>183</v>
      </c>
      <c r="H20" s="42" t="s">
        <v>74</v>
      </c>
      <c r="I20" s="42">
        <v>5</v>
      </c>
      <c r="J20" s="42" t="s">
        <v>199</v>
      </c>
      <c r="K20" s="114">
        <v>2000</v>
      </c>
    </row>
    <row r="21" spans="1:11" x14ac:dyDescent="0.2">
      <c r="A21" s="123" t="s">
        <v>200</v>
      </c>
      <c r="B21" s="124" t="s">
        <v>190</v>
      </c>
      <c r="C21" s="42" t="s">
        <v>193</v>
      </c>
      <c r="D21" s="42">
        <v>280</v>
      </c>
      <c r="E21" s="42">
        <v>3</v>
      </c>
      <c r="F21" s="125">
        <f>FS+Flange_t+60</f>
        <v>175.9</v>
      </c>
      <c r="G21" s="42" t="s">
        <v>183</v>
      </c>
      <c r="H21" s="42" t="s">
        <v>71</v>
      </c>
      <c r="I21" s="42">
        <v>5</v>
      </c>
      <c r="J21" s="42" t="s">
        <v>201</v>
      </c>
      <c r="K21" s="114">
        <v>2000</v>
      </c>
    </row>
    <row r="22" spans="1:11" ht="15" x14ac:dyDescent="0.25">
      <c r="A22" s="123"/>
      <c r="B22" s="124"/>
      <c r="C22" s="42"/>
      <c r="D22" s="42"/>
      <c r="E22" s="42"/>
      <c r="F22"/>
      <c r="G22" s="42"/>
      <c r="H22" s="42"/>
      <c r="I22" s="42"/>
      <c r="J22" s="42"/>
    </row>
    <row r="23" spans="1:11" x14ac:dyDescent="0.2">
      <c r="A23" s="123"/>
      <c r="B23" s="124"/>
      <c r="C23" s="42"/>
      <c r="D23" s="126" t="s">
        <v>43</v>
      </c>
      <c r="E23" s="126" t="s">
        <v>45</v>
      </c>
      <c r="F23" s="126" t="s">
        <v>202</v>
      </c>
      <c r="G23" s="126" t="s">
        <v>175</v>
      </c>
      <c r="H23" s="126" t="s">
        <v>174</v>
      </c>
      <c r="I23" s="126" t="s">
        <v>176</v>
      </c>
      <c r="J23" s="126" t="s">
        <v>177</v>
      </c>
    </row>
    <row r="24" spans="1:11" x14ac:dyDescent="0.2">
      <c r="A24" s="42"/>
      <c r="B24" s="42"/>
      <c r="C24" s="42"/>
      <c r="D24" s="127">
        <f>VLOOKUP(FPD580_MIS_ModelType,FPD580_Length_calc,4,0)+IF(AND(FPD580_MIS_TP8_YN="Yes", FPD580_NRT="Y"), 100, 0)</f>
        <v>120</v>
      </c>
      <c r="E24" s="127">
        <f>VLOOKUP(FPD580_MIS_ModelType,FPD580_Length_calc,5,0)</f>
        <v>1.5</v>
      </c>
      <c r="F24" s="127">
        <f>VLOOKUP(FPD580_MIS_ModelType,FPD580_Length_calc,6,0)+IF(F26="Yes",35,0)</f>
        <v>0</v>
      </c>
      <c r="G24" s="127" t="str">
        <f>VLOOKUP(FPD580_MIS_ModelType,FPD580_Length_calc,7,0)</f>
        <v>N</v>
      </c>
      <c r="H24" s="127" t="str">
        <f>VLOOKUP(FPD580_MIS_ModelType,FPD580_Length_calc,8,0)</f>
        <v>N</v>
      </c>
      <c r="I24" s="127">
        <f>VLOOKUP(FPD580_MIS_ModelType,FPD580_Length_calc,9,0)</f>
        <v>4</v>
      </c>
      <c r="J24" s="127">
        <f>VLOOKUP(FPD580_MIS_ModelType,FPD580_Length_calc,10,0)</f>
        <v>411</v>
      </c>
      <c r="K24" s="114">
        <f>VLOOKUP(FPD580_MIS_ModelType,A12:K21,11,0)-FPD580_WALLT-FPD580_FS</f>
        <v>1295</v>
      </c>
    </row>
    <row r="25" spans="1:11" x14ac:dyDescent="0.2">
      <c r="A25" s="42"/>
      <c r="B25" s="42"/>
      <c r="G25" s="42"/>
      <c r="H25" s="42"/>
      <c r="I25" s="42"/>
    </row>
    <row r="26" spans="1:11" x14ac:dyDescent="0.2">
      <c r="C26" s="117" t="s">
        <v>1008</v>
      </c>
      <c r="D26" s="118" t="s">
        <v>204</v>
      </c>
      <c r="E26" s="117" t="s">
        <v>203</v>
      </c>
      <c r="F26" s="118" t="s">
        <v>204</v>
      </c>
    </row>
    <row r="28" spans="1:11" x14ac:dyDescent="0.2">
      <c r="A28" s="351" t="s">
        <v>205</v>
      </c>
      <c r="B28" s="351"/>
      <c r="C28" s="42"/>
      <c r="D28" s="42"/>
      <c r="E28" s="42"/>
    </row>
    <row r="29" spans="1:11" x14ac:dyDescent="0.2">
      <c r="A29" s="128" t="s">
        <v>206</v>
      </c>
      <c r="B29" s="128" t="s">
        <v>207</v>
      </c>
      <c r="C29" s="122" t="s">
        <v>46</v>
      </c>
      <c r="D29" s="122" t="s">
        <v>208</v>
      </c>
      <c r="E29" s="122" t="s">
        <v>209</v>
      </c>
      <c r="F29" s="122" t="s">
        <v>210</v>
      </c>
      <c r="G29" s="122" t="s">
        <v>211</v>
      </c>
      <c r="H29" s="122" t="s">
        <v>212</v>
      </c>
      <c r="I29" s="122" t="s">
        <v>213</v>
      </c>
    </row>
    <row r="30" spans="1:11" x14ac:dyDescent="0.2">
      <c r="A30" s="129" t="s">
        <v>214</v>
      </c>
      <c r="B30" s="129" t="s">
        <v>215</v>
      </c>
      <c r="C30" s="42" t="s">
        <v>216</v>
      </c>
      <c r="D30" s="42">
        <v>15.9</v>
      </c>
      <c r="E30" s="42">
        <v>24</v>
      </c>
      <c r="F30" s="42">
        <v>15.9</v>
      </c>
      <c r="G30" s="42">
        <v>38</v>
      </c>
      <c r="H30" s="42" t="s">
        <v>217</v>
      </c>
      <c r="I30" s="114" t="s">
        <v>218</v>
      </c>
    </row>
    <row r="31" spans="1:11" x14ac:dyDescent="0.2">
      <c r="A31" s="129" t="s">
        <v>219</v>
      </c>
      <c r="B31" s="129" t="s">
        <v>215</v>
      </c>
      <c r="C31" s="42" t="s">
        <v>220</v>
      </c>
      <c r="D31" s="42">
        <v>17.5</v>
      </c>
      <c r="E31" s="42">
        <v>24</v>
      </c>
      <c r="F31" s="42">
        <v>15.9</v>
      </c>
      <c r="G31" s="42">
        <v>38</v>
      </c>
      <c r="H31" s="42" t="s">
        <v>217</v>
      </c>
      <c r="I31" s="114" t="s">
        <v>218</v>
      </c>
    </row>
    <row r="32" spans="1:11" x14ac:dyDescent="0.2">
      <c r="A32" s="129" t="s">
        <v>221</v>
      </c>
      <c r="B32" s="129" t="s">
        <v>215</v>
      </c>
      <c r="C32" s="42" t="s">
        <v>222</v>
      </c>
      <c r="D32" s="42">
        <v>22.3</v>
      </c>
      <c r="E32" s="42">
        <v>24</v>
      </c>
      <c r="F32" s="42">
        <v>15.9</v>
      </c>
      <c r="G32" s="42">
        <v>38</v>
      </c>
      <c r="H32" s="42" t="s">
        <v>217</v>
      </c>
      <c r="I32" s="114" t="s">
        <v>218</v>
      </c>
    </row>
    <row r="33" spans="1:9" x14ac:dyDescent="0.2">
      <c r="A33" s="129" t="s">
        <v>223</v>
      </c>
      <c r="B33" s="129" t="s">
        <v>215</v>
      </c>
      <c r="C33" s="42" t="s">
        <v>224</v>
      </c>
      <c r="D33" s="42">
        <v>23.88</v>
      </c>
      <c r="E33" s="42">
        <v>24</v>
      </c>
      <c r="F33" s="42">
        <v>15.9</v>
      </c>
      <c r="G33" s="42">
        <v>38</v>
      </c>
      <c r="H33" s="42" t="s">
        <v>217</v>
      </c>
      <c r="I33" s="114" t="s">
        <v>218</v>
      </c>
    </row>
    <row r="34" spans="1:9" x14ac:dyDescent="0.2">
      <c r="A34" s="129" t="s">
        <v>225</v>
      </c>
      <c r="B34" s="129" t="s">
        <v>215</v>
      </c>
      <c r="C34" s="42" t="s">
        <v>226</v>
      </c>
      <c r="D34" s="42">
        <v>25.4</v>
      </c>
      <c r="E34" s="42">
        <v>24</v>
      </c>
      <c r="F34" s="42">
        <v>15.9</v>
      </c>
      <c r="G34" s="42">
        <v>38</v>
      </c>
      <c r="H34" s="42" t="s">
        <v>217</v>
      </c>
      <c r="I34" s="114" t="s">
        <v>218</v>
      </c>
    </row>
    <row r="35" spans="1:9" x14ac:dyDescent="0.2">
      <c r="A35" s="129" t="s">
        <v>214</v>
      </c>
      <c r="B35" s="129" t="s">
        <v>227</v>
      </c>
      <c r="C35" s="42" t="s">
        <v>47</v>
      </c>
      <c r="D35" s="42">
        <v>18</v>
      </c>
      <c r="E35" s="42">
        <v>24</v>
      </c>
      <c r="F35" s="42">
        <v>16</v>
      </c>
      <c r="G35" s="42" t="s">
        <v>228</v>
      </c>
      <c r="H35" s="42" t="s">
        <v>229</v>
      </c>
      <c r="I35" s="114" t="s">
        <v>218</v>
      </c>
    </row>
    <row r="36" spans="1:9" x14ac:dyDescent="0.2">
      <c r="A36" s="129" t="s">
        <v>219</v>
      </c>
      <c r="B36" s="129" t="s">
        <v>227</v>
      </c>
      <c r="C36" s="42" t="s">
        <v>230</v>
      </c>
      <c r="D36" s="42">
        <v>20</v>
      </c>
      <c r="E36" s="42">
        <v>24</v>
      </c>
      <c r="F36" s="42">
        <v>16</v>
      </c>
      <c r="G36" s="42" t="s">
        <v>228</v>
      </c>
      <c r="H36" s="42" t="s">
        <v>229</v>
      </c>
      <c r="I36" s="114" t="s">
        <v>218</v>
      </c>
    </row>
    <row r="37" spans="1:9" x14ac:dyDescent="0.2">
      <c r="A37" s="129" t="s">
        <v>221</v>
      </c>
      <c r="B37" s="129" t="s">
        <v>227</v>
      </c>
      <c r="C37" s="42" t="s">
        <v>231</v>
      </c>
      <c r="D37" s="42">
        <v>20</v>
      </c>
      <c r="E37" s="42">
        <v>24</v>
      </c>
      <c r="F37" s="42">
        <v>16</v>
      </c>
      <c r="G37" s="42" t="s">
        <v>228</v>
      </c>
      <c r="H37" s="42" t="s">
        <v>229</v>
      </c>
      <c r="I37" s="114" t="s">
        <v>218</v>
      </c>
    </row>
    <row r="38" spans="1:9" x14ac:dyDescent="0.2">
      <c r="A38" s="129" t="s">
        <v>223</v>
      </c>
      <c r="B38" s="129" t="s">
        <v>227</v>
      </c>
      <c r="C38" s="42" t="s">
        <v>232</v>
      </c>
      <c r="D38" s="42">
        <v>22</v>
      </c>
      <c r="E38" s="42">
        <v>24</v>
      </c>
      <c r="F38" s="42">
        <v>16</v>
      </c>
      <c r="G38" s="42" t="s">
        <v>228</v>
      </c>
      <c r="H38" s="42" t="s">
        <v>229</v>
      </c>
      <c r="I38" s="114" t="s">
        <v>218</v>
      </c>
    </row>
    <row r="39" spans="1:9" x14ac:dyDescent="0.2">
      <c r="A39" s="129" t="s">
        <v>225</v>
      </c>
      <c r="B39" s="129" t="s">
        <v>227</v>
      </c>
      <c r="C39" s="42" t="s">
        <v>233</v>
      </c>
      <c r="D39" s="42">
        <v>24</v>
      </c>
      <c r="E39" s="42">
        <v>24</v>
      </c>
      <c r="F39" s="42">
        <v>16</v>
      </c>
      <c r="G39" s="42" t="s">
        <v>228</v>
      </c>
      <c r="H39" s="42" t="s">
        <v>229</v>
      </c>
      <c r="I39" s="114" t="s">
        <v>218</v>
      </c>
    </row>
    <row r="40" spans="1:9" x14ac:dyDescent="0.2">
      <c r="A40" s="129"/>
      <c r="B40" s="129"/>
      <c r="C40" s="42"/>
      <c r="D40" s="42"/>
      <c r="E40" s="42"/>
      <c r="F40" s="42"/>
      <c r="G40" s="42"/>
      <c r="H40" s="42"/>
    </row>
    <row r="41" spans="1:9" x14ac:dyDescent="0.2">
      <c r="A41" s="129"/>
      <c r="B41" s="129"/>
      <c r="C41" s="42"/>
      <c r="D41" s="126" t="s">
        <v>208</v>
      </c>
      <c r="E41" s="126" t="s">
        <v>209</v>
      </c>
      <c r="F41" s="126" t="s">
        <v>210</v>
      </c>
      <c r="G41" s="126" t="s">
        <v>211</v>
      </c>
      <c r="H41" s="126" t="s">
        <v>212</v>
      </c>
      <c r="I41" s="126" t="s">
        <v>213</v>
      </c>
    </row>
    <row r="42" spans="1:9" x14ac:dyDescent="0.2">
      <c r="A42" s="42"/>
      <c r="B42" s="42"/>
      <c r="C42" s="42"/>
      <c r="D42" s="127">
        <f>VLOOKUP(FPD580_MIS_FlangeSize,FPD580_Flange_calc,2,0)</f>
        <v>15.9</v>
      </c>
      <c r="E42" s="127">
        <f>VLOOKUP(FPD580_MIS_FlangeSize,FPD580_Flange_calc,3,0)</f>
        <v>24</v>
      </c>
      <c r="F42" s="127">
        <f>VLOOKUP(FPD580_MIS_FlangeSize,FPD580_Flange_calc,4,0)</f>
        <v>15.9</v>
      </c>
      <c r="G42" s="127">
        <f>VLOOKUP(FPD580_MIS_FlangeSize,FPD580_Flange_calc,5,0)</f>
        <v>38</v>
      </c>
      <c r="H42" s="127" t="str">
        <f>VLOOKUP(FPD580_MIS_FlangeSize,FPD580_Flange_calc,6,0)</f>
        <v>ASME B16.5 2003</v>
      </c>
      <c r="I42" s="127" t="str">
        <f>VLOOKUP(FPD580_MIS_FlangeSize,FPD580_Flange_calc,7,0)</f>
        <v>SEP</v>
      </c>
    </row>
    <row r="43" spans="1:9" x14ac:dyDescent="0.2">
      <c r="A43" s="42"/>
      <c r="B43" s="42"/>
      <c r="C43" s="42"/>
      <c r="D43" s="114" t="s">
        <v>152</v>
      </c>
      <c r="E43" s="114" t="s">
        <v>234</v>
      </c>
      <c r="F43" s="42" t="s">
        <v>235</v>
      </c>
      <c r="G43" s="114" t="s">
        <v>146</v>
      </c>
    </row>
    <row r="44" spans="1:9" x14ac:dyDescent="0.2">
      <c r="A44" s="42"/>
      <c r="B44" s="42"/>
      <c r="C44" s="42"/>
      <c r="D44" s="42"/>
      <c r="E44" s="42"/>
      <c r="F44" s="42"/>
    </row>
    <row r="45" spans="1:9" x14ac:dyDescent="0.2">
      <c r="A45" s="128" t="s">
        <v>236</v>
      </c>
      <c r="B45" s="130" t="s">
        <v>49</v>
      </c>
      <c r="C45" s="130"/>
      <c r="D45" s="42"/>
      <c r="E45" s="42"/>
      <c r="F45" s="42"/>
    </row>
    <row r="46" spans="1:9" x14ac:dyDescent="0.2">
      <c r="A46" s="42" t="s">
        <v>237</v>
      </c>
      <c r="B46" s="114" t="s">
        <v>238</v>
      </c>
      <c r="C46" s="114">
        <v>1.5</v>
      </c>
      <c r="D46" s="42"/>
      <c r="E46" s="42"/>
    </row>
    <row r="47" spans="1:9" x14ac:dyDescent="0.2">
      <c r="A47" s="129" t="s">
        <v>239</v>
      </c>
      <c r="B47" s="114" t="s">
        <v>238</v>
      </c>
      <c r="C47" s="114">
        <v>1.5</v>
      </c>
      <c r="D47" s="42"/>
      <c r="E47" s="42"/>
      <c r="F47" s="42"/>
    </row>
    <row r="48" spans="1:9" x14ac:dyDescent="0.2">
      <c r="A48" s="129" t="s">
        <v>240</v>
      </c>
      <c r="B48" s="114" t="s">
        <v>238</v>
      </c>
      <c r="C48" s="114">
        <v>1.5</v>
      </c>
      <c r="D48" s="42"/>
      <c r="E48" s="42"/>
      <c r="F48" s="42"/>
    </row>
    <row r="49" spans="1:10" x14ac:dyDescent="0.2">
      <c r="A49" s="129" t="s">
        <v>241</v>
      </c>
      <c r="B49" s="114" t="s">
        <v>242</v>
      </c>
      <c r="C49" s="114">
        <v>4.5</v>
      </c>
      <c r="D49" s="42"/>
      <c r="E49" s="42"/>
      <c r="F49" s="42"/>
    </row>
    <row r="50" spans="1:10" x14ac:dyDescent="0.2">
      <c r="A50" s="129" t="s">
        <v>243</v>
      </c>
      <c r="B50" s="114" t="s">
        <v>242</v>
      </c>
      <c r="C50" s="114">
        <v>4.5</v>
      </c>
      <c r="D50" s="42"/>
      <c r="E50" s="42"/>
      <c r="F50" s="42"/>
    </row>
    <row r="51" spans="1:10" x14ac:dyDescent="0.2">
      <c r="B51" s="131"/>
      <c r="C51" s="114">
        <f>VLOOKUP(FPD580_MIS_Gasket,FPD580_Gasket_Calc,3,0)</f>
        <v>1.5</v>
      </c>
      <c r="E51" s="42"/>
      <c r="F51" s="42"/>
    </row>
    <row r="52" spans="1:10" x14ac:dyDescent="0.2">
      <c r="E52" s="42"/>
      <c r="F52" s="42"/>
    </row>
    <row r="53" spans="1:10" x14ac:dyDescent="0.2">
      <c r="E53" s="42"/>
      <c r="F53" s="42"/>
    </row>
    <row r="54" spans="1:10" x14ac:dyDescent="0.2">
      <c r="A54" s="116" t="s">
        <v>244</v>
      </c>
      <c r="B54" s="116" t="s">
        <v>172</v>
      </c>
    </row>
    <row r="55" spans="1:10" x14ac:dyDescent="0.2">
      <c r="A55" s="132" t="s">
        <v>245</v>
      </c>
      <c r="B55" s="133" t="s">
        <v>246</v>
      </c>
    </row>
    <row r="56" spans="1:10" x14ac:dyDescent="0.2">
      <c r="A56" s="132" t="s">
        <v>247</v>
      </c>
      <c r="B56" s="133" t="s">
        <v>248</v>
      </c>
    </row>
    <row r="57" spans="1:10" x14ac:dyDescent="0.2">
      <c r="A57" s="132" t="s">
        <v>249</v>
      </c>
      <c r="B57" s="133" t="s">
        <v>250</v>
      </c>
    </row>
    <row r="58" spans="1:10" x14ac:dyDescent="0.2">
      <c r="A58" s="132" t="s">
        <v>251</v>
      </c>
      <c r="B58" s="133" t="s">
        <v>252</v>
      </c>
    </row>
    <row r="60" spans="1:10" x14ac:dyDescent="0.2">
      <c r="J60" s="134"/>
    </row>
    <row r="61" spans="1:10" x14ac:dyDescent="0.2">
      <c r="B61" s="135" t="s">
        <v>253</v>
      </c>
      <c r="C61" s="135" t="s">
        <v>254</v>
      </c>
      <c r="D61" s="135" t="s">
        <v>255</v>
      </c>
      <c r="E61" s="135" t="s">
        <v>252</v>
      </c>
      <c r="J61" s="134"/>
    </row>
    <row r="62" spans="1:10" x14ac:dyDescent="0.2">
      <c r="A62" s="116" t="s">
        <v>256</v>
      </c>
      <c r="B62" s="116" t="s">
        <v>257</v>
      </c>
      <c r="C62" s="116" t="s">
        <v>215</v>
      </c>
      <c r="D62" s="116" t="s">
        <v>227</v>
      </c>
      <c r="E62" s="116" t="s">
        <v>258</v>
      </c>
    </row>
    <row r="63" spans="1:10" x14ac:dyDescent="0.2">
      <c r="A63" s="136" t="s">
        <v>259</v>
      </c>
      <c r="B63" s="118"/>
      <c r="C63" s="118"/>
      <c r="D63" s="118"/>
      <c r="E63" s="118"/>
      <c r="F63" s="137" t="s">
        <v>260</v>
      </c>
    </row>
    <row r="64" spans="1:10" x14ac:dyDescent="0.2">
      <c r="A64" s="136" t="s">
        <v>214</v>
      </c>
      <c r="B64" s="118"/>
      <c r="C64" s="127" t="s">
        <v>216</v>
      </c>
      <c r="D64" s="127" t="s">
        <v>47</v>
      </c>
      <c r="E64" s="118"/>
      <c r="F64" s="137" t="s">
        <v>261</v>
      </c>
    </row>
    <row r="65" spans="1:6" x14ac:dyDescent="0.2">
      <c r="A65" s="136" t="s">
        <v>219</v>
      </c>
      <c r="B65" s="118"/>
      <c r="C65" s="127" t="s">
        <v>220</v>
      </c>
      <c r="D65" s="127" t="s">
        <v>230</v>
      </c>
      <c r="E65" s="118"/>
      <c r="F65" s="137" t="s">
        <v>262</v>
      </c>
    </row>
    <row r="66" spans="1:6" x14ac:dyDescent="0.2">
      <c r="A66" s="136" t="s">
        <v>221</v>
      </c>
      <c r="B66" s="118"/>
      <c r="C66" s="127" t="s">
        <v>222</v>
      </c>
      <c r="D66" s="127" t="s">
        <v>231</v>
      </c>
      <c r="E66" s="118"/>
      <c r="F66" s="137" t="s">
        <v>263</v>
      </c>
    </row>
    <row r="67" spans="1:6" x14ac:dyDescent="0.2">
      <c r="A67" s="138" t="s">
        <v>223</v>
      </c>
      <c r="B67" s="118"/>
      <c r="C67" s="127" t="s">
        <v>224</v>
      </c>
      <c r="D67" s="127" t="s">
        <v>232</v>
      </c>
      <c r="E67" s="118"/>
      <c r="F67" s="137" t="s">
        <v>264</v>
      </c>
    </row>
    <row r="68" spans="1:6" x14ac:dyDescent="0.2">
      <c r="A68" s="138" t="s">
        <v>225</v>
      </c>
      <c r="B68" s="118"/>
      <c r="C68" s="127" t="s">
        <v>226</v>
      </c>
      <c r="D68" s="127" t="s">
        <v>233</v>
      </c>
      <c r="E68" s="118"/>
      <c r="F68" s="137" t="s">
        <v>265</v>
      </c>
    </row>
    <row r="69" spans="1:6" x14ac:dyDescent="0.2">
      <c r="A69" s="138" t="s">
        <v>266</v>
      </c>
      <c r="B69" s="118"/>
      <c r="C69" s="118"/>
      <c r="D69" s="118"/>
      <c r="E69" s="118"/>
      <c r="F69" s="137" t="s">
        <v>252</v>
      </c>
    </row>
    <row r="71" spans="1:6" x14ac:dyDescent="0.2">
      <c r="A71" s="135" t="s">
        <v>267</v>
      </c>
    </row>
    <row r="73" spans="1:6" x14ac:dyDescent="0.2">
      <c r="A73" s="116" t="s">
        <v>268</v>
      </c>
    </row>
    <row r="74" spans="1:6" x14ac:dyDescent="0.2">
      <c r="A74" s="132" t="s">
        <v>269</v>
      </c>
      <c r="B74" s="114" t="s">
        <v>270</v>
      </c>
    </row>
    <row r="75" spans="1:6" x14ac:dyDescent="0.2">
      <c r="A75" s="132" t="s">
        <v>271</v>
      </c>
      <c r="B75" s="114" t="s">
        <v>272</v>
      </c>
    </row>
    <row r="78" spans="1:6" ht="12.75" x14ac:dyDescent="0.2">
      <c r="A78" s="281" t="s">
        <v>969</v>
      </c>
      <c r="B78" s="281" t="s">
        <v>968</v>
      </c>
      <c r="C78" s="281" t="s">
        <v>970</v>
      </c>
      <c r="D78" s="75"/>
    </row>
    <row r="79" spans="1:6" ht="12.75" x14ac:dyDescent="0.2">
      <c r="A79" s="284" t="s">
        <v>244</v>
      </c>
      <c r="B79" s="284"/>
      <c r="C79" s="281"/>
      <c r="D79" s="75"/>
    </row>
    <row r="80" spans="1:6" x14ac:dyDescent="0.2">
      <c r="A80" s="282" t="s">
        <v>730</v>
      </c>
      <c r="B80" s="282" t="s">
        <v>971</v>
      </c>
      <c r="C80" s="283" t="s">
        <v>972</v>
      </c>
      <c r="D80" s="352" t="s">
        <v>997</v>
      </c>
    </row>
    <row r="81" spans="1:4" x14ac:dyDescent="0.2">
      <c r="A81" s="282" t="s">
        <v>1001</v>
      </c>
      <c r="B81" s="282" t="s">
        <v>973</v>
      </c>
      <c r="C81" s="283" t="s">
        <v>972</v>
      </c>
      <c r="D81" s="352"/>
    </row>
    <row r="82" spans="1:4" x14ac:dyDescent="0.2">
      <c r="A82" s="282" t="s">
        <v>245</v>
      </c>
      <c r="B82" s="282" t="s">
        <v>974</v>
      </c>
      <c r="C82" s="283" t="s">
        <v>972</v>
      </c>
      <c r="D82" s="352"/>
    </row>
    <row r="83" spans="1:4" x14ac:dyDescent="0.2">
      <c r="A83" s="282" t="s">
        <v>567</v>
      </c>
      <c r="B83" s="282" t="s">
        <v>975</v>
      </c>
      <c r="C83" s="283" t="s">
        <v>972</v>
      </c>
      <c r="D83" s="352"/>
    </row>
    <row r="84" spans="1:4" x14ac:dyDescent="0.2">
      <c r="A84" s="282" t="s">
        <v>728</v>
      </c>
      <c r="B84" s="282" t="s">
        <v>976</v>
      </c>
      <c r="C84" s="283" t="s">
        <v>972</v>
      </c>
      <c r="D84" s="352"/>
    </row>
    <row r="85" spans="1:4" x14ac:dyDescent="0.2">
      <c r="A85" s="282" t="s">
        <v>494</v>
      </c>
      <c r="B85" s="282" t="s">
        <v>977</v>
      </c>
      <c r="C85" s="283" t="s">
        <v>972</v>
      </c>
      <c r="D85" s="352"/>
    </row>
    <row r="86" spans="1:4" x14ac:dyDescent="0.2">
      <c r="A86" s="282" t="s">
        <v>741</v>
      </c>
      <c r="B86" s="282" t="s">
        <v>978</v>
      </c>
      <c r="C86" s="283" t="s">
        <v>972</v>
      </c>
      <c r="D86" s="352"/>
    </row>
    <row r="87" spans="1:4" x14ac:dyDescent="0.2">
      <c r="A87" s="282" t="s">
        <v>249</v>
      </c>
      <c r="B87" s="282" t="s">
        <v>979</v>
      </c>
      <c r="C87" s="283" t="s">
        <v>972</v>
      </c>
      <c r="D87" s="352"/>
    </row>
    <row r="88" spans="1:4" x14ac:dyDescent="0.2">
      <c r="A88" s="282" t="s">
        <v>737</v>
      </c>
      <c r="B88" s="282" t="s">
        <v>980</v>
      </c>
      <c r="C88" s="283" t="s">
        <v>972</v>
      </c>
      <c r="D88" s="352"/>
    </row>
    <row r="89" spans="1:4" x14ac:dyDescent="0.2">
      <c r="A89" s="282" t="s">
        <v>462</v>
      </c>
      <c r="B89" s="282" t="s">
        <v>981</v>
      </c>
      <c r="C89" s="283" t="s">
        <v>972</v>
      </c>
      <c r="D89" s="352"/>
    </row>
    <row r="90" spans="1:4" x14ac:dyDescent="0.2">
      <c r="A90" s="282" t="s">
        <v>463</v>
      </c>
      <c r="B90" s="282" t="s">
        <v>982</v>
      </c>
      <c r="C90" s="283" t="s">
        <v>972</v>
      </c>
      <c r="D90" s="352"/>
    </row>
    <row r="91" spans="1:4" ht="12.75" x14ac:dyDescent="0.2">
      <c r="A91" s="282" t="s">
        <v>1004</v>
      </c>
      <c r="B91" s="282"/>
      <c r="C91" s="283"/>
      <c r="D91" s="34"/>
    </row>
    <row r="92" spans="1:4" x14ac:dyDescent="0.2">
      <c r="A92" s="282" t="s">
        <v>730</v>
      </c>
      <c r="B92" s="282" t="s">
        <v>983</v>
      </c>
      <c r="C92" s="283" t="s">
        <v>984</v>
      </c>
      <c r="D92" s="352" t="s">
        <v>998</v>
      </c>
    </row>
    <row r="93" spans="1:4" x14ac:dyDescent="0.2">
      <c r="A93" s="282" t="s">
        <v>1001</v>
      </c>
      <c r="B93" s="282" t="s">
        <v>985</v>
      </c>
      <c r="C93" s="283" t="s">
        <v>984</v>
      </c>
      <c r="D93" s="352"/>
    </row>
    <row r="94" spans="1:4" x14ac:dyDescent="0.2">
      <c r="A94" s="282" t="s">
        <v>245</v>
      </c>
      <c r="B94" s="282" t="s">
        <v>986</v>
      </c>
      <c r="C94" s="283" t="s">
        <v>984</v>
      </c>
      <c r="D94" s="352"/>
    </row>
    <row r="95" spans="1:4" x14ac:dyDescent="0.2">
      <c r="A95" s="282" t="s">
        <v>567</v>
      </c>
      <c r="B95" s="282" t="s">
        <v>987</v>
      </c>
      <c r="C95" s="283" t="s">
        <v>984</v>
      </c>
      <c r="D95" s="352"/>
    </row>
    <row r="96" spans="1:4" x14ac:dyDescent="0.2">
      <c r="A96" s="282" t="s">
        <v>728</v>
      </c>
      <c r="B96" s="282" t="s">
        <v>988</v>
      </c>
      <c r="C96" s="283" t="s">
        <v>984</v>
      </c>
      <c r="D96" s="352"/>
    </row>
    <row r="97" spans="1:4" x14ac:dyDescent="0.2">
      <c r="A97" s="282" t="s">
        <v>494</v>
      </c>
      <c r="B97" s="282" t="s">
        <v>989</v>
      </c>
      <c r="C97" s="283" t="s">
        <v>984</v>
      </c>
      <c r="D97" s="352"/>
    </row>
    <row r="98" spans="1:4" x14ac:dyDescent="0.2">
      <c r="A98" s="282" t="s">
        <v>741</v>
      </c>
      <c r="B98" s="282" t="s">
        <v>990</v>
      </c>
      <c r="C98" s="283" t="s">
        <v>984</v>
      </c>
      <c r="D98" s="352"/>
    </row>
    <row r="99" spans="1:4" x14ac:dyDescent="0.2">
      <c r="A99" s="282" t="s">
        <v>249</v>
      </c>
      <c r="B99" s="282" t="s">
        <v>991</v>
      </c>
      <c r="C99" s="283" t="s">
        <v>984</v>
      </c>
      <c r="D99" s="352"/>
    </row>
    <row r="100" spans="1:4" x14ac:dyDescent="0.2">
      <c r="A100" s="282" t="s">
        <v>737</v>
      </c>
      <c r="B100" s="282" t="s">
        <v>992</v>
      </c>
      <c r="C100" s="283" t="s">
        <v>984</v>
      </c>
      <c r="D100" s="352"/>
    </row>
    <row r="101" spans="1:4" x14ac:dyDescent="0.2">
      <c r="A101" s="282" t="s">
        <v>733</v>
      </c>
      <c r="B101" s="282" t="s">
        <v>993</v>
      </c>
      <c r="C101" s="283" t="s">
        <v>984</v>
      </c>
      <c r="D101" s="352"/>
    </row>
    <row r="102" spans="1:4" x14ac:dyDescent="0.2">
      <c r="A102" s="282" t="s">
        <v>739</v>
      </c>
      <c r="B102" s="282" t="s">
        <v>993</v>
      </c>
      <c r="C102" s="283" t="s">
        <v>984</v>
      </c>
      <c r="D102" s="352"/>
    </row>
    <row r="103" spans="1:4" x14ac:dyDescent="0.2">
      <c r="A103" s="282" t="s">
        <v>181</v>
      </c>
      <c r="B103" s="282" t="s">
        <v>994</v>
      </c>
      <c r="C103" s="283" t="s">
        <v>984</v>
      </c>
      <c r="D103" s="352"/>
    </row>
    <row r="104" spans="1:4" x14ac:dyDescent="0.2">
      <c r="A104" s="282" t="s">
        <v>462</v>
      </c>
      <c r="B104" s="282" t="s">
        <v>995</v>
      </c>
      <c r="C104" s="283" t="s">
        <v>984</v>
      </c>
      <c r="D104" s="352"/>
    </row>
    <row r="105" spans="1:4" x14ac:dyDescent="0.2">
      <c r="A105" s="282" t="s">
        <v>463</v>
      </c>
      <c r="B105" s="282" t="s">
        <v>996</v>
      </c>
      <c r="C105" s="283" t="s">
        <v>984</v>
      </c>
      <c r="D105" s="352"/>
    </row>
  </sheetData>
  <mergeCells count="3">
    <mergeCell ref="A28:B28"/>
    <mergeCell ref="D80:D90"/>
    <mergeCell ref="D92:D105"/>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E36" sqref="E36"/>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40"/>
  </cols>
  <sheetData>
    <row r="2" spans="1:6" x14ac:dyDescent="0.25">
      <c r="A2" s="139" t="s">
        <v>273</v>
      </c>
      <c r="B2" s="139" t="s">
        <v>274</v>
      </c>
      <c r="C2" s="139" t="s">
        <v>275</v>
      </c>
      <c r="D2" s="139" t="s">
        <v>109</v>
      </c>
      <c r="E2" s="139" t="s">
        <v>111</v>
      </c>
    </row>
    <row r="3" spans="1:6" x14ac:dyDescent="0.25">
      <c r="A3" t="s">
        <v>276</v>
      </c>
      <c r="B3" t="s">
        <v>277</v>
      </c>
      <c r="C3" t="s">
        <v>278</v>
      </c>
      <c r="D3" t="s">
        <v>279</v>
      </c>
      <c r="E3" t="s">
        <v>110</v>
      </c>
      <c r="F3" s="140" t="s">
        <v>280</v>
      </c>
    </row>
    <row r="4" spans="1:6" x14ac:dyDescent="0.25">
      <c r="A4" t="s">
        <v>281</v>
      </c>
      <c r="B4" t="s">
        <v>277</v>
      </c>
      <c r="C4" t="s">
        <v>245</v>
      </c>
      <c r="D4" t="s">
        <v>110</v>
      </c>
      <c r="E4" t="s">
        <v>110</v>
      </c>
    </row>
    <row r="5" spans="1:6" x14ac:dyDescent="0.25">
      <c r="A5" t="s">
        <v>282</v>
      </c>
      <c r="B5" t="s">
        <v>277</v>
      </c>
      <c r="C5" t="s">
        <v>245</v>
      </c>
      <c r="D5" t="s">
        <v>110</v>
      </c>
      <c r="E5" t="s">
        <v>110</v>
      </c>
    </row>
    <row r="8" spans="1:6" x14ac:dyDescent="0.25">
      <c r="A8" t="s">
        <v>283</v>
      </c>
      <c r="B8">
        <v>254.51</v>
      </c>
      <c r="C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249977111117893"/>
  </sheetPr>
  <dimension ref="A1:P30"/>
  <sheetViews>
    <sheetView view="pageLayout" topLeftCell="A2" zoomScaleNormal="100" workbookViewId="0">
      <selection activeCell="A2" sqref="A2:A3"/>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9.85546875" style="21" customWidth="1"/>
    <col min="12" max="12" width="5.5703125" style="21" bestFit="1" customWidth="1"/>
    <col min="13" max="13" width="5.140625" style="21" bestFit="1" customWidth="1"/>
    <col min="14" max="14" width="6.28515625" style="21" customWidth="1"/>
    <col min="15" max="15" width="8.140625" style="21" customWidth="1"/>
    <col min="16" max="16" width="13.5703125" style="21" customWidth="1"/>
    <col min="17" max="16384" width="9.140625" style="21"/>
  </cols>
  <sheetData>
    <row r="1" spans="1:16" ht="12" hidden="1" customHeight="1" x14ac:dyDescent="0.25">
      <c r="A1" s="20" t="s">
        <v>14</v>
      </c>
      <c r="B1" s="20"/>
      <c r="C1" s="20"/>
      <c r="D1" s="20"/>
      <c r="E1" s="20"/>
      <c r="F1" s="20"/>
      <c r="G1" s="20"/>
      <c r="H1" s="20"/>
      <c r="I1" s="20"/>
      <c r="J1" s="20"/>
      <c r="K1" s="20"/>
      <c r="L1" s="20"/>
      <c r="M1" s="20"/>
      <c r="N1" s="20"/>
      <c r="O1" s="20"/>
      <c r="P1" s="20"/>
    </row>
    <row r="2" spans="1:16" ht="27" customHeight="1" x14ac:dyDescent="0.25">
      <c r="A2" s="295" t="s">
        <v>13</v>
      </c>
      <c r="B2" s="295" t="s">
        <v>15</v>
      </c>
      <c r="C2" s="295" t="s">
        <v>16</v>
      </c>
      <c r="D2" s="295" t="s">
        <v>17</v>
      </c>
      <c r="E2" s="295" t="s">
        <v>18</v>
      </c>
      <c r="F2" s="295" t="s">
        <v>19</v>
      </c>
      <c r="G2" s="293" t="s">
        <v>20</v>
      </c>
      <c r="H2" s="294"/>
      <c r="I2" s="293" t="s">
        <v>21</v>
      </c>
      <c r="J2" s="294"/>
      <c r="K2" s="295" t="s">
        <v>407</v>
      </c>
      <c r="L2" s="293" t="s">
        <v>22</v>
      </c>
      <c r="M2" s="294"/>
      <c r="N2" s="293" t="s">
        <v>23</v>
      </c>
      <c r="O2" s="294"/>
      <c r="P2" s="295" t="s">
        <v>11</v>
      </c>
    </row>
    <row r="3" spans="1:16" x14ac:dyDescent="0.25">
      <c r="A3" s="296"/>
      <c r="B3" s="296"/>
      <c r="C3" s="296"/>
      <c r="D3" s="296"/>
      <c r="E3" s="296"/>
      <c r="F3" s="296"/>
      <c r="G3" s="22" t="s">
        <v>24</v>
      </c>
      <c r="H3" s="22" t="s">
        <v>25</v>
      </c>
      <c r="I3" s="22" t="s">
        <v>24</v>
      </c>
      <c r="J3" s="22" t="s">
        <v>25</v>
      </c>
      <c r="K3" s="296"/>
      <c r="L3" s="22" t="s">
        <v>24</v>
      </c>
      <c r="M3" s="22" t="s">
        <v>25</v>
      </c>
      <c r="N3" s="22" t="s">
        <v>24</v>
      </c>
      <c r="O3" s="22" t="s">
        <v>25</v>
      </c>
      <c r="P3" s="296"/>
    </row>
    <row r="4" spans="1:16" x14ac:dyDescent="0.25">
      <c r="A4" s="20"/>
      <c r="B4" s="20"/>
      <c r="C4" s="20"/>
      <c r="D4" s="20"/>
      <c r="E4" s="20"/>
      <c r="F4" s="20"/>
      <c r="G4" s="20"/>
      <c r="H4" s="20"/>
      <c r="I4" s="20"/>
      <c r="J4" s="20"/>
      <c r="K4" s="20"/>
      <c r="L4" s="20"/>
      <c r="M4" s="20"/>
      <c r="N4" s="20"/>
      <c r="O4" s="20"/>
      <c r="P4" s="20"/>
    </row>
    <row r="5" spans="1:16" x14ac:dyDescent="0.25">
      <c r="A5" s="20"/>
      <c r="B5" s="20"/>
      <c r="C5" s="20"/>
      <c r="D5" s="20"/>
      <c r="E5" s="20"/>
      <c r="F5" s="20"/>
      <c r="G5" s="20"/>
      <c r="H5" s="20"/>
      <c r="I5" s="20"/>
      <c r="J5" s="20"/>
      <c r="K5" s="20"/>
      <c r="L5" s="20"/>
      <c r="M5" s="20"/>
      <c r="N5" s="20"/>
      <c r="O5" s="20"/>
      <c r="P5" s="20"/>
    </row>
    <row r="6" spans="1:16" x14ac:dyDescent="0.25">
      <c r="A6" s="20"/>
      <c r="B6" s="20"/>
      <c r="C6" s="20"/>
      <c r="D6" s="20"/>
      <c r="E6" s="20"/>
      <c r="F6" s="20"/>
      <c r="G6" s="20"/>
      <c r="H6" s="20"/>
      <c r="I6" s="20"/>
      <c r="J6" s="20"/>
      <c r="K6" s="20"/>
      <c r="L6" s="20"/>
      <c r="M6" s="20"/>
      <c r="N6" s="20"/>
      <c r="O6" s="20"/>
      <c r="P6" s="20"/>
    </row>
    <row r="7" spans="1:16" x14ac:dyDescent="0.25">
      <c r="A7" s="20"/>
      <c r="B7" s="20"/>
      <c r="C7" s="20"/>
      <c r="D7" s="20"/>
      <c r="E7" s="20"/>
      <c r="F7" s="20"/>
      <c r="G7" s="20"/>
      <c r="H7" s="20"/>
      <c r="I7" s="20"/>
      <c r="J7" s="20"/>
      <c r="K7" s="20"/>
      <c r="L7" s="20"/>
      <c r="M7" s="20"/>
      <c r="N7" s="20"/>
      <c r="O7" s="20"/>
      <c r="P7" s="20"/>
    </row>
    <row r="8" spans="1:16" x14ac:dyDescent="0.25">
      <c r="A8" s="20"/>
      <c r="B8" s="20"/>
      <c r="C8" s="20"/>
      <c r="D8" s="20"/>
      <c r="E8" s="20"/>
      <c r="F8" s="20"/>
      <c r="G8" s="20"/>
      <c r="H8" s="20"/>
      <c r="I8" s="20"/>
      <c r="J8" s="20"/>
      <c r="K8" s="20"/>
      <c r="L8" s="20"/>
      <c r="M8" s="20"/>
      <c r="N8" s="20"/>
      <c r="O8" s="20"/>
      <c r="P8" s="20"/>
    </row>
    <row r="9" spans="1:16" x14ac:dyDescent="0.25">
      <c r="A9" s="20"/>
      <c r="B9" s="20"/>
      <c r="C9" s="20"/>
      <c r="D9" s="20"/>
      <c r="E9" s="20"/>
      <c r="F9" s="20"/>
      <c r="G9" s="20"/>
      <c r="H9" s="20"/>
      <c r="I9" s="20"/>
      <c r="J9" s="20"/>
      <c r="K9" s="20"/>
      <c r="L9" s="20"/>
      <c r="M9" s="20"/>
      <c r="N9" s="20"/>
      <c r="O9" s="20"/>
      <c r="P9" s="20"/>
    </row>
    <row r="10" spans="1:16" x14ac:dyDescent="0.25">
      <c r="A10" s="20"/>
      <c r="B10" s="20"/>
      <c r="C10" s="20"/>
      <c r="D10" s="20"/>
      <c r="E10" s="20"/>
      <c r="F10" s="20"/>
      <c r="G10" s="20"/>
      <c r="H10" s="20"/>
      <c r="I10" s="20"/>
      <c r="J10" s="20"/>
      <c r="K10" s="20"/>
      <c r="L10" s="20"/>
      <c r="M10" s="20"/>
      <c r="N10" s="20"/>
      <c r="O10" s="20"/>
      <c r="P10" s="20"/>
    </row>
    <row r="11" spans="1:16" x14ac:dyDescent="0.25">
      <c r="A11" s="20"/>
      <c r="B11" s="20"/>
      <c r="C11" s="20"/>
      <c r="D11" s="20"/>
      <c r="E11" s="20"/>
      <c r="F11" s="20"/>
      <c r="G11" s="20"/>
      <c r="H11" s="20"/>
      <c r="I11" s="20"/>
      <c r="J11" s="20"/>
      <c r="K11" s="20"/>
      <c r="L11" s="20"/>
      <c r="M11" s="20"/>
      <c r="N11" s="20"/>
      <c r="O11" s="20"/>
      <c r="P11" s="20"/>
    </row>
    <row r="12" spans="1:16" x14ac:dyDescent="0.25">
      <c r="A12" s="20"/>
      <c r="B12" s="20"/>
      <c r="C12" s="20"/>
      <c r="D12" s="20"/>
      <c r="E12" s="20"/>
      <c r="F12" s="20"/>
      <c r="G12" s="20"/>
      <c r="H12" s="20"/>
      <c r="I12" s="20"/>
      <c r="J12" s="20"/>
      <c r="K12" s="20"/>
      <c r="L12" s="20"/>
      <c r="M12" s="20"/>
      <c r="N12" s="20"/>
      <c r="O12" s="20"/>
      <c r="P12" s="20"/>
    </row>
    <row r="13" spans="1:16" x14ac:dyDescent="0.25">
      <c r="A13" s="20"/>
      <c r="B13" s="20"/>
      <c r="C13" s="20"/>
      <c r="D13" s="20"/>
      <c r="E13" s="20"/>
      <c r="F13" s="20"/>
      <c r="G13" s="20"/>
      <c r="H13" s="20"/>
      <c r="I13" s="20"/>
      <c r="J13" s="20"/>
      <c r="K13" s="20"/>
      <c r="L13" s="20"/>
      <c r="M13" s="20"/>
      <c r="N13" s="20"/>
      <c r="O13" s="20"/>
      <c r="P13" s="20"/>
    </row>
    <row r="14" spans="1:16" x14ac:dyDescent="0.25">
      <c r="A14" s="20"/>
      <c r="B14" s="20"/>
      <c r="C14" s="20"/>
      <c r="D14" s="20"/>
      <c r="E14" s="20"/>
      <c r="F14" s="20"/>
      <c r="G14" s="20"/>
      <c r="H14" s="20"/>
      <c r="I14" s="20"/>
      <c r="J14" s="20"/>
      <c r="K14" s="20"/>
      <c r="L14" s="20"/>
      <c r="M14" s="20"/>
      <c r="N14" s="20"/>
      <c r="O14" s="20"/>
      <c r="P14" s="20"/>
    </row>
    <row r="15" spans="1:16" x14ac:dyDescent="0.25">
      <c r="A15" s="20"/>
      <c r="B15" s="20"/>
      <c r="C15" s="20"/>
      <c r="D15" s="20"/>
      <c r="E15" s="20"/>
      <c r="F15" s="20"/>
      <c r="G15" s="20"/>
      <c r="H15" s="20"/>
      <c r="I15" s="20"/>
      <c r="J15" s="20"/>
      <c r="K15" s="20"/>
      <c r="L15" s="20"/>
      <c r="M15" s="20"/>
      <c r="N15" s="20"/>
      <c r="O15" s="20"/>
      <c r="P15" s="20"/>
    </row>
    <row r="16" spans="1:16" x14ac:dyDescent="0.25">
      <c r="A16" s="20"/>
      <c r="B16" s="20"/>
      <c r="C16" s="20"/>
      <c r="D16" s="20"/>
      <c r="E16" s="20"/>
      <c r="F16" s="20"/>
      <c r="G16" s="20"/>
      <c r="H16" s="20"/>
      <c r="I16" s="20"/>
      <c r="J16" s="20"/>
      <c r="K16" s="20"/>
      <c r="L16" s="20"/>
      <c r="M16" s="20"/>
      <c r="N16" s="20"/>
      <c r="O16" s="20"/>
      <c r="P16" s="20"/>
    </row>
    <row r="17" spans="1:16" x14ac:dyDescent="0.25">
      <c r="A17" s="20"/>
      <c r="B17" s="20"/>
      <c r="C17" s="20"/>
      <c r="D17" s="20"/>
      <c r="E17" s="20"/>
      <c r="F17" s="20"/>
      <c r="G17" s="20"/>
      <c r="H17" s="20"/>
      <c r="I17" s="20"/>
      <c r="J17" s="20"/>
      <c r="K17" s="20"/>
      <c r="L17" s="20"/>
      <c r="M17" s="20"/>
      <c r="N17" s="20"/>
      <c r="O17" s="20"/>
      <c r="P17" s="20"/>
    </row>
    <row r="18" spans="1:16" x14ac:dyDescent="0.25">
      <c r="A18" s="20"/>
      <c r="B18" s="20"/>
      <c r="C18" s="20"/>
      <c r="D18" s="20"/>
      <c r="E18" s="20"/>
      <c r="F18" s="20"/>
      <c r="G18" s="20"/>
      <c r="H18" s="20"/>
      <c r="I18" s="20"/>
      <c r="J18" s="20"/>
      <c r="K18" s="20"/>
      <c r="L18" s="20"/>
      <c r="M18" s="20"/>
      <c r="N18" s="20"/>
      <c r="O18" s="20"/>
      <c r="P18" s="20"/>
    </row>
    <row r="19" spans="1:16" x14ac:dyDescent="0.25">
      <c r="A19" s="20"/>
      <c r="B19" s="20"/>
      <c r="C19" s="20"/>
      <c r="D19" s="20"/>
      <c r="E19" s="20"/>
      <c r="F19" s="20"/>
      <c r="G19" s="20"/>
      <c r="H19" s="20"/>
      <c r="I19" s="20"/>
      <c r="J19" s="20"/>
      <c r="K19" s="20"/>
      <c r="L19" s="20"/>
      <c r="M19" s="20"/>
      <c r="N19" s="20"/>
      <c r="O19" s="20"/>
      <c r="P19" s="20"/>
    </row>
    <row r="20" spans="1:16" x14ac:dyDescent="0.25">
      <c r="A20" s="20"/>
      <c r="B20" s="20"/>
      <c r="C20" s="20"/>
      <c r="D20" s="20"/>
      <c r="E20" s="20"/>
      <c r="F20" s="20"/>
      <c r="G20" s="20"/>
      <c r="H20" s="20"/>
      <c r="I20" s="20"/>
      <c r="J20" s="20"/>
      <c r="K20" s="20"/>
      <c r="L20" s="20"/>
      <c r="M20" s="20"/>
      <c r="N20" s="20"/>
      <c r="O20" s="20"/>
      <c r="P20" s="20"/>
    </row>
    <row r="21" spans="1:16" x14ac:dyDescent="0.25">
      <c r="A21" s="20"/>
      <c r="B21" s="20"/>
      <c r="C21" s="20"/>
      <c r="D21" s="20"/>
      <c r="E21" s="20"/>
      <c r="F21" s="20"/>
      <c r="G21" s="20"/>
      <c r="H21" s="20"/>
      <c r="I21" s="20"/>
      <c r="J21" s="20"/>
      <c r="K21" s="20"/>
      <c r="L21" s="20"/>
      <c r="M21" s="20"/>
      <c r="N21" s="20"/>
      <c r="O21" s="20"/>
      <c r="P21" s="20"/>
    </row>
    <row r="22" spans="1:16" x14ac:dyDescent="0.25">
      <c r="A22" s="20"/>
      <c r="B22" s="20"/>
      <c r="C22" s="20"/>
      <c r="D22" s="20"/>
      <c r="E22" s="20"/>
      <c r="F22" s="20"/>
      <c r="G22" s="20"/>
      <c r="H22" s="20"/>
      <c r="I22" s="20"/>
      <c r="J22" s="20"/>
      <c r="K22" s="20"/>
      <c r="L22" s="20"/>
      <c r="M22" s="20"/>
      <c r="N22" s="20"/>
      <c r="O22" s="20"/>
      <c r="P22" s="20"/>
    </row>
    <row r="23" spans="1:16" x14ac:dyDescent="0.25">
      <c r="A23" s="20"/>
      <c r="B23" s="20"/>
      <c r="C23" s="20"/>
      <c r="D23" s="20"/>
      <c r="E23" s="20"/>
      <c r="F23" s="20"/>
      <c r="G23" s="20"/>
      <c r="H23" s="20"/>
      <c r="I23" s="20"/>
      <c r="J23" s="20"/>
      <c r="K23" s="20"/>
      <c r="L23" s="20"/>
      <c r="M23" s="20"/>
      <c r="N23" s="20"/>
      <c r="O23" s="20"/>
      <c r="P23" s="20"/>
    </row>
    <row r="24" spans="1:16" x14ac:dyDescent="0.25">
      <c r="A24" s="20"/>
      <c r="B24" s="20"/>
      <c r="C24" s="20"/>
      <c r="D24" s="20"/>
      <c r="E24" s="20"/>
      <c r="F24" s="20"/>
      <c r="G24" s="20"/>
      <c r="H24" s="20"/>
      <c r="I24" s="20"/>
      <c r="J24" s="20"/>
      <c r="K24" s="20"/>
      <c r="L24" s="20"/>
      <c r="M24" s="20"/>
      <c r="N24" s="20"/>
      <c r="O24" s="20"/>
      <c r="P24" s="20"/>
    </row>
    <row r="25" spans="1:16" x14ac:dyDescent="0.25">
      <c r="A25" s="20"/>
      <c r="B25" s="20"/>
      <c r="C25" s="20"/>
      <c r="D25" s="20"/>
      <c r="E25" s="20"/>
      <c r="F25" s="20"/>
      <c r="G25" s="20"/>
      <c r="H25" s="20"/>
      <c r="I25" s="20"/>
      <c r="J25" s="20"/>
      <c r="K25" s="20"/>
      <c r="L25" s="20"/>
      <c r="M25" s="20"/>
      <c r="N25" s="20"/>
      <c r="O25" s="20"/>
      <c r="P25" s="20"/>
    </row>
    <row r="26" spans="1:16" x14ac:dyDescent="0.25">
      <c r="A26" s="20"/>
      <c r="B26" s="20"/>
      <c r="C26" s="20"/>
      <c r="D26" s="20"/>
      <c r="E26" s="20"/>
      <c r="F26" s="20"/>
      <c r="G26" s="20"/>
      <c r="H26" s="20"/>
      <c r="I26" s="20"/>
      <c r="J26" s="20"/>
      <c r="K26" s="20"/>
      <c r="L26" s="20"/>
      <c r="M26" s="20"/>
      <c r="N26" s="20"/>
      <c r="O26" s="20"/>
      <c r="P26" s="20"/>
    </row>
    <row r="27" spans="1:16" x14ac:dyDescent="0.25">
      <c r="A27" s="20"/>
      <c r="B27" s="20"/>
      <c r="C27" s="20"/>
      <c r="D27" s="20"/>
      <c r="E27" s="20"/>
      <c r="F27" s="20"/>
      <c r="G27" s="20"/>
      <c r="H27" s="20"/>
      <c r="I27" s="20"/>
      <c r="J27" s="20"/>
      <c r="K27" s="20"/>
      <c r="L27" s="20"/>
      <c r="M27" s="20"/>
      <c r="N27" s="20"/>
      <c r="O27" s="20"/>
      <c r="P27" s="20"/>
    </row>
    <row r="28" spans="1:16" x14ac:dyDescent="0.25">
      <c r="A28" s="20"/>
      <c r="B28" s="20"/>
      <c r="C28" s="20"/>
      <c r="D28" s="20"/>
      <c r="E28" s="20"/>
      <c r="F28" s="20"/>
      <c r="G28" s="20"/>
      <c r="H28" s="20"/>
      <c r="I28" s="20"/>
      <c r="J28" s="20"/>
      <c r="K28" s="20"/>
      <c r="L28" s="20"/>
      <c r="M28" s="20"/>
      <c r="N28" s="20"/>
      <c r="O28" s="20"/>
      <c r="P28" s="20"/>
    </row>
    <row r="29" spans="1:16" x14ac:dyDescent="0.25">
      <c r="A29" s="20"/>
      <c r="B29" s="20"/>
      <c r="C29" s="20"/>
      <c r="D29" s="20"/>
      <c r="E29" s="20"/>
      <c r="F29" s="20"/>
      <c r="G29" s="20"/>
      <c r="H29" s="20"/>
      <c r="I29" s="20"/>
      <c r="J29" s="20"/>
      <c r="K29" s="20"/>
      <c r="L29" s="20"/>
      <c r="M29" s="20"/>
      <c r="N29" s="20"/>
      <c r="O29" s="20"/>
      <c r="P29" s="20"/>
    </row>
    <row r="30" spans="1:16" x14ac:dyDescent="0.25">
      <c r="A30" s="20"/>
      <c r="B30" s="20"/>
      <c r="C30" s="20"/>
      <c r="D30" s="20"/>
      <c r="E30" s="20"/>
      <c r="F30" s="20"/>
      <c r="G30" s="20"/>
      <c r="H30" s="20"/>
      <c r="I30" s="20"/>
      <c r="J30" s="20"/>
      <c r="K30" s="20"/>
      <c r="L30" s="20"/>
      <c r="M30" s="20"/>
      <c r="N30" s="20"/>
      <c r="O30" s="20"/>
      <c r="P30" s="20"/>
    </row>
  </sheetData>
  <mergeCells count="12">
    <mergeCell ref="P2:P3"/>
    <mergeCell ref="A2:A3"/>
    <mergeCell ref="B2:B3"/>
    <mergeCell ref="C2:C3"/>
    <mergeCell ref="D2:D3"/>
    <mergeCell ref="E2:E3"/>
    <mergeCell ref="F2:F3"/>
    <mergeCell ref="G2:H2"/>
    <mergeCell ref="I2:J2"/>
    <mergeCell ref="K2:K3"/>
    <mergeCell ref="L2:M2"/>
    <mergeCell ref="N2:O2"/>
  </mergeCells>
  <printOptions horizontalCentered="1" verticalCentered="1"/>
  <pageMargins left="0.70866141732283472" right="0.70866141732283472" top="0.74803149606299213" bottom="0.74803149606299213" header="0.31496062992125984" footer="0.31496062992125984"/>
  <pageSetup paperSize="9" scale="77" orientation="landscape" r:id="rId1"/>
  <headerFooter>
    <oddHeader>&amp;L&amp;"ABB Logo,Plain"&amp;26&amp;KFF0000ABB&amp;R&amp;D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249977111117893"/>
  </sheetPr>
  <dimension ref="A1:I40"/>
  <sheetViews>
    <sheetView view="pageLayout" topLeftCell="A9"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col min="8"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11</v>
      </c>
      <c r="C4" s="266"/>
      <c r="D4" s="266"/>
      <c r="E4" s="264"/>
      <c r="F4" s="27"/>
      <c r="G4" s="31"/>
    </row>
    <row r="5" spans="1:7" x14ac:dyDescent="0.25">
      <c r="A5" s="267" t="s">
        <v>947</v>
      </c>
      <c r="B5" s="266">
        <v>2</v>
      </c>
      <c r="C5" s="266"/>
      <c r="D5" s="266"/>
      <c r="E5" s="264"/>
      <c r="F5" s="27"/>
      <c r="G5" s="31"/>
    </row>
    <row r="6" spans="1:7" x14ac:dyDescent="0.25">
      <c r="A6" s="29" t="s">
        <v>28</v>
      </c>
      <c r="B6" s="262" t="s">
        <v>0</v>
      </c>
      <c r="C6" s="262"/>
      <c r="D6" s="262"/>
      <c r="E6" s="263"/>
      <c r="F6" s="147"/>
    </row>
    <row r="7" spans="1:7" x14ac:dyDescent="0.25">
      <c r="A7" s="29" t="s">
        <v>29</v>
      </c>
      <c r="B7" s="301" t="s">
        <v>1011</v>
      </c>
      <c r="C7" s="301"/>
      <c r="D7" s="301"/>
      <c r="E7" s="302"/>
      <c r="F7" s="30"/>
      <c r="G7" s="30"/>
    </row>
    <row r="8" spans="1:7" x14ac:dyDescent="0.25">
      <c r="A8" s="29" t="s">
        <v>30</v>
      </c>
      <c r="B8" s="260">
        <v>1746089</v>
      </c>
      <c r="C8" s="260"/>
      <c r="D8" s="260"/>
      <c r="E8" s="261"/>
    </row>
    <row r="9" spans="1:7" x14ac:dyDescent="0.25">
      <c r="A9" s="29" t="s">
        <v>31</v>
      </c>
      <c r="B9" s="301" t="s">
        <v>1012</v>
      </c>
      <c r="C9" s="301"/>
      <c r="D9" s="301"/>
      <c r="E9" s="302"/>
      <c r="F9" s="27"/>
    </row>
    <row r="10" spans="1:7" x14ac:dyDescent="0.25">
      <c r="A10" s="29" t="s">
        <v>32</v>
      </c>
      <c r="B10" s="301" t="s">
        <v>1013</v>
      </c>
      <c r="C10" s="301"/>
      <c r="D10" s="301"/>
      <c r="E10" s="302"/>
      <c r="F10" s="27"/>
    </row>
    <row r="11" spans="1:7" x14ac:dyDescent="0.25">
      <c r="A11" s="29" t="s">
        <v>33</v>
      </c>
      <c r="B11" s="262">
        <v>1</v>
      </c>
      <c r="C11" s="262"/>
      <c r="D11" s="262"/>
      <c r="E11" s="263"/>
      <c r="F11" s="27"/>
    </row>
    <row r="12" spans="1:7" x14ac:dyDescent="0.25">
      <c r="A12" s="29" t="s">
        <v>965</v>
      </c>
      <c r="B12" s="30" t="s">
        <v>512</v>
      </c>
      <c r="C12" s="30"/>
      <c r="D12" s="305" t="str">
        <f>'CM Pito MIS Data'!B31</f>
        <v>WPS/TORBAR/316/01</v>
      </c>
      <c r="E12" s="306"/>
      <c r="F12" s="27"/>
    </row>
    <row r="13" spans="1:7" x14ac:dyDescent="0.25">
      <c r="A13" s="34"/>
      <c r="B13" s="35" t="s">
        <v>967</v>
      </c>
      <c r="C13" s="27"/>
      <c r="D13" s="353" t="s">
        <v>986</v>
      </c>
      <c r="E13" s="306"/>
      <c r="F13" s="27"/>
    </row>
    <row r="14" spans="1:7" x14ac:dyDescent="0.25">
      <c r="A14" s="29" t="s">
        <v>34</v>
      </c>
      <c r="B14" s="27">
        <v>20</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c r="C17" s="27" t="e">
        <f>CM_TorbarModel</f>
        <v>#N/A</v>
      </c>
      <c r="D17" s="147" t="s">
        <v>41</v>
      </c>
      <c r="E17" s="40" t="str">
        <f>IF(CM_PIPEID&lt;=120,"4 holes",IF(CM_PIPEID&gt;=1200,"8 holes","6 holes"))</f>
        <v>4 holes</v>
      </c>
      <c r="F17" s="27"/>
    </row>
    <row r="18" spans="1:7" ht="15" x14ac:dyDescent="0.25">
      <c r="A18" s="29" t="s">
        <v>42</v>
      </c>
      <c r="B18" s="41">
        <v>40.9</v>
      </c>
      <c r="C18" s="27"/>
      <c r="D18" s="147" t="s">
        <v>43</v>
      </c>
      <c r="E18" s="40" t="e">
        <f>CM_NL_lookup</f>
        <v>#N/A</v>
      </c>
      <c r="F18" s="27"/>
      <c r="G18" s="28"/>
    </row>
    <row r="19" spans="1:7" ht="15" x14ac:dyDescent="0.25">
      <c r="A19" s="29" t="s">
        <v>44</v>
      </c>
      <c r="B19" s="41">
        <v>3.68</v>
      </c>
      <c r="C19" s="27"/>
      <c r="D19" s="147" t="s">
        <v>45</v>
      </c>
      <c r="E19" s="40" t="e">
        <f>CM_EC_lookup</f>
        <v>#N/A</v>
      </c>
      <c r="G19" s="28"/>
    </row>
    <row r="20" spans="1:7" ht="15" x14ac:dyDescent="0.25">
      <c r="A20" s="29" t="s">
        <v>46</v>
      </c>
      <c r="B20" s="41" t="s">
        <v>404</v>
      </c>
      <c r="C20" s="27"/>
      <c r="D20" s="147" t="s">
        <v>405</v>
      </c>
      <c r="E20" s="40" t="e">
        <f>CM_GT_lookup</f>
        <v>#N/A</v>
      </c>
      <c r="G20" s="28"/>
    </row>
    <row r="21" spans="1:7" ht="15" x14ac:dyDescent="0.25">
      <c r="A21" s="29"/>
      <c r="B21" s="41"/>
      <c r="C21" s="27"/>
      <c r="D21" s="147" t="s">
        <v>50</v>
      </c>
      <c r="E21" s="40" t="e">
        <f>CM_FS_lookup</f>
        <v>#N/A</v>
      </c>
      <c r="G21" s="28"/>
    </row>
    <row r="22" spans="1:7" ht="15" x14ac:dyDescent="0.25">
      <c r="A22" s="29"/>
      <c r="B22" s="41"/>
      <c r="C22" s="27"/>
      <c r="D22" s="147" t="s">
        <v>54</v>
      </c>
      <c r="E22" s="40" t="e">
        <f>CM_ES_lookup</f>
        <v>#N/A</v>
      </c>
      <c r="G22" s="28"/>
    </row>
    <row r="23" spans="1:7" x14ac:dyDescent="0.25">
      <c r="A23" s="34"/>
      <c r="B23" s="27"/>
      <c r="C23" s="27"/>
      <c r="D23" s="27"/>
      <c r="E23" s="33"/>
      <c r="G23" s="28"/>
    </row>
    <row r="24" spans="1:7" ht="15" x14ac:dyDescent="0.25">
      <c r="A24" s="43" t="s">
        <v>55</v>
      </c>
      <c r="B24" s="44"/>
      <c r="C24" s="44"/>
      <c r="D24" s="45" t="s">
        <v>56</v>
      </c>
      <c r="E24" s="46"/>
      <c r="G24" s="28"/>
    </row>
    <row r="25" spans="1:7" ht="15" x14ac:dyDescent="0.25">
      <c r="A25" s="47" t="s">
        <v>57</v>
      </c>
      <c r="B25" s="48" t="e">
        <f>IF(CM_ES_select="N",CM_MIS_PipeID+CM_MIS_WallThickness+CM_NL+CM_FS+CM_GT+-CM_EC,CM_MIS_PipeID+CM_MIS_WallThickness+CM_NL+CM_FS+CM_GT-CM_EC+(CM_WALLT+E22))</f>
        <v>#N/A</v>
      </c>
      <c r="C25" s="48"/>
      <c r="D25" s="48" t="s">
        <v>58</v>
      </c>
      <c r="E25" s="49" t="e">
        <f>IF(CM_FS_select="Y",CM_NL+CM_GT+CM_FS+CM_WALLT,"N/A")</f>
        <v>#N/A</v>
      </c>
      <c r="G25" s="28"/>
    </row>
    <row r="26" spans="1:7" ht="15" x14ac:dyDescent="0.25">
      <c r="A26" s="47" t="s">
        <v>59</v>
      </c>
      <c r="B26" s="48" t="e">
        <f>CM_A_Length-CM_I_dim+CM_EC</f>
        <v>#N/A</v>
      </c>
      <c r="C26" s="48"/>
      <c r="D26" s="48" t="s">
        <v>60</v>
      </c>
      <c r="E26" s="49" t="e">
        <f>IF(CM_ES_select="Y",CM_ES_Length+CM_WALLT,"N/A")</f>
        <v>#N/A</v>
      </c>
      <c r="G26" s="28"/>
    </row>
    <row r="27" spans="1:7" ht="15" x14ac:dyDescent="0.25">
      <c r="A27" s="47" t="s">
        <v>61</v>
      </c>
      <c r="B27" s="48" t="e">
        <f>IF(CM_NRT_select="Y","N/A",CM_J_Length+10)</f>
        <v>#N/A</v>
      </c>
      <c r="C27" s="48"/>
      <c r="D27" s="48" t="s">
        <v>62</v>
      </c>
      <c r="E27" s="49" t="e">
        <f>IF(CM_FS_select="Y",CM_A_Length-CM_NL,"N/A")</f>
        <v>#N/A</v>
      </c>
      <c r="G27" s="28"/>
    </row>
    <row r="28" spans="1:7" ht="15" x14ac:dyDescent="0.25">
      <c r="A28" s="47"/>
      <c r="B28" s="48"/>
      <c r="C28" s="48"/>
      <c r="D28" s="48"/>
      <c r="E28" s="40"/>
      <c r="G28" s="28"/>
    </row>
    <row r="29" spans="1:7" ht="15" x14ac:dyDescent="0.25">
      <c r="A29" s="50" t="s">
        <v>63</v>
      </c>
      <c r="B29" s="48"/>
      <c r="C29" s="48"/>
      <c r="D29" s="51" t="s">
        <v>64</v>
      </c>
      <c r="E29" s="40"/>
      <c r="G29" s="28"/>
    </row>
    <row r="30" spans="1:7" ht="15" x14ac:dyDescent="0.25">
      <c r="A30" s="47" t="s">
        <v>65</v>
      </c>
      <c r="B30" s="52" t="e">
        <f>IF(CM_NRT_select="Y",CM_Fin_TW+10,"N/A")</f>
        <v>#N/A</v>
      </c>
      <c r="C30" s="48"/>
      <c r="D30" s="48" t="s">
        <v>66</v>
      </c>
      <c r="E30" s="49" t="e">
        <f>(CM_PIPEID*'CM Pito MIS Data'!B$7)+IF(CM_ES_select="Y",CM_WALLT+E22,0)-CM_EC</f>
        <v>#N/A</v>
      </c>
      <c r="G30" s="28"/>
    </row>
    <row r="31" spans="1:7" ht="15" x14ac:dyDescent="0.25">
      <c r="A31" s="47" t="s">
        <v>67</v>
      </c>
      <c r="B31" s="52" t="e">
        <f>IF(CM_NRT_select="Y",(CM_A_Length-CM_AverageNRT-240),"N/A")</f>
        <v>#N/A</v>
      </c>
      <c r="C31" s="48"/>
      <c r="D31" s="48" t="s">
        <v>68</v>
      </c>
      <c r="E31" s="49" t="e">
        <f>(CM_PIPEID*'CM Pito MIS Data'!C$7)+IF(CM_ES_select="Y",CM_WALLT+CM_ES_Length,0)-CM_EC</f>
        <v>#N/A</v>
      </c>
      <c r="G31" s="28"/>
    </row>
    <row r="32" spans="1:7" ht="15" x14ac:dyDescent="0.25">
      <c r="A32" s="47" t="s">
        <v>69</v>
      </c>
      <c r="B32" s="52" t="e">
        <f>IF(CM_NRT_select="Y",CM_Fin_TW+135,"N/A")</f>
        <v>#N/A</v>
      </c>
      <c r="C32" s="48"/>
      <c r="D32" s="48" t="s">
        <v>70</v>
      </c>
      <c r="E32" s="49" t="e">
        <f>(CM_PIPEID*'CM Pito MIS Data'!D$7)+IF(CM_ES_select="Y",CM_WALLT+CM_ES_Length,0)-CM_EC</f>
        <v>#N/A</v>
      </c>
    </row>
    <row r="33" spans="1:9" ht="15" x14ac:dyDescent="0.25">
      <c r="A33" s="53"/>
      <c r="B33" s="48"/>
      <c r="C33" s="48"/>
      <c r="D33" s="48" t="s">
        <v>406</v>
      </c>
      <c r="E33" s="49" t="e">
        <f>(CM_PIPEID*'CM Pito MIS Data'!E$7)+IF(CM_ES_select="Y",CM_WALLT+CM_ES_Length,0)-CM_EC</f>
        <v>#N/A</v>
      </c>
    </row>
    <row r="34" spans="1:9" ht="15" x14ac:dyDescent="0.25">
      <c r="A34" s="50"/>
      <c r="B34" s="48"/>
      <c r="C34" s="48"/>
      <c r="D34" s="48" t="s">
        <v>72</v>
      </c>
      <c r="E34" s="49" t="str">
        <f>IF('CM Pito MIS Data'!F$7=0,"N/A",(CM_PIPEID*'CM Pito MIS Data'!F$7)+IF(CM_ES_select="Y",CM_WALLT+CM_ES_Length,0)-CM_EC)</f>
        <v>N/A</v>
      </c>
    </row>
    <row r="35" spans="1:9" ht="15" x14ac:dyDescent="0.25">
      <c r="A35" s="47"/>
      <c r="B35" s="48"/>
      <c r="C35" s="48"/>
      <c r="D35" s="48" t="s">
        <v>73</v>
      </c>
      <c r="E35" s="49" t="str">
        <f>IF('CM Pito MIS Data'!G$7=0,"N/A",(CM_PIPEID*'CM Pito MIS Data'!G$7)+IF(CM_ES_select="Y",CM_WALLT+CM_ES_Length,0)-CM_EC)</f>
        <v>N/A</v>
      </c>
    </row>
    <row r="36" spans="1:9" ht="15" x14ac:dyDescent="0.25">
      <c r="A36" s="47"/>
      <c r="B36" s="48"/>
      <c r="C36" s="48"/>
      <c r="D36" s="48" t="s">
        <v>74</v>
      </c>
      <c r="E36" s="49" t="str">
        <f>IF('CM Pito MIS Data'!H$7=0,"N/A",(CM_PIPEID*'CM Pito MIS Data'!H$7)+IF(CM_ES_select="Y",CM_WALLT+CM_ES_Length,0)-CM_EC)</f>
        <v>N/A</v>
      </c>
    </row>
    <row r="37" spans="1:9" ht="15" x14ac:dyDescent="0.25">
      <c r="A37" s="47"/>
      <c r="B37" s="48"/>
      <c r="C37" s="48"/>
      <c r="D37" s="48" t="s">
        <v>75</v>
      </c>
      <c r="E37" s="49" t="str">
        <f>IF('CM Pito MIS Data'!I$7=0,"N/A",(CM_PIPEID*'CM Pito MIS Data'!I$7)+IF(CM_ES_select="Y",CM_WALLT+CM_ES_Length,0)-CM_EC)</f>
        <v>N/A</v>
      </c>
      <c r="H37" s="27"/>
      <c r="I37" s="27"/>
    </row>
    <row r="38" spans="1:9" ht="15" x14ac:dyDescent="0.25">
      <c r="A38" s="47"/>
      <c r="B38" s="48"/>
      <c r="C38" s="48"/>
      <c r="D38" s="48" t="s">
        <v>76</v>
      </c>
      <c r="E38" s="49" t="e">
        <f>(CM_PIPEID*'CM Pito MIS Data'!A$7)+IF(CM_ES_select="Y",CM_WALLT+CM_ES_Length,0)-CM_EC</f>
        <v>#N/A</v>
      </c>
    </row>
    <row r="39" spans="1:9" ht="15" x14ac:dyDescent="0.25">
      <c r="A39" s="54"/>
      <c r="B39" s="55"/>
      <c r="C39" s="55"/>
      <c r="D39" s="55"/>
      <c r="E39" s="56"/>
    </row>
    <row r="40" spans="1:9" x14ac:dyDescent="0.25">
      <c r="A40" s="27"/>
      <c r="B40" s="27"/>
      <c r="C40" s="27"/>
      <c r="D40" s="27"/>
      <c r="E40" s="27"/>
      <c r="F40" s="27"/>
      <c r="G40" s="28"/>
    </row>
  </sheetData>
  <mergeCells count="5">
    <mergeCell ref="D13:E13"/>
    <mergeCell ref="B7:E7"/>
    <mergeCell ref="B9:E9"/>
    <mergeCell ref="B10:E10"/>
    <mergeCell ref="D12:E12"/>
  </mergeCells>
  <dataValidations count="1">
    <dataValidation type="list" allowBlank="1" showInputMessage="1" showErrorMessage="1" sqref="B17" xr:uid="{00000000-0002-0000-0800-000000000000}">
      <formula1>CM_Model_list</formula1>
    </dataValidation>
  </dataValidations>
  <printOptions horizontalCentered="1" verticalCentered="1"/>
  <pageMargins left="0.70866141732283472" right="0.70866141732283472" top="1.1811023622047245" bottom="0.74803149606299213" header="0.31496062992125984" footer="0.31496062992125984"/>
  <pageSetup paperSize="9" orientation="portrait" r:id="rId1"/>
  <headerFooter>
    <oddHeader>&amp;L&amp;"ABB Logo,Plain"&amp;26&amp;KFF0000ABB&amp;C&amp;"Calibri,Regular"&amp;22Torbar MIS Sheet&amp;R&amp;D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249977111117893"/>
  </sheetPr>
  <dimension ref="A1:J54"/>
  <sheetViews>
    <sheetView view="pageLayout" topLeftCell="A7" zoomScale="110" zoomScaleNormal="100" zoomScalePageLayoutView="110" workbookViewId="0">
      <selection activeCell="O24" sqref="O24"/>
    </sheetView>
  </sheetViews>
  <sheetFormatPr defaultColWidth="9.140625" defaultRowHeight="12.75" x14ac:dyDescent="0.2"/>
  <cols>
    <col min="1" max="10" width="9.42578125" style="75" customWidth="1"/>
    <col min="11" max="16384" width="9.140625" style="75"/>
  </cols>
  <sheetData>
    <row r="1" spans="1:10" x14ac:dyDescent="0.2">
      <c r="A1" s="354" t="s">
        <v>1014</v>
      </c>
      <c r="B1" s="355"/>
      <c r="C1" s="355"/>
      <c r="D1" s="355"/>
      <c r="E1" s="355"/>
      <c r="F1" s="355"/>
      <c r="G1" s="355"/>
      <c r="H1" s="355"/>
      <c r="I1" s="355"/>
      <c r="J1" s="356"/>
    </row>
    <row r="2" spans="1:10" x14ac:dyDescent="0.2">
      <c r="A2" s="328" t="s">
        <v>78</v>
      </c>
      <c r="B2" s="328"/>
      <c r="C2" s="328"/>
      <c r="D2" s="328" t="s">
        <v>79</v>
      </c>
      <c r="E2" s="328"/>
      <c r="F2" s="328"/>
      <c r="G2" s="328" t="s">
        <v>80</v>
      </c>
      <c r="H2" s="328"/>
      <c r="I2" s="328"/>
      <c r="J2" s="328"/>
    </row>
    <row r="3" spans="1:10" ht="14.25" customHeight="1" x14ac:dyDescent="0.2">
      <c r="A3" s="332" t="str">
        <f>CustomerName</f>
        <v>OurNameTest</v>
      </c>
      <c r="B3" s="332"/>
      <c r="C3" s="332"/>
      <c r="D3" s="332">
        <f>PurchaseOrderNumber</f>
        <v>450125487</v>
      </c>
      <c r="E3" s="332"/>
      <c r="F3" s="332"/>
      <c r="G3" s="332" t="s">
        <v>1009</v>
      </c>
      <c r="H3" s="332"/>
      <c r="I3" s="332"/>
      <c r="J3" s="332"/>
    </row>
    <row r="4" spans="1:10" ht="12.75" customHeight="1" x14ac:dyDescent="0.2">
      <c r="A4" s="328" t="s">
        <v>81</v>
      </c>
      <c r="B4" s="328"/>
      <c r="C4" s="328"/>
      <c r="D4" s="328" t="s">
        <v>82</v>
      </c>
      <c r="E4" s="328"/>
      <c r="F4" s="328"/>
      <c r="G4" s="328" t="s">
        <v>83</v>
      </c>
      <c r="H4" s="328"/>
      <c r="I4" s="328"/>
      <c r="J4" s="328"/>
    </row>
    <row r="5" spans="1:10" ht="12.75" customHeight="1" x14ac:dyDescent="0.2">
      <c r="A5" s="332">
        <f>SalesOrderNumber</f>
        <v>1002</v>
      </c>
      <c r="B5" s="332"/>
      <c r="C5" s="332"/>
      <c r="D5" s="332">
        <v>11</v>
      </c>
      <c r="E5" s="332"/>
      <c r="F5" s="332"/>
      <c r="G5" s="332" t="s">
        <v>1010</v>
      </c>
      <c r="H5" s="332"/>
      <c r="I5" s="332"/>
      <c r="J5" s="332"/>
    </row>
    <row r="6" spans="1:10" ht="12.75" customHeight="1" x14ac:dyDescent="0.2">
      <c r="A6" s="328" t="s">
        <v>84</v>
      </c>
      <c r="B6" s="328"/>
      <c r="C6" s="328"/>
      <c r="D6" s="328" t="s">
        <v>85</v>
      </c>
      <c r="E6" s="328"/>
      <c r="F6" s="328"/>
      <c r="G6" s="328" t="s">
        <v>86</v>
      </c>
      <c r="H6" s="328"/>
      <c r="I6" s="328"/>
      <c r="J6" s="328"/>
    </row>
    <row r="7" spans="1:10" ht="12.75" customHeight="1" x14ac:dyDescent="0.2">
      <c r="A7" s="148" t="s">
        <v>87</v>
      </c>
      <c r="B7" s="148">
        <v>3.1602000000000001</v>
      </c>
      <c r="C7" s="148" t="s">
        <v>88</v>
      </c>
      <c r="D7" s="334" t="s">
        <v>89</v>
      </c>
      <c r="E7" s="334"/>
      <c r="F7" s="334"/>
      <c r="G7" s="334" t="s">
        <v>1015</v>
      </c>
      <c r="H7" s="334"/>
      <c r="I7" s="334" t="s">
        <v>384</v>
      </c>
      <c r="J7" s="334"/>
    </row>
    <row r="8" spans="1:10" ht="12.75" customHeight="1" x14ac:dyDescent="0.2">
      <c r="A8" s="328" t="s">
        <v>408</v>
      </c>
      <c r="B8" s="328"/>
      <c r="C8" s="328"/>
      <c r="D8" s="328"/>
      <c r="E8" s="328"/>
      <c r="F8" s="328" t="s">
        <v>92</v>
      </c>
      <c r="G8" s="328"/>
      <c r="H8" s="328"/>
      <c r="I8" s="328"/>
      <c r="J8" s="328"/>
    </row>
    <row r="9" spans="1:10" ht="12.75" customHeight="1" x14ac:dyDescent="0.2">
      <c r="A9" s="332" t="s">
        <v>1013</v>
      </c>
      <c r="B9" s="332"/>
      <c r="C9" s="332"/>
      <c r="D9" s="332"/>
      <c r="E9" s="332"/>
      <c r="F9" s="332"/>
      <c r="G9" s="332"/>
      <c r="H9" s="332"/>
      <c r="I9" s="332"/>
      <c r="J9" s="332"/>
    </row>
    <row r="10" spans="1:10" ht="21" customHeight="1" x14ac:dyDescent="0.2">
      <c r="A10" s="325" t="s">
        <v>918</v>
      </c>
      <c r="B10" s="325"/>
      <c r="C10" s="325"/>
      <c r="D10" s="325"/>
      <c r="E10" s="325"/>
      <c r="F10" s="325"/>
      <c r="G10" s="325"/>
      <c r="H10" s="325"/>
      <c r="I10" s="325"/>
      <c r="J10" s="325"/>
    </row>
    <row r="11" spans="1:10" ht="18" customHeight="1" x14ac:dyDescent="0.2">
      <c r="A11" s="333" t="s">
        <v>94</v>
      </c>
      <c r="B11" s="333"/>
      <c r="C11" s="333"/>
      <c r="D11" s="333"/>
      <c r="E11" s="333" t="s">
        <v>95</v>
      </c>
      <c r="F11" s="333"/>
      <c r="G11" s="333"/>
      <c r="H11" s="333"/>
      <c r="I11" s="333"/>
      <c r="J11" s="333"/>
    </row>
    <row r="12" spans="1:10" ht="15" customHeight="1" x14ac:dyDescent="0.2">
      <c r="A12" s="318" t="s">
        <v>96</v>
      </c>
      <c r="B12" s="319"/>
      <c r="C12" s="319"/>
      <c r="D12" s="319"/>
      <c r="E12" s="320" t="s">
        <v>97</v>
      </c>
      <c r="F12" s="321"/>
      <c r="G12" s="322"/>
      <c r="H12" s="323"/>
      <c r="I12" s="324"/>
      <c r="J12" s="324"/>
    </row>
    <row r="13" spans="1:10" ht="15" customHeight="1" x14ac:dyDescent="0.2">
      <c r="A13" s="318" t="s">
        <v>98</v>
      </c>
      <c r="B13" s="319"/>
      <c r="C13" s="319"/>
      <c r="D13" s="319"/>
      <c r="E13" s="320" t="s">
        <v>99</v>
      </c>
      <c r="F13" s="321"/>
      <c r="G13" s="322"/>
      <c r="H13" s="323"/>
      <c r="I13" s="324"/>
      <c r="J13" s="324"/>
    </row>
    <row r="14" spans="1:10" ht="15" customHeight="1" x14ac:dyDescent="0.2">
      <c r="A14" s="318" t="s">
        <v>100</v>
      </c>
      <c r="B14" s="319"/>
      <c r="C14" s="319"/>
      <c r="D14" s="319"/>
      <c r="E14" s="320" t="s">
        <v>101</v>
      </c>
      <c r="F14" s="321"/>
      <c r="G14" s="322"/>
      <c r="H14" s="323"/>
      <c r="I14" s="324"/>
      <c r="J14" s="324"/>
    </row>
    <row r="15" spans="1:10" ht="15" customHeight="1" x14ac:dyDescent="0.2">
      <c r="A15" s="318" t="s">
        <v>102</v>
      </c>
      <c r="B15" s="319"/>
      <c r="C15" s="319"/>
      <c r="D15" s="319"/>
      <c r="E15" s="320" t="s">
        <v>88</v>
      </c>
      <c r="F15" s="321"/>
      <c r="G15" s="322"/>
      <c r="H15" s="323"/>
      <c r="I15" s="324"/>
      <c r="J15" s="324"/>
    </row>
    <row r="16" spans="1:10" ht="15" customHeight="1" x14ac:dyDescent="0.2">
      <c r="A16" s="318" t="s">
        <v>103</v>
      </c>
      <c r="B16" s="319"/>
      <c r="C16" s="319"/>
      <c r="D16" s="319"/>
      <c r="E16" s="320">
        <v>0</v>
      </c>
      <c r="F16" s="321"/>
      <c r="G16" s="322"/>
      <c r="H16" s="323"/>
      <c r="I16" s="324"/>
      <c r="J16" s="324"/>
    </row>
    <row r="17" spans="1:10" ht="15" customHeight="1" x14ac:dyDescent="0.2">
      <c r="A17" s="318" t="s">
        <v>104</v>
      </c>
      <c r="B17" s="319"/>
      <c r="C17" s="319"/>
      <c r="D17" s="319"/>
      <c r="E17" s="320">
        <v>7.9099000000000004</v>
      </c>
      <c r="F17" s="321"/>
      <c r="G17" s="322"/>
      <c r="H17" s="323"/>
      <c r="I17" s="324"/>
      <c r="J17" s="324"/>
    </row>
    <row r="18" spans="1:10" ht="15" customHeight="1" x14ac:dyDescent="0.2">
      <c r="A18" s="318" t="s">
        <v>105</v>
      </c>
      <c r="B18" s="319"/>
      <c r="C18" s="319"/>
      <c r="D18" s="319"/>
      <c r="E18" s="320" t="s">
        <v>106</v>
      </c>
      <c r="F18" s="321"/>
      <c r="G18" s="322"/>
      <c r="H18" s="323"/>
      <c r="I18" s="324"/>
      <c r="J18" s="324"/>
    </row>
    <row r="19" spans="1:10" ht="15" customHeight="1" x14ac:dyDescent="0.2">
      <c r="A19" s="318" t="s">
        <v>107</v>
      </c>
      <c r="B19" s="319"/>
      <c r="C19" s="319"/>
      <c r="D19" s="319"/>
      <c r="E19" s="320" t="s">
        <v>108</v>
      </c>
      <c r="F19" s="321"/>
      <c r="G19" s="322"/>
      <c r="H19" s="323"/>
      <c r="I19" s="324"/>
      <c r="J19" s="324"/>
    </row>
    <row r="20" spans="1:10" ht="15" customHeight="1" x14ac:dyDescent="0.2">
      <c r="A20" s="318" t="s">
        <v>109</v>
      </c>
      <c r="B20" s="319"/>
      <c r="C20" s="319"/>
      <c r="D20" s="319"/>
      <c r="E20" s="320" t="s">
        <v>279</v>
      </c>
      <c r="F20" s="321"/>
      <c r="G20" s="322"/>
      <c r="H20" s="323"/>
      <c r="I20" s="324"/>
      <c r="J20" s="324"/>
    </row>
    <row r="21" spans="1:10" ht="15" customHeight="1" x14ac:dyDescent="0.2">
      <c r="A21" s="318" t="s">
        <v>111</v>
      </c>
      <c r="B21" s="319"/>
      <c r="C21" s="319"/>
      <c r="D21" s="319"/>
      <c r="E21" s="320" t="s">
        <v>110</v>
      </c>
      <c r="F21" s="321"/>
      <c r="G21" s="322"/>
      <c r="H21" s="323"/>
      <c r="I21" s="324"/>
      <c r="J21" s="324"/>
    </row>
    <row r="22" spans="1:10" ht="15" customHeight="1" x14ac:dyDescent="0.2">
      <c r="A22" s="318" t="s">
        <v>922</v>
      </c>
      <c r="B22" s="319"/>
      <c r="C22" s="319"/>
      <c r="D22" s="319"/>
      <c r="E22" s="320" t="s">
        <v>923</v>
      </c>
      <c r="F22" s="321"/>
      <c r="G22" s="322"/>
      <c r="H22" s="323"/>
      <c r="I22" s="324"/>
      <c r="J22" s="324"/>
    </row>
    <row r="23" spans="1:10" ht="15" customHeight="1" x14ac:dyDescent="0.2">
      <c r="A23" s="318" t="s">
        <v>113</v>
      </c>
      <c r="B23" s="319"/>
      <c r="C23" s="319"/>
      <c r="D23" s="319"/>
      <c r="E23" s="320" t="s">
        <v>927</v>
      </c>
      <c r="F23" s="321"/>
      <c r="G23" s="322"/>
      <c r="H23" s="323"/>
      <c r="I23" s="324"/>
      <c r="J23" s="324"/>
    </row>
    <row r="24" spans="1:10" ht="15" customHeight="1" x14ac:dyDescent="0.2">
      <c r="A24" s="318" t="s">
        <v>114</v>
      </c>
      <c r="B24" s="319"/>
      <c r="C24" s="319"/>
      <c r="D24" s="319"/>
      <c r="E24" s="320" t="s">
        <v>924</v>
      </c>
      <c r="F24" s="321"/>
      <c r="G24" s="322"/>
      <c r="H24" s="323"/>
      <c r="I24" s="324"/>
      <c r="J24" s="324"/>
    </row>
    <row r="25" spans="1:10" ht="15" customHeight="1" x14ac:dyDescent="0.2">
      <c r="A25" s="318" t="s">
        <v>9</v>
      </c>
      <c r="B25" s="319"/>
      <c r="C25" s="319"/>
      <c r="D25" s="319"/>
      <c r="E25" s="320" t="s">
        <v>920</v>
      </c>
      <c r="F25" s="321"/>
      <c r="G25" s="322"/>
      <c r="H25" s="323"/>
      <c r="I25" s="324"/>
      <c r="J25" s="324"/>
    </row>
    <row r="26" spans="1:10" ht="15" customHeight="1" x14ac:dyDescent="0.2">
      <c r="A26" s="318" t="s">
        <v>115</v>
      </c>
      <c r="B26" s="319"/>
      <c r="C26" s="319"/>
      <c r="D26" s="319"/>
      <c r="E26" s="320" t="s">
        <v>925</v>
      </c>
      <c r="F26" s="321"/>
      <c r="G26" s="322"/>
      <c r="H26" s="323"/>
      <c r="I26" s="324"/>
      <c r="J26" s="324"/>
    </row>
    <row r="27" spans="1:10" ht="15" customHeight="1" x14ac:dyDescent="0.2">
      <c r="A27" s="318" t="s">
        <v>116</v>
      </c>
      <c r="B27" s="319"/>
      <c r="C27" s="319"/>
      <c r="D27" s="319"/>
      <c r="E27" s="320" t="s">
        <v>117</v>
      </c>
      <c r="F27" s="321"/>
      <c r="G27" s="322"/>
      <c r="H27" s="323"/>
      <c r="I27" s="324"/>
      <c r="J27" s="324"/>
    </row>
    <row r="28" spans="1:10" ht="15" customHeight="1" x14ac:dyDescent="0.2">
      <c r="A28" s="318" t="s">
        <v>118</v>
      </c>
      <c r="B28" s="319"/>
      <c r="C28" s="319"/>
      <c r="D28" s="319"/>
      <c r="E28" s="320" t="s">
        <v>926</v>
      </c>
      <c r="F28" s="321"/>
      <c r="G28" s="322"/>
      <c r="H28" s="323"/>
      <c r="I28" s="324"/>
      <c r="J28" s="324"/>
    </row>
    <row r="29" spans="1:10" ht="15" customHeight="1" x14ac:dyDescent="0.2">
      <c r="A29" s="318" t="s">
        <v>119</v>
      </c>
      <c r="B29" s="319"/>
      <c r="C29" s="319"/>
      <c r="D29" s="319"/>
      <c r="E29" s="320">
        <v>66426</v>
      </c>
      <c r="F29" s="321"/>
      <c r="G29" s="322"/>
      <c r="H29" s="323"/>
      <c r="I29" s="324"/>
      <c r="J29" s="324"/>
    </row>
    <row r="30" spans="1:10" ht="15" customHeight="1" x14ac:dyDescent="0.2">
      <c r="A30" s="318" t="s">
        <v>120</v>
      </c>
      <c r="B30" s="319"/>
      <c r="C30" s="319"/>
      <c r="D30" s="319"/>
      <c r="E30" s="320">
        <v>100</v>
      </c>
      <c r="F30" s="321"/>
      <c r="G30" s="322"/>
      <c r="H30" s="323"/>
      <c r="I30" s="324"/>
      <c r="J30" s="324"/>
    </row>
    <row r="31" spans="1:10" ht="15" customHeight="1" x14ac:dyDescent="0.2">
      <c r="A31" s="318" t="s">
        <v>121</v>
      </c>
      <c r="B31" s="319"/>
      <c r="C31" s="319"/>
      <c r="D31" s="319"/>
      <c r="E31" s="327" t="s">
        <v>921</v>
      </c>
      <c r="F31" s="321"/>
      <c r="G31" s="322"/>
      <c r="H31" s="323"/>
      <c r="I31" s="324"/>
      <c r="J31" s="324"/>
    </row>
    <row r="32" spans="1:10" ht="15" customHeight="1" x14ac:dyDescent="0.2">
      <c r="A32" s="318" t="s">
        <v>122</v>
      </c>
      <c r="B32" s="319"/>
      <c r="C32" s="319"/>
      <c r="D32" s="319"/>
      <c r="E32" s="320" t="s">
        <v>921</v>
      </c>
      <c r="F32" s="321"/>
      <c r="G32" s="322"/>
      <c r="H32" s="323"/>
      <c r="I32" s="324"/>
      <c r="J32" s="324"/>
    </row>
    <row r="33" spans="1:10" ht="21" customHeight="1" x14ac:dyDescent="0.2">
      <c r="A33" s="325" t="s">
        <v>409</v>
      </c>
      <c r="B33" s="325"/>
      <c r="C33" s="325"/>
      <c r="D33" s="325"/>
      <c r="E33" s="325"/>
      <c r="F33" s="325"/>
      <c r="G33" s="325"/>
      <c r="H33" s="325"/>
      <c r="I33" s="325"/>
      <c r="J33" s="325"/>
    </row>
    <row r="34" spans="1:10" ht="15" customHeight="1" x14ac:dyDescent="0.2">
      <c r="A34" s="333" t="s">
        <v>94</v>
      </c>
      <c r="B34" s="333"/>
      <c r="C34" s="333"/>
      <c r="D34" s="333"/>
      <c r="E34" s="333" t="s">
        <v>95</v>
      </c>
      <c r="F34" s="333"/>
      <c r="G34" s="333"/>
      <c r="H34" s="333"/>
      <c r="I34" s="333"/>
      <c r="J34" s="333"/>
    </row>
    <row r="35" spans="1:10" ht="15" customHeight="1" x14ac:dyDescent="0.2">
      <c r="A35" s="318" t="s">
        <v>103</v>
      </c>
      <c r="B35" s="319"/>
      <c r="C35" s="319"/>
      <c r="D35" s="319"/>
      <c r="E35" s="320">
        <v>0</v>
      </c>
      <c r="F35" s="321"/>
      <c r="G35" s="322"/>
      <c r="H35" s="323"/>
      <c r="I35" s="324"/>
      <c r="J35" s="324"/>
    </row>
    <row r="36" spans="1:10" ht="15" customHeight="1" x14ac:dyDescent="0.2">
      <c r="A36" s="318" t="s">
        <v>104</v>
      </c>
      <c r="B36" s="319"/>
      <c r="C36" s="319"/>
      <c r="D36" s="319"/>
      <c r="E36" s="320">
        <v>3.1602000000000001</v>
      </c>
      <c r="F36" s="321"/>
      <c r="G36" s="322"/>
      <c r="H36" s="323"/>
      <c r="I36" s="324"/>
      <c r="J36" s="324"/>
    </row>
    <row r="37" spans="1:10" ht="15" customHeight="1" x14ac:dyDescent="0.2">
      <c r="A37" s="318" t="s">
        <v>410</v>
      </c>
      <c r="B37" s="319"/>
      <c r="C37" s="319"/>
      <c r="D37" s="319"/>
      <c r="E37" s="320" t="s">
        <v>88</v>
      </c>
      <c r="F37" s="321"/>
      <c r="G37" s="322"/>
      <c r="H37" s="323"/>
      <c r="I37" s="324"/>
      <c r="J37" s="324"/>
    </row>
    <row r="38" spans="1:10" ht="15" customHeight="1" x14ac:dyDescent="0.2">
      <c r="A38" s="318" t="s">
        <v>411</v>
      </c>
      <c r="B38" s="319"/>
      <c r="C38" s="319"/>
      <c r="D38" s="319"/>
      <c r="E38" s="320">
        <v>0</v>
      </c>
      <c r="F38" s="321"/>
      <c r="G38" s="322"/>
      <c r="H38" s="323"/>
      <c r="I38" s="324"/>
      <c r="J38" s="324"/>
    </row>
    <row r="39" spans="1:10" ht="15" customHeight="1" x14ac:dyDescent="0.2">
      <c r="A39" s="318" t="s">
        <v>412</v>
      </c>
      <c r="B39" s="319"/>
      <c r="C39" s="319"/>
      <c r="D39" s="319"/>
      <c r="E39" s="320" t="str">
        <f>CM_TI_FLOW</f>
        <v>0-20</v>
      </c>
      <c r="F39" s="321"/>
      <c r="G39" s="322"/>
      <c r="H39" s="323"/>
      <c r="I39" s="324"/>
      <c r="J39" s="324"/>
    </row>
    <row r="40" spans="1:10" ht="15" customHeight="1" x14ac:dyDescent="0.2">
      <c r="A40" s="318" t="s">
        <v>413</v>
      </c>
      <c r="B40" s="319"/>
      <c r="C40" s="319"/>
      <c r="D40" s="319"/>
      <c r="E40" s="320" t="str">
        <f>CM_TI_FLOWUNITS</f>
        <v>Nm³/h</v>
      </c>
      <c r="F40" s="321"/>
      <c r="G40" s="322"/>
      <c r="H40" s="323"/>
      <c r="I40" s="324"/>
      <c r="J40" s="324"/>
    </row>
    <row r="42" spans="1:10" ht="36.75" customHeight="1" x14ac:dyDescent="0.2">
      <c r="A42" s="307" t="s">
        <v>123</v>
      </c>
      <c r="B42" s="308"/>
      <c r="C42" s="308"/>
      <c r="D42" s="308"/>
      <c r="E42" s="308"/>
      <c r="F42" s="308"/>
      <c r="G42" s="308"/>
      <c r="H42" s="308"/>
      <c r="I42" s="308"/>
      <c r="J42" s="309"/>
    </row>
    <row r="43" spans="1:10" ht="15" customHeight="1" x14ac:dyDescent="0.2">
      <c r="A43" s="78"/>
      <c r="B43" s="78"/>
      <c r="C43" s="78"/>
      <c r="D43" s="78"/>
      <c r="E43" s="78"/>
      <c r="F43" s="78"/>
      <c r="G43" s="78"/>
      <c r="H43" s="78"/>
      <c r="I43" s="78"/>
      <c r="J43" s="78"/>
    </row>
    <row r="44" spans="1:10" ht="24" customHeight="1" x14ac:dyDescent="0.2">
      <c r="A44" s="310" t="s">
        <v>124</v>
      </c>
      <c r="B44" s="310"/>
      <c r="C44" s="310"/>
      <c r="D44" s="310"/>
      <c r="E44" s="311"/>
      <c r="F44" s="311"/>
      <c r="G44" s="311"/>
      <c r="H44" s="311"/>
      <c r="I44" s="311"/>
      <c r="J44" s="311"/>
    </row>
    <row r="45" spans="1:10" ht="15" customHeight="1" x14ac:dyDescent="0.2">
      <c r="A45" s="149"/>
      <c r="B45" s="149"/>
      <c r="C45" s="149"/>
      <c r="D45" s="149"/>
      <c r="E45" s="80"/>
      <c r="F45" s="80"/>
      <c r="G45" s="80"/>
      <c r="H45" s="80"/>
      <c r="I45" s="80"/>
      <c r="J45" s="80"/>
    </row>
    <row r="46" spans="1:10" x14ac:dyDescent="0.2">
      <c r="A46" s="81" t="s">
        <v>125</v>
      </c>
      <c r="B46" s="82"/>
      <c r="C46" s="82"/>
      <c r="D46" s="83"/>
      <c r="E46" s="81" t="s">
        <v>126</v>
      </c>
      <c r="F46" s="82"/>
      <c r="G46" s="82"/>
      <c r="H46" s="84" t="s">
        <v>127</v>
      </c>
      <c r="I46" s="81" t="s">
        <v>128</v>
      </c>
      <c r="J46" s="84"/>
    </row>
    <row r="47" spans="1:10" x14ac:dyDescent="0.2">
      <c r="A47" s="312"/>
      <c r="B47" s="313"/>
      <c r="C47" s="85"/>
      <c r="D47" s="86"/>
      <c r="E47" s="87"/>
      <c r="F47" s="88"/>
      <c r="G47" s="88"/>
      <c r="H47" s="86"/>
      <c r="I47" s="87"/>
      <c r="J47" s="86"/>
    </row>
    <row r="49" ht="27" customHeight="1" x14ac:dyDescent="0.2"/>
    <row r="53" ht="14.25" customHeight="1" x14ac:dyDescent="0.2"/>
    <row r="54" ht="25.5" customHeight="1" x14ac:dyDescent="0.2"/>
  </sheetData>
  <mergeCells count="114">
    <mergeCell ref="A42:J42"/>
    <mergeCell ref="A44:D44"/>
    <mergeCell ref="E44:J44"/>
    <mergeCell ref="A47:B47"/>
    <mergeCell ref="A39:D39"/>
    <mergeCell ref="E39:G39"/>
    <mergeCell ref="H39:J39"/>
    <mergeCell ref="A40:D40"/>
    <mergeCell ref="E40:G40"/>
    <mergeCell ref="H40:J40"/>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 ref="A6:C6"/>
    <mergeCell ref="D6:F6"/>
    <mergeCell ref="G6:J6"/>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Logo,Plain"&amp;48&amp;KFF0000ABB&amp;R&amp;"Arial,Bold"&amp;18COMPACTMASTER TRANSMITTER
INSTRUCTION</oddHeader>
    <oddFooter>&amp;RPage &amp;P of &amp;N</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249977111117893"/>
  </sheetPr>
  <dimension ref="A1:F42"/>
  <sheetViews>
    <sheetView zoomScaleNormal="100" workbookViewId="0"/>
  </sheetViews>
  <sheetFormatPr defaultRowHeight="15" x14ac:dyDescent="0.25"/>
  <cols>
    <col min="1" max="1" width="12" customWidth="1"/>
    <col min="2" max="2" width="21.140625" bestFit="1" customWidth="1"/>
    <col min="3" max="3" width="21.42578125" bestFit="1" customWidth="1"/>
    <col min="4" max="4" width="23.85546875" bestFit="1" customWidth="1"/>
    <col min="5" max="5" width="35.85546875" bestFit="1" customWidth="1"/>
    <col min="6" max="6" width="9.140625" style="140"/>
  </cols>
  <sheetData>
    <row r="1" spans="1:6" ht="15" customHeight="1" x14ac:dyDescent="0.25">
      <c r="A1" s="139" t="s">
        <v>273</v>
      </c>
      <c r="B1" s="139" t="s">
        <v>414</v>
      </c>
    </row>
    <row r="2" spans="1:6" x14ac:dyDescent="0.25">
      <c r="A2" t="s">
        <v>415</v>
      </c>
      <c r="B2" t="s">
        <v>416</v>
      </c>
    </row>
    <row r="3" spans="1:6" x14ac:dyDescent="0.25">
      <c r="A3" t="s">
        <v>417</v>
      </c>
      <c r="B3" t="s">
        <v>418</v>
      </c>
    </row>
    <row r="4" spans="1:6" x14ac:dyDescent="0.25">
      <c r="A4" t="s">
        <v>419</v>
      </c>
      <c r="B4" t="s">
        <v>108</v>
      </c>
    </row>
    <row r="5" spans="1:6" x14ac:dyDescent="0.25">
      <c r="A5" t="s">
        <v>420</v>
      </c>
      <c r="B5" t="s">
        <v>421</v>
      </c>
    </row>
    <row r="7" spans="1:6" x14ac:dyDescent="0.25">
      <c r="A7" s="139" t="s">
        <v>273</v>
      </c>
      <c r="B7" s="139" t="s">
        <v>274</v>
      </c>
      <c r="C7" s="139" t="s">
        <v>275</v>
      </c>
      <c r="D7" s="139" t="s">
        <v>109</v>
      </c>
      <c r="E7" s="139" t="s">
        <v>111</v>
      </c>
    </row>
    <row r="8" spans="1:6" x14ac:dyDescent="0.25">
      <c r="A8" t="s">
        <v>415</v>
      </c>
      <c r="B8" t="s">
        <v>422</v>
      </c>
      <c r="C8" t="s">
        <v>423</v>
      </c>
      <c r="D8" t="s">
        <v>279</v>
      </c>
      <c r="E8" t="s">
        <v>110</v>
      </c>
      <c r="F8" s="140" t="s">
        <v>280</v>
      </c>
    </row>
    <row r="9" spans="1:6" x14ac:dyDescent="0.25">
      <c r="A9" t="s">
        <v>415</v>
      </c>
      <c r="B9" t="s">
        <v>422</v>
      </c>
      <c r="C9" t="s">
        <v>424</v>
      </c>
      <c r="D9" t="s">
        <v>110</v>
      </c>
      <c r="E9" t="s">
        <v>110</v>
      </c>
    </row>
    <row r="10" spans="1:6" x14ac:dyDescent="0.25">
      <c r="A10" t="s">
        <v>417</v>
      </c>
      <c r="B10" t="s">
        <v>277</v>
      </c>
      <c r="C10" t="s">
        <v>245</v>
      </c>
      <c r="D10" t="s">
        <v>110</v>
      </c>
      <c r="E10" t="s">
        <v>110</v>
      </c>
    </row>
    <row r="11" spans="1:6" x14ac:dyDescent="0.25">
      <c r="A11" t="s">
        <v>417</v>
      </c>
      <c r="B11" t="s">
        <v>277</v>
      </c>
      <c r="C11" t="s">
        <v>425</v>
      </c>
      <c r="D11" t="s">
        <v>110</v>
      </c>
      <c r="E11" t="s">
        <v>426</v>
      </c>
    </row>
    <row r="12" spans="1:6" x14ac:dyDescent="0.25">
      <c r="A12" t="s">
        <v>419</v>
      </c>
      <c r="B12" t="s">
        <v>277</v>
      </c>
      <c r="C12" t="s">
        <v>278</v>
      </c>
      <c r="D12" t="s">
        <v>279</v>
      </c>
      <c r="E12" t="s">
        <v>110</v>
      </c>
    </row>
    <row r="13" spans="1:6" x14ac:dyDescent="0.25">
      <c r="A13" t="s">
        <v>419</v>
      </c>
      <c r="B13" t="s">
        <v>277</v>
      </c>
      <c r="C13" t="s">
        <v>245</v>
      </c>
      <c r="D13" t="s">
        <v>110</v>
      </c>
      <c r="E13" t="s">
        <v>110</v>
      </c>
    </row>
    <row r="14" spans="1:6" x14ac:dyDescent="0.25">
      <c r="A14" t="s">
        <v>420</v>
      </c>
      <c r="B14" t="s">
        <v>277</v>
      </c>
      <c r="C14" t="s">
        <v>427</v>
      </c>
      <c r="D14" t="s">
        <v>279</v>
      </c>
      <c r="E14" t="s">
        <v>279</v>
      </c>
    </row>
    <row r="15" spans="1:6" x14ac:dyDescent="0.25">
      <c r="A15" t="s">
        <v>420</v>
      </c>
      <c r="B15" t="s">
        <v>277</v>
      </c>
      <c r="C15" t="s">
        <v>428</v>
      </c>
      <c r="D15" t="s">
        <v>279</v>
      </c>
      <c r="E15" t="s">
        <v>110</v>
      </c>
    </row>
    <row r="16" spans="1:6" x14ac:dyDescent="0.25">
      <c r="A16" t="s">
        <v>420</v>
      </c>
      <c r="B16" t="s">
        <v>277</v>
      </c>
      <c r="C16" t="s">
        <v>245</v>
      </c>
      <c r="D16" t="s">
        <v>110</v>
      </c>
      <c r="E16" t="s">
        <v>110</v>
      </c>
    </row>
    <row r="19" spans="1:4" x14ac:dyDescent="0.25">
      <c r="A19" t="s">
        <v>283</v>
      </c>
      <c r="B19" t="s">
        <v>919</v>
      </c>
      <c r="C19" t="s">
        <v>152</v>
      </c>
    </row>
    <row r="21" spans="1:4" x14ac:dyDescent="0.25">
      <c r="A21" s="139" t="s">
        <v>273</v>
      </c>
      <c r="B21" s="139" t="s">
        <v>274</v>
      </c>
      <c r="C21" s="139" t="s">
        <v>275</v>
      </c>
      <c r="D21" s="139" t="s">
        <v>116</v>
      </c>
    </row>
    <row r="22" spans="1:4" x14ac:dyDescent="0.25">
      <c r="A22" t="s">
        <v>415</v>
      </c>
      <c r="B22" t="s">
        <v>429</v>
      </c>
      <c r="C22" t="s">
        <v>430</v>
      </c>
      <c r="D22">
        <v>0.4</v>
      </c>
    </row>
    <row r="23" spans="1:4" x14ac:dyDescent="0.25">
      <c r="A23" t="s">
        <v>415</v>
      </c>
      <c r="B23" t="s">
        <v>429</v>
      </c>
      <c r="C23" t="s">
        <v>431</v>
      </c>
      <c r="D23">
        <v>0.65</v>
      </c>
    </row>
    <row r="24" spans="1:4" x14ac:dyDescent="0.25">
      <c r="A24" t="s">
        <v>417</v>
      </c>
      <c r="B24" t="s">
        <v>432</v>
      </c>
      <c r="C24" t="s">
        <v>433</v>
      </c>
      <c r="D24">
        <v>3.9688715953307393E-3</v>
      </c>
    </row>
    <row r="25" spans="1:4" x14ac:dyDescent="0.25">
      <c r="A25" t="s">
        <v>417</v>
      </c>
      <c r="B25" t="s">
        <v>432</v>
      </c>
      <c r="C25" t="s">
        <v>434</v>
      </c>
      <c r="D25">
        <v>6.9260700389105062E-3</v>
      </c>
    </row>
    <row r="26" spans="1:4" x14ac:dyDescent="0.25">
      <c r="A26" t="s">
        <v>417</v>
      </c>
      <c r="B26" t="s">
        <v>432</v>
      </c>
      <c r="C26" t="s">
        <v>431</v>
      </c>
      <c r="D26">
        <v>1.2840466926070038E-2</v>
      </c>
    </row>
    <row r="27" spans="1:4" x14ac:dyDescent="0.25">
      <c r="A27" t="s">
        <v>417</v>
      </c>
      <c r="B27" t="s">
        <v>432</v>
      </c>
      <c r="C27" t="s">
        <v>435</v>
      </c>
      <c r="D27">
        <v>2.2334630350194555E-2</v>
      </c>
    </row>
    <row r="28" spans="1:4" x14ac:dyDescent="0.25">
      <c r="A28" t="s">
        <v>417</v>
      </c>
      <c r="B28" t="s">
        <v>432</v>
      </c>
      <c r="C28" t="s">
        <v>436</v>
      </c>
      <c r="D28">
        <v>2.9649805447470819E-2</v>
      </c>
    </row>
    <row r="29" spans="1:4" x14ac:dyDescent="0.25">
      <c r="A29" t="s">
        <v>417</v>
      </c>
      <c r="B29" t="s">
        <v>432</v>
      </c>
      <c r="C29" t="s">
        <v>437</v>
      </c>
      <c r="D29">
        <v>3.8754863813229574E-2</v>
      </c>
    </row>
    <row r="30" spans="1:4" x14ac:dyDescent="0.25">
      <c r="A30" t="s">
        <v>417</v>
      </c>
      <c r="B30" t="s">
        <v>432</v>
      </c>
      <c r="C30" t="s">
        <v>438</v>
      </c>
      <c r="D30">
        <v>5.3385214007782102E-2</v>
      </c>
    </row>
    <row r="31" spans="1:4" x14ac:dyDescent="0.25">
      <c r="A31" t="s">
        <v>417</v>
      </c>
      <c r="B31" t="s">
        <v>432</v>
      </c>
      <c r="C31" t="s">
        <v>439</v>
      </c>
      <c r="D31">
        <v>6.7237354085603121E-2</v>
      </c>
    </row>
    <row r="32" spans="1:4" x14ac:dyDescent="0.25">
      <c r="A32" t="s">
        <v>417</v>
      </c>
      <c r="B32" t="s">
        <v>432</v>
      </c>
      <c r="C32" t="s">
        <v>440</v>
      </c>
      <c r="D32">
        <v>9.883268482490272E-2</v>
      </c>
    </row>
    <row r="33" spans="1:4" x14ac:dyDescent="0.25">
      <c r="A33" t="s">
        <v>417</v>
      </c>
      <c r="B33" t="s">
        <v>432</v>
      </c>
      <c r="C33" t="s">
        <v>441</v>
      </c>
      <c r="D33">
        <v>0.12093385214007782</v>
      </c>
    </row>
    <row r="34" spans="1:4" x14ac:dyDescent="0.25">
      <c r="A34" t="s">
        <v>417</v>
      </c>
      <c r="B34" t="s">
        <v>432</v>
      </c>
      <c r="C34" t="s">
        <v>442</v>
      </c>
      <c r="D34">
        <v>0.14529182879377434</v>
      </c>
    </row>
    <row r="35" spans="1:4" x14ac:dyDescent="0.25">
      <c r="A35" t="s">
        <v>417</v>
      </c>
      <c r="B35" t="s">
        <v>432</v>
      </c>
      <c r="C35" t="s">
        <v>443</v>
      </c>
      <c r="D35">
        <v>0.14824902723735409</v>
      </c>
    </row>
    <row r="36" spans="1:4" x14ac:dyDescent="0.25">
      <c r="A36" t="s">
        <v>417</v>
      </c>
      <c r="B36" t="s">
        <v>432</v>
      </c>
      <c r="C36" t="s">
        <v>444</v>
      </c>
      <c r="D36">
        <v>0.18147859922178988</v>
      </c>
    </row>
    <row r="37" spans="1:4" x14ac:dyDescent="0.25">
      <c r="A37" t="s">
        <v>417</v>
      </c>
      <c r="B37" t="s">
        <v>432</v>
      </c>
      <c r="C37" t="s">
        <v>445</v>
      </c>
      <c r="D37">
        <v>0.22280155642023344</v>
      </c>
    </row>
    <row r="38" spans="1:4" x14ac:dyDescent="0.25">
      <c r="A38" t="s">
        <v>419</v>
      </c>
      <c r="D38" t="s">
        <v>117</v>
      </c>
    </row>
    <row r="39" spans="1:4" x14ac:dyDescent="0.25">
      <c r="A39" t="s">
        <v>420</v>
      </c>
      <c r="B39" t="s">
        <v>432</v>
      </c>
      <c r="C39" t="s">
        <v>446</v>
      </c>
      <c r="D39">
        <v>0.37733074342365347</v>
      </c>
    </row>
    <row r="40" spans="1:4" x14ac:dyDescent="0.25">
      <c r="A40" t="s">
        <v>420</v>
      </c>
      <c r="B40" t="s">
        <v>432</v>
      </c>
      <c r="C40" t="s">
        <v>447</v>
      </c>
      <c r="D40">
        <v>0.50231044955718906</v>
      </c>
    </row>
    <row r="41" spans="1:4" x14ac:dyDescent="0.25">
      <c r="A41" t="s">
        <v>420</v>
      </c>
      <c r="B41" t="s">
        <v>432</v>
      </c>
      <c r="C41" t="s">
        <v>425</v>
      </c>
      <c r="D41">
        <v>0.61117103911452719</v>
      </c>
    </row>
    <row r="42" spans="1:4" x14ac:dyDescent="0.25">
      <c r="A42" t="s">
        <v>420</v>
      </c>
      <c r="B42" t="s">
        <v>432</v>
      </c>
      <c r="C42" t="s">
        <v>448</v>
      </c>
      <c r="D42">
        <v>0.70710678118654757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4" tint="-0.249977111117893"/>
  </sheetPr>
  <dimension ref="A1:L46"/>
  <sheetViews>
    <sheetView topLeftCell="A4" workbookViewId="0">
      <selection activeCell="B37" sqref="B37"/>
    </sheetView>
  </sheetViews>
  <sheetFormatPr defaultColWidth="9.140625" defaultRowHeight="12.75" x14ac:dyDescent="0.25"/>
  <cols>
    <col min="1" max="1" width="32.28515625" style="154" bestFit="1" customWidth="1"/>
    <col min="2" max="2" width="21.42578125" style="154" bestFit="1" customWidth="1"/>
    <col min="3" max="3" width="16.28515625" style="154" bestFit="1" customWidth="1"/>
    <col min="4" max="4" width="16.28515625" style="154" customWidth="1"/>
    <col min="5" max="5" width="16.7109375" style="154" bestFit="1" customWidth="1"/>
    <col min="6" max="11" width="13.28515625" style="154" customWidth="1"/>
    <col min="12" max="12" width="15.42578125" style="154" bestFit="1" customWidth="1"/>
    <col min="13" max="13" width="18.5703125" style="154" bestFit="1" customWidth="1"/>
    <col min="14" max="14" width="13.28515625" style="154" customWidth="1"/>
    <col min="15" max="16384" width="9.140625" style="154"/>
  </cols>
  <sheetData>
    <row r="1" spans="1:12" x14ac:dyDescent="0.25">
      <c r="A1" s="150" t="s">
        <v>162</v>
      </c>
      <c r="B1" s="151" t="s">
        <v>66</v>
      </c>
      <c r="C1" s="151" t="s">
        <v>68</v>
      </c>
      <c r="D1" s="151" t="s">
        <v>70</v>
      </c>
      <c r="E1" s="151" t="s">
        <v>71</v>
      </c>
      <c r="F1" s="151" t="s">
        <v>72</v>
      </c>
      <c r="G1" s="151" t="s">
        <v>73</v>
      </c>
      <c r="H1" s="151" t="s">
        <v>74</v>
      </c>
      <c r="I1" s="152" t="s">
        <v>75</v>
      </c>
      <c r="J1" s="153"/>
      <c r="K1" s="30" t="s">
        <v>163</v>
      </c>
      <c r="L1" s="30"/>
    </row>
    <row r="2" spans="1:12" x14ac:dyDescent="0.25">
      <c r="A2" s="155" t="s">
        <v>164</v>
      </c>
      <c r="B2" s="39">
        <v>0.13500000000000001</v>
      </c>
      <c r="C2" s="39">
        <v>0.32</v>
      </c>
      <c r="D2" s="39">
        <v>0.68</v>
      </c>
      <c r="E2" s="39">
        <v>0.86499999999999999</v>
      </c>
      <c r="F2" s="153">
        <v>0</v>
      </c>
      <c r="G2" s="153">
        <v>0</v>
      </c>
      <c r="H2" s="153">
        <v>0</v>
      </c>
      <c r="I2" s="156">
        <v>0</v>
      </c>
      <c r="J2" s="153"/>
      <c r="K2" s="147" t="s">
        <v>165</v>
      </c>
      <c r="L2" s="27" t="e">
        <f>AVERAGE(CM_D_Dim:CM_E_dim)</f>
        <v>#N/A</v>
      </c>
    </row>
    <row r="3" spans="1:12" x14ac:dyDescent="0.25">
      <c r="A3" s="155" t="s">
        <v>166</v>
      </c>
      <c r="B3" s="153">
        <v>3.2000000000000001E-2</v>
      </c>
      <c r="C3" s="153">
        <v>0.13500000000000001</v>
      </c>
      <c r="D3" s="153">
        <v>0.32</v>
      </c>
      <c r="E3" s="153">
        <v>0.68</v>
      </c>
      <c r="F3" s="153">
        <v>0.86499999999999999</v>
      </c>
      <c r="G3" s="153">
        <v>0.96799999999999997</v>
      </c>
      <c r="H3" s="153">
        <v>0</v>
      </c>
      <c r="I3" s="156">
        <v>0</v>
      </c>
      <c r="J3" s="153"/>
      <c r="K3" s="147" t="s">
        <v>167</v>
      </c>
      <c r="L3" s="27" t="e">
        <f>AVERAGE(CM_G_Dim:CM_H_Dim)</f>
        <v>#DIV/0!</v>
      </c>
    </row>
    <row r="4" spans="1:12" x14ac:dyDescent="0.25">
      <c r="A4" s="155" t="s">
        <v>168</v>
      </c>
      <c r="B4" s="153">
        <v>3.4000000000000002E-2</v>
      </c>
      <c r="C4" s="153">
        <v>9.1999999999999998E-2</v>
      </c>
      <c r="D4" s="153">
        <v>0.25</v>
      </c>
      <c r="E4" s="153">
        <v>0.36749999999999999</v>
      </c>
      <c r="F4" s="153">
        <v>0.63249999999999995</v>
      </c>
      <c r="G4" s="153">
        <v>0.75</v>
      </c>
      <c r="H4" s="153">
        <v>0.90800000000000003</v>
      </c>
      <c r="I4" s="156">
        <v>0.96599999999999997</v>
      </c>
      <c r="J4" s="153"/>
      <c r="K4" s="147" t="s">
        <v>169</v>
      </c>
      <c r="L4" s="27" t="e">
        <f>AVERAGE(CM_N_Dim:CM_P_Dim)</f>
        <v>#DIV/0!</v>
      </c>
    </row>
    <row r="5" spans="1:12" x14ac:dyDescent="0.25">
      <c r="A5" s="155"/>
      <c r="B5" s="153"/>
      <c r="C5" s="153"/>
      <c r="D5" s="153"/>
      <c r="E5" s="153"/>
      <c r="F5" s="153"/>
      <c r="G5" s="153"/>
      <c r="H5" s="153"/>
      <c r="I5" s="156"/>
      <c r="K5" s="147" t="s">
        <v>170</v>
      </c>
      <c r="L5" s="27" t="e">
        <f>VLOOKUP('CM MIS Sheet'!E17,K2:L4,2,0)</f>
        <v>#N/A</v>
      </c>
    </row>
    <row r="6" spans="1:12" x14ac:dyDescent="0.25">
      <c r="A6" s="155" t="s">
        <v>76</v>
      </c>
      <c r="B6" s="153" t="s">
        <v>66</v>
      </c>
      <c r="C6" s="153" t="s">
        <v>68</v>
      </c>
      <c r="D6" s="153" t="s">
        <v>70</v>
      </c>
      <c r="E6" s="153" t="s">
        <v>71</v>
      </c>
      <c r="F6" s="153" t="s">
        <v>72</v>
      </c>
      <c r="G6" s="153" t="s">
        <v>73</v>
      </c>
      <c r="H6" s="153" t="s">
        <v>74</v>
      </c>
      <c r="I6" s="156" t="s">
        <v>75</v>
      </c>
    </row>
    <row r="7" spans="1:12" x14ac:dyDescent="0.25">
      <c r="A7" s="157">
        <v>0.5</v>
      </c>
      <c r="B7" s="158">
        <f>VLOOKUP('CM MIS Sheet'!$E$17,$A$2:$I$4,2,0)</f>
        <v>0.13500000000000001</v>
      </c>
      <c r="C7" s="158">
        <f>VLOOKUP('CM MIS Sheet'!$E$17,$A$2:$I$4,3,0)</f>
        <v>0.32</v>
      </c>
      <c r="D7" s="158">
        <f>VLOOKUP('CM MIS Sheet'!$E$17,$A$2:$I$4,4,0)</f>
        <v>0.68</v>
      </c>
      <c r="E7" s="158">
        <f>VLOOKUP('CM MIS Sheet'!$E$17,$A$2:$I$4,5,0)</f>
        <v>0.86499999999999999</v>
      </c>
      <c r="F7" s="158">
        <f>VLOOKUP('CM MIS Sheet'!$E$17,$A$2:$I$4,6,0)</f>
        <v>0</v>
      </c>
      <c r="G7" s="158">
        <f>VLOOKUP('CM MIS Sheet'!$E$17,$A$2:$I$4,7,0)</f>
        <v>0</v>
      </c>
      <c r="H7" s="158">
        <f>VLOOKUP('CM MIS Sheet'!$E$17,$A$2:$I$4,8,0)</f>
        <v>0</v>
      </c>
      <c r="I7" s="159">
        <f>VLOOKUP('CM MIS Sheet'!$E$17,$A$2:$I$4,9,0)</f>
        <v>0</v>
      </c>
    </row>
    <row r="8" spans="1:12" x14ac:dyDescent="0.25">
      <c r="A8" s="153"/>
      <c r="B8" s="153"/>
      <c r="C8" s="153"/>
      <c r="D8" s="153"/>
      <c r="E8" s="153"/>
      <c r="F8" s="153"/>
      <c r="G8" s="153"/>
      <c r="H8" s="153"/>
      <c r="I8" s="153"/>
      <c r="J8" s="153"/>
      <c r="K8" s="153"/>
    </row>
    <row r="9" spans="1:12" x14ac:dyDescent="0.25">
      <c r="A9" s="153"/>
      <c r="B9" s="153"/>
      <c r="C9" s="153"/>
      <c r="D9" s="153"/>
      <c r="E9" s="153"/>
      <c r="F9" s="153"/>
      <c r="G9" s="153"/>
      <c r="H9" s="153"/>
      <c r="I9" s="153"/>
      <c r="J9" s="153"/>
      <c r="K9" s="153"/>
    </row>
    <row r="10" spans="1:12" x14ac:dyDescent="0.25">
      <c r="A10" s="153"/>
      <c r="B10" s="153"/>
      <c r="C10" s="153"/>
      <c r="D10" s="153"/>
      <c r="E10" s="153"/>
      <c r="F10" s="153"/>
      <c r="G10" s="153"/>
      <c r="H10" s="153"/>
      <c r="I10" s="153"/>
      <c r="J10" s="153"/>
      <c r="K10" s="153"/>
    </row>
    <row r="11" spans="1:12" x14ac:dyDescent="0.25">
      <c r="A11" s="160" t="s">
        <v>449</v>
      </c>
      <c r="B11" s="161" t="s">
        <v>450</v>
      </c>
      <c r="C11" s="161" t="s">
        <v>43</v>
      </c>
      <c r="D11" s="161" t="s">
        <v>45</v>
      </c>
      <c r="E11" s="161" t="s">
        <v>174</v>
      </c>
      <c r="F11" s="161" t="s">
        <v>175</v>
      </c>
      <c r="G11" s="161" t="s">
        <v>451</v>
      </c>
      <c r="H11" s="161" t="s">
        <v>174</v>
      </c>
      <c r="I11" s="161" t="s">
        <v>176</v>
      </c>
      <c r="J11" s="162" t="s">
        <v>177</v>
      </c>
      <c r="K11" s="39" t="s">
        <v>452</v>
      </c>
      <c r="L11" s="39" t="s">
        <v>49</v>
      </c>
    </row>
    <row r="12" spans="1:12" x14ac:dyDescent="0.25">
      <c r="A12" s="163" t="s">
        <v>453</v>
      </c>
      <c r="B12" s="39" t="s">
        <v>117</v>
      </c>
      <c r="C12" s="39">
        <v>150</v>
      </c>
      <c r="D12" s="39">
        <v>1.5</v>
      </c>
      <c r="E12" s="39">
        <v>0</v>
      </c>
      <c r="F12" s="39" t="s">
        <v>74</v>
      </c>
      <c r="G12" s="39" t="s">
        <v>74</v>
      </c>
      <c r="H12" s="39" t="s">
        <v>74</v>
      </c>
      <c r="I12" s="39">
        <v>4</v>
      </c>
      <c r="J12" s="164">
        <v>401</v>
      </c>
      <c r="K12" s="39">
        <v>0</v>
      </c>
      <c r="L12" s="39">
        <v>0</v>
      </c>
    </row>
    <row r="13" spans="1:12" x14ac:dyDescent="0.25">
      <c r="A13" s="163" t="s">
        <v>454</v>
      </c>
      <c r="B13" s="39" t="s">
        <v>117</v>
      </c>
      <c r="C13" s="39">
        <v>150</v>
      </c>
      <c r="D13" s="39">
        <v>1.5</v>
      </c>
      <c r="E13" s="39">
        <v>20</v>
      </c>
      <c r="F13" s="39" t="s">
        <v>74</v>
      </c>
      <c r="G13" s="39" t="s">
        <v>74</v>
      </c>
      <c r="H13" s="39" t="s">
        <v>183</v>
      </c>
      <c r="I13" s="39">
        <v>4</v>
      </c>
      <c r="J13" s="164">
        <v>402</v>
      </c>
      <c r="K13" s="154">
        <v>0</v>
      </c>
      <c r="L13" s="154">
        <v>0</v>
      </c>
    </row>
    <row r="14" spans="1:12" x14ac:dyDescent="0.25">
      <c r="A14" s="163" t="s">
        <v>403</v>
      </c>
      <c r="B14" s="39" t="s">
        <v>455</v>
      </c>
      <c r="C14" s="39">
        <v>340</v>
      </c>
      <c r="D14" s="39">
        <v>1.5</v>
      </c>
      <c r="E14" s="39">
        <v>0</v>
      </c>
      <c r="F14" s="39" t="s">
        <v>183</v>
      </c>
      <c r="G14" s="39" t="s">
        <v>74</v>
      </c>
      <c r="H14" s="39" t="s">
        <v>74</v>
      </c>
      <c r="I14" s="39">
        <v>4</v>
      </c>
      <c r="J14" s="164" t="s">
        <v>456</v>
      </c>
      <c r="K14" s="39">
        <v>0</v>
      </c>
      <c r="L14" s="39">
        <v>0</v>
      </c>
    </row>
    <row r="15" spans="1:12" x14ac:dyDescent="0.25">
      <c r="A15" s="163" t="s">
        <v>457</v>
      </c>
      <c r="B15" s="39" t="s">
        <v>455</v>
      </c>
      <c r="C15" s="39">
        <v>340</v>
      </c>
      <c r="D15" s="39">
        <v>1.5</v>
      </c>
      <c r="E15" s="39">
        <v>20</v>
      </c>
      <c r="F15" s="39" t="s">
        <v>183</v>
      </c>
      <c r="G15" s="39" t="s">
        <v>74</v>
      </c>
      <c r="H15" s="39" t="s">
        <v>183</v>
      </c>
      <c r="I15" s="39">
        <v>4</v>
      </c>
      <c r="J15" s="164" t="s">
        <v>458</v>
      </c>
      <c r="K15" s="154">
        <v>0</v>
      </c>
      <c r="L15" s="154">
        <v>0</v>
      </c>
    </row>
    <row r="16" spans="1:12" x14ac:dyDescent="0.25">
      <c r="A16" s="163" t="s">
        <v>179</v>
      </c>
      <c r="B16" s="39" t="s">
        <v>117</v>
      </c>
      <c r="C16" s="39">
        <v>120</v>
      </c>
      <c r="D16" s="39">
        <v>1.5</v>
      </c>
      <c r="E16" s="39">
        <v>0</v>
      </c>
      <c r="F16" s="39" t="s">
        <v>74</v>
      </c>
      <c r="G16" s="39" t="s">
        <v>183</v>
      </c>
      <c r="H16" s="39" t="s">
        <v>74</v>
      </c>
      <c r="I16" s="39">
        <v>4</v>
      </c>
      <c r="J16" s="164">
        <v>411</v>
      </c>
      <c r="K16" s="39">
        <f>VLOOKUP(CM_MIS_FlangeSize,'CM Pito MIS Data'!$D$23:$E$27,2,0)</f>
        <v>0</v>
      </c>
      <c r="L16" s="39">
        <v>1.5</v>
      </c>
    </row>
    <row r="17" spans="1:12" x14ac:dyDescent="0.25">
      <c r="A17" s="163" t="s">
        <v>181</v>
      </c>
      <c r="B17" s="39" t="s">
        <v>117</v>
      </c>
      <c r="C17" s="39">
        <v>120</v>
      </c>
      <c r="D17" s="39">
        <v>1.5</v>
      </c>
      <c r="E17" s="39">
        <v>40</v>
      </c>
      <c r="F17" s="39" t="s">
        <v>74</v>
      </c>
      <c r="G17" s="39" t="s">
        <v>183</v>
      </c>
      <c r="H17" s="39" t="s">
        <v>183</v>
      </c>
      <c r="I17" s="39">
        <v>4</v>
      </c>
      <c r="J17" s="164">
        <v>412</v>
      </c>
      <c r="K17" s="39">
        <f>VLOOKUP(CM_MIS_FlangeSize,'CM Pito MIS Data'!$D$23:$E$27,2,0)</f>
        <v>0</v>
      </c>
      <c r="L17" s="39">
        <v>1.5</v>
      </c>
    </row>
    <row r="18" spans="1:12" x14ac:dyDescent="0.25">
      <c r="A18" s="163" t="s">
        <v>459</v>
      </c>
      <c r="B18" s="39" t="s">
        <v>455</v>
      </c>
      <c r="C18" s="39">
        <v>280</v>
      </c>
      <c r="D18" s="39">
        <v>1.5</v>
      </c>
      <c r="E18" s="39">
        <v>0</v>
      </c>
      <c r="F18" s="39" t="s">
        <v>183</v>
      </c>
      <c r="G18" s="39" t="s">
        <v>183</v>
      </c>
      <c r="H18" s="39" t="s">
        <v>74</v>
      </c>
      <c r="I18" s="39">
        <v>4</v>
      </c>
      <c r="J18" s="164" t="s">
        <v>194</v>
      </c>
      <c r="K18" s="39">
        <f>VLOOKUP(CM_MIS_FlangeSize,'CM Pito MIS Data'!$D$23:$E$27,2,0)</f>
        <v>0</v>
      </c>
      <c r="L18" s="39">
        <v>1.5</v>
      </c>
    </row>
    <row r="19" spans="1:12" x14ac:dyDescent="0.25">
      <c r="A19" s="163" t="s">
        <v>460</v>
      </c>
      <c r="B19" s="39" t="s">
        <v>455</v>
      </c>
      <c r="C19" s="39">
        <v>280</v>
      </c>
      <c r="D19" s="39">
        <v>1.5</v>
      </c>
      <c r="E19" s="39">
        <v>40</v>
      </c>
      <c r="F19" s="39" t="s">
        <v>183</v>
      </c>
      <c r="G19" s="39" t="s">
        <v>183</v>
      </c>
      <c r="H19" s="39" t="s">
        <v>183</v>
      </c>
      <c r="I19" s="39">
        <v>4</v>
      </c>
      <c r="J19" s="164" t="s">
        <v>196</v>
      </c>
      <c r="K19" s="39">
        <f>VLOOKUP(CM_MIS_FlangeSize,'CM Pito MIS Data'!$D$23:$E$27,2,0)</f>
        <v>0</v>
      </c>
      <c r="L19" s="39">
        <v>1.5</v>
      </c>
    </row>
    <row r="20" spans="1:12" x14ac:dyDescent="0.25">
      <c r="A20" s="165"/>
      <c r="B20" s="166" t="e">
        <f>VLOOKUP('CM MIS Sheet'!$B$17,A12:I19,2,0)</f>
        <v>#N/A</v>
      </c>
      <c r="C20" s="166" t="e">
        <f>VLOOKUP('CM MIS Sheet'!$B$17,A12:I19,3,0)</f>
        <v>#N/A</v>
      </c>
      <c r="D20" s="166" t="e">
        <f>VLOOKUP('CM MIS Sheet'!$B$17,A12:I19,4,0)</f>
        <v>#N/A</v>
      </c>
      <c r="E20" s="166" t="e">
        <f>VLOOKUP('CM MIS Sheet'!$B$17,A12:I19,5,0)</f>
        <v>#N/A</v>
      </c>
      <c r="F20" s="166" t="e">
        <f>VLOOKUP('CM MIS Sheet'!$B$17,A12:I19,6,0)</f>
        <v>#N/A</v>
      </c>
      <c r="G20" s="166" t="e">
        <f>VLOOKUP('CM MIS Sheet'!$B$17,A12:I19,7,0)</f>
        <v>#N/A</v>
      </c>
      <c r="H20" s="166" t="e">
        <f>VLOOKUP('CM MIS Sheet'!$B$17,A12:I19,8,0)</f>
        <v>#N/A</v>
      </c>
      <c r="I20" s="166" t="e">
        <f>VLOOKUP('CM MIS Sheet'!$B$17,A12:I19,9,0)</f>
        <v>#N/A</v>
      </c>
      <c r="J20" s="159" t="e">
        <f>VLOOKUP('CM MIS Sheet'!$B$17,A12:J19,10,0)</f>
        <v>#N/A</v>
      </c>
      <c r="K20" s="154" t="e">
        <f>VLOOKUP(CM_MIS_ModelType,A12:L19,11,0)</f>
        <v>#N/A</v>
      </c>
      <c r="L20" s="154" t="e">
        <f>VLOOKUP(CM_MIS_ModelType,A12:L19,12,0)</f>
        <v>#N/A</v>
      </c>
    </row>
    <row r="21" spans="1:12" x14ac:dyDescent="0.25">
      <c r="A21" s="39"/>
      <c r="B21" s="39"/>
      <c r="G21" s="39"/>
      <c r="H21" s="39"/>
      <c r="I21" s="39"/>
      <c r="J21" s="153"/>
      <c r="K21" s="153"/>
      <c r="L21" s="153"/>
    </row>
    <row r="23" spans="1:12" ht="15" x14ac:dyDescent="0.25">
      <c r="B23" s="153"/>
      <c r="C23" s="153"/>
      <c r="D23" s="167" t="s">
        <v>404</v>
      </c>
      <c r="E23" s="154">
        <v>0</v>
      </c>
      <c r="F23" s="153"/>
      <c r="G23" s="153"/>
    </row>
    <row r="24" spans="1:12" ht="15" x14ac:dyDescent="0.25">
      <c r="B24" s="153"/>
      <c r="C24" s="153"/>
      <c r="D24" s="167" t="s">
        <v>427</v>
      </c>
      <c r="E24" s="39">
        <v>95</v>
      </c>
      <c r="F24" s="153"/>
      <c r="G24" s="153"/>
    </row>
    <row r="25" spans="1:12" ht="15" x14ac:dyDescent="0.25">
      <c r="B25" s="153"/>
      <c r="C25" s="153"/>
      <c r="D25" s="167" t="s">
        <v>461</v>
      </c>
      <c r="E25" s="39">
        <v>100</v>
      </c>
      <c r="F25" s="153"/>
      <c r="G25" s="153"/>
    </row>
    <row r="26" spans="1:12" ht="15" x14ac:dyDescent="0.25">
      <c r="B26" s="153"/>
      <c r="C26" s="153"/>
      <c r="D26" s="167" t="s">
        <v>462</v>
      </c>
      <c r="E26" s="39">
        <v>78</v>
      </c>
      <c r="F26" s="153"/>
      <c r="G26" s="153"/>
    </row>
    <row r="27" spans="1:12" ht="15" x14ac:dyDescent="0.25">
      <c r="B27" s="153"/>
      <c r="D27" s="167" t="s">
        <v>463</v>
      </c>
      <c r="E27" s="39">
        <v>78</v>
      </c>
    </row>
    <row r="28" spans="1:12" x14ac:dyDescent="0.25">
      <c r="B28" s="153"/>
    </row>
    <row r="29" spans="1:12" ht="15" x14ac:dyDescent="0.25">
      <c r="B29" s="153"/>
      <c r="D29" s="167"/>
    </row>
    <row r="30" spans="1:12" x14ac:dyDescent="0.2">
      <c r="A30" s="281" t="s">
        <v>969</v>
      </c>
      <c r="B30" s="281" t="s">
        <v>968</v>
      </c>
      <c r="C30" s="281" t="s">
        <v>970</v>
      </c>
      <c r="D30" s="168"/>
      <c r="E30" s="169"/>
      <c r="F30" s="169"/>
    </row>
    <row r="31" spans="1:12" x14ac:dyDescent="0.2">
      <c r="B31" s="35" t="s">
        <v>974</v>
      </c>
      <c r="D31" s="28" t="s">
        <v>512</v>
      </c>
      <c r="E31" s="75"/>
      <c r="F31" s="169"/>
    </row>
    <row r="32" spans="1:12" ht="15" customHeight="1" x14ac:dyDescent="0.2">
      <c r="A32" s="154" t="s">
        <v>277</v>
      </c>
      <c r="B32" s="168"/>
      <c r="D32" s="357" t="s">
        <v>967</v>
      </c>
      <c r="F32" s="169"/>
    </row>
    <row r="33" spans="1:6" x14ac:dyDescent="0.2">
      <c r="A33" s="154" t="s">
        <v>245</v>
      </c>
      <c r="B33" s="35" t="s">
        <v>986</v>
      </c>
      <c r="D33" s="357"/>
      <c r="F33" s="169"/>
    </row>
    <row r="34" spans="1:6" x14ac:dyDescent="0.2">
      <c r="A34" s="154" t="s">
        <v>278</v>
      </c>
      <c r="B34" s="35" t="s">
        <v>993</v>
      </c>
      <c r="D34" s="357"/>
      <c r="F34" s="169"/>
    </row>
    <row r="35" spans="1:6" x14ac:dyDescent="0.2">
      <c r="B35" s="168"/>
      <c r="C35" s="168"/>
      <c r="F35" s="169"/>
    </row>
    <row r="36" spans="1:6" x14ac:dyDescent="0.2">
      <c r="A36" s="154" t="s">
        <v>1002</v>
      </c>
      <c r="B36" s="168" t="s">
        <v>1003</v>
      </c>
      <c r="C36" s="168"/>
      <c r="D36" s="168"/>
      <c r="E36" s="169"/>
      <c r="F36" s="169"/>
    </row>
    <row r="37" spans="1:6" x14ac:dyDescent="0.2">
      <c r="B37" s="168"/>
      <c r="C37" s="168"/>
      <c r="D37" s="168"/>
      <c r="E37" s="169"/>
      <c r="F37" s="169"/>
    </row>
    <row r="38" spans="1:6" x14ac:dyDescent="0.2">
      <c r="B38" s="168"/>
      <c r="C38" s="168"/>
      <c r="D38" s="168"/>
      <c r="E38" s="169"/>
      <c r="F38" s="169"/>
    </row>
    <row r="39" spans="1:6" x14ac:dyDescent="0.2">
      <c r="B39" s="168"/>
      <c r="C39" s="168"/>
      <c r="D39" s="168"/>
      <c r="E39" s="169"/>
      <c r="F39" s="169"/>
    </row>
    <row r="40" spans="1:6" x14ac:dyDescent="0.2">
      <c r="B40" s="168"/>
      <c r="C40" s="168"/>
      <c r="D40" s="168"/>
      <c r="E40" s="169"/>
      <c r="F40" s="169"/>
    </row>
    <row r="41" spans="1:6" ht="15" x14ac:dyDescent="0.25">
      <c r="B41" s="141"/>
      <c r="C41" s="75"/>
      <c r="D41" s="75"/>
      <c r="E41" s="169"/>
      <c r="F41" s="169"/>
    </row>
    <row r="42" spans="1:6" x14ac:dyDescent="0.2">
      <c r="B42" s="75"/>
      <c r="C42" s="75"/>
      <c r="D42" s="75"/>
      <c r="E42" s="169"/>
      <c r="F42" s="169"/>
    </row>
    <row r="43" spans="1:6" x14ac:dyDescent="0.2">
      <c r="B43" s="75"/>
      <c r="C43" s="75"/>
      <c r="D43" s="75"/>
      <c r="E43" s="169"/>
      <c r="F43" s="169"/>
    </row>
    <row r="44" spans="1:6" x14ac:dyDescent="0.2">
      <c r="B44" s="75"/>
      <c r="C44" s="75"/>
      <c r="D44" s="75"/>
      <c r="E44" s="169"/>
      <c r="F44" s="169"/>
    </row>
    <row r="45" spans="1:6" x14ac:dyDescent="0.2">
      <c r="B45" s="75"/>
      <c r="C45" s="75"/>
      <c r="D45" s="75"/>
      <c r="E45" s="169"/>
      <c r="F45" s="169"/>
    </row>
    <row r="46" spans="1:6" x14ac:dyDescent="0.2">
      <c r="B46" s="75"/>
      <c r="C46" s="75"/>
      <c r="D46" s="75"/>
      <c r="E46" s="169"/>
      <c r="F46" s="169"/>
    </row>
  </sheetData>
  <mergeCells count="1">
    <mergeCell ref="D32:D3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4" tint="-0.249977111117893"/>
  </sheetPr>
  <dimension ref="A1:N138"/>
  <sheetViews>
    <sheetView workbookViewId="0">
      <selection activeCell="C24" sqref="C24"/>
    </sheetView>
  </sheetViews>
  <sheetFormatPr defaultColWidth="9.140625" defaultRowHeight="15" x14ac:dyDescent="0.25"/>
  <cols>
    <col min="1" max="1" width="10" style="170" customWidth="1"/>
    <col min="2" max="2" width="20.28515625" style="170" bestFit="1" customWidth="1"/>
    <col min="3" max="3" width="10.42578125" style="170" bestFit="1" customWidth="1"/>
    <col min="4" max="4" width="20.28515625" style="170" bestFit="1" customWidth="1"/>
    <col min="5" max="5" width="10.85546875" style="170" bestFit="1" customWidth="1"/>
    <col min="6" max="6" width="16.140625" style="170" bestFit="1" customWidth="1"/>
    <col min="7" max="7" width="12.140625" style="170" bestFit="1" customWidth="1"/>
    <col min="8" max="8" width="7.7109375" style="170" bestFit="1" customWidth="1"/>
    <col min="9" max="9" width="12.85546875" style="170" bestFit="1" customWidth="1"/>
    <col min="10" max="11" width="9.140625" style="170"/>
    <col min="12" max="12" width="20.42578125" style="170" bestFit="1" customWidth="1"/>
    <col min="13" max="13" width="9.140625" style="170"/>
    <col min="14" max="14" width="96.140625" style="170" bestFit="1" customWidth="1"/>
    <col min="15" max="16384" width="9.140625" style="170"/>
  </cols>
  <sheetData>
    <row r="1" spans="1:9" x14ac:dyDescent="0.25">
      <c r="C1" s="171" t="s">
        <v>464</v>
      </c>
      <c r="D1" s="171"/>
      <c r="E1" s="171" t="s">
        <v>46</v>
      </c>
      <c r="F1" s="167" t="s">
        <v>465</v>
      </c>
      <c r="G1" s="172" t="s">
        <v>466</v>
      </c>
      <c r="H1" s="172" t="s">
        <v>213</v>
      </c>
      <c r="I1" s="172" t="s">
        <v>23</v>
      </c>
    </row>
    <row r="2" spans="1:9" x14ac:dyDescent="0.25">
      <c r="A2" s="170" t="s">
        <v>417</v>
      </c>
      <c r="B2" s="170" t="s">
        <v>467</v>
      </c>
      <c r="C2" s="173" t="s">
        <v>468</v>
      </c>
      <c r="D2" s="167" t="s">
        <v>469</v>
      </c>
      <c r="E2" s="167" t="s">
        <v>404</v>
      </c>
      <c r="F2" s="172">
        <v>206.84</v>
      </c>
      <c r="G2" s="172">
        <v>149</v>
      </c>
      <c r="H2" s="167" t="s">
        <v>218</v>
      </c>
      <c r="I2" s="172">
        <v>309</v>
      </c>
    </row>
    <row r="3" spans="1:9" x14ac:dyDescent="0.25">
      <c r="A3" s="170" t="s">
        <v>417</v>
      </c>
      <c r="B3" s="170" t="s">
        <v>467</v>
      </c>
      <c r="C3" s="173" t="s">
        <v>470</v>
      </c>
      <c r="D3" s="167" t="s">
        <v>469</v>
      </c>
      <c r="E3" s="167" t="s">
        <v>404</v>
      </c>
      <c r="F3" s="172">
        <v>206.84</v>
      </c>
      <c r="G3" s="172">
        <v>149</v>
      </c>
      <c r="H3" s="167" t="s">
        <v>471</v>
      </c>
      <c r="I3" s="172">
        <v>309</v>
      </c>
    </row>
    <row r="4" spans="1:9" x14ac:dyDescent="0.25">
      <c r="A4" s="170" t="s">
        <v>417</v>
      </c>
      <c r="B4" s="170" t="s">
        <v>467</v>
      </c>
      <c r="C4" s="174" t="s">
        <v>214</v>
      </c>
      <c r="D4" s="167" t="s">
        <v>469</v>
      </c>
      <c r="E4" s="167" t="s">
        <v>404</v>
      </c>
      <c r="F4" s="172">
        <v>105</v>
      </c>
      <c r="G4" s="172">
        <v>149</v>
      </c>
      <c r="H4" s="172" t="s">
        <v>471</v>
      </c>
      <c r="I4" s="172">
        <v>157.5</v>
      </c>
    </row>
    <row r="5" spans="1:9" x14ac:dyDescent="0.25">
      <c r="A5" s="170" t="s">
        <v>417</v>
      </c>
      <c r="B5" s="170" t="s">
        <v>467</v>
      </c>
      <c r="C5" s="173" t="s">
        <v>468</v>
      </c>
      <c r="D5" s="167" t="s">
        <v>469</v>
      </c>
      <c r="E5" s="167" t="s">
        <v>427</v>
      </c>
      <c r="F5" s="167">
        <v>19</v>
      </c>
      <c r="G5" s="172">
        <v>149</v>
      </c>
      <c r="H5" s="172" t="s">
        <v>218</v>
      </c>
      <c r="I5" s="172">
        <v>29</v>
      </c>
    </row>
    <row r="6" spans="1:9" x14ac:dyDescent="0.25">
      <c r="A6" s="170" t="s">
        <v>417</v>
      </c>
      <c r="B6" s="170" t="s">
        <v>467</v>
      </c>
      <c r="C6" s="173" t="s">
        <v>470</v>
      </c>
      <c r="D6" s="167" t="s">
        <v>469</v>
      </c>
      <c r="E6" s="167" t="s">
        <v>427</v>
      </c>
      <c r="F6" s="175">
        <v>19</v>
      </c>
      <c r="G6" s="172">
        <v>149</v>
      </c>
      <c r="H6" s="167" t="s">
        <v>472</v>
      </c>
      <c r="I6" s="172">
        <v>29</v>
      </c>
    </row>
    <row r="7" spans="1:9" x14ac:dyDescent="0.25">
      <c r="A7" s="170" t="s">
        <v>417</v>
      </c>
      <c r="B7" s="170" t="s">
        <v>467</v>
      </c>
      <c r="C7" s="173" t="s">
        <v>214</v>
      </c>
      <c r="D7" s="167" t="s">
        <v>469</v>
      </c>
      <c r="E7" s="167" t="s">
        <v>427</v>
      </c>
      <c r="F7" s="175">
        <v>19</v>
      </c>
      <c r="G7" s="172">
        <v>149</v>
      </c>
      <c r="H7" s="167" t="s">
        <v>472</v>
      </c>
      <c r="I7" s="172">
        <v>29</v>
      </c>
    </row>
    <row r="8" spans="1:9" x14ac:dyDescent="0.25">
      <c r="A8" s="170" t="s">
        <v>417</v>
      </c>
      <c r="B8" s="170" t="s">
        <v>467</v>
      </c>
      <c r="C8" s="173" t="s">
        <v>468</v>
      </c>
      <c r="D8" s="167" t="s">
        <v>469</v>
      </c>
      <c r="E8" s="167" t="s">
        <v>430</v>
      </c>
      <c r="F8" s="167">
        <v>19</v>
      </c>
      <c r="G8" s="172">
        <v>149</v>
      </c>
      <c r="H8" s="172" t="s">
        <v>218</v>
      </c>
      <c r="I8" s="172">
        <v>29</v>
      </c>
    </row>
    <row r="9" spans="1:9" x14ac:dyDescent="0.25">
      <c r="A9" s="170" t="s">
        <v>417</v>
      </c>
      <c r="B9" s="170" t="s">
        <v>467</v>
      </c>
      <c r="C9" s="173" t="s">
        <v>470</v>
      </c>
      <c r="D9" s="167" t="s">
        <v>469</v>
      </c>
      <c r="E9" s="167" t="s">
        <v>430</v>
      </c>
      <c r="F9" s="167">
        <v>19</v>
      </c>
      <c r="G9" s="172">
        <v>149</v>
      </c>
      <c r="H9" s="167" t="s">
        <v>472</v>
      </c>
      <c r="I9" s="172">
        <v>29</v>
      </c>
    </row>
    <row r="10" spans="1:9" x14ac:dyDescent="0.25">
      <c r="A10" s="170" t="s">
        <v>417</v>
      </c>
      <c r="B10" s="170" t="s">
        <v>467</v>
      </c>
      <c r="C10" s="173" t="s">
        <v>214</v>
      </c>
      <c r="D10" s="167" t="s">
        <v>469</v>
      </c>
      <c r="E10" s="167" t="s">
        <v>430</v>
      </c>
      <c r="F10" s="167">
        <v>19</v>
      </c>
      <c r="G10" s="172">
        <v>149</v>
      </c>
      <c r="H10" s="167" t="s">
        <v>472</v>
      </c>
      <c r="I10" s="172">
        <v>29</v>
      </c>
    </row>
    <row r="11" spans="1:9" x14ac:dyDescent="0.25">
      <c r="A11" s="170" t="s">
        <v>417</v>
      </c>
      <c r="B11" s="170" t="s">
        <v>467</v>
      </c>
      <c r="C11" s="173" t="s">
        <v>468</v>
      </c>
      <c r="D11" s="167" t="s">
        <v>469</v>
      </c>
      <c r="E11" s="167" t="s">
        <v>461</v>
      </c>
      <c r="F11" s="167">
        <v>49.6</v>
      </c>
      <c r="G11" s="172">
        <v>149</v>
      </c>
      <c r="H11" s="172" t="s">
        <v>218</v>
      </c>
      <c r="I11" s="172">
        <v>74</v>
      </c>
    </row>
    <row r="12" spans="1:9" x14ac:dyDescent="0.25">
      <c r="A12" s="170" t="s">
        <v>417</v>
      </c>
      <c r="B12" s="170" t="s">
        <v>467</v>
      </c>
      <c r="C12" s="173" t="s">
        <v>470</v>
      </c>
      <c r="D12" s="167" t="s">
        <v>469</v>
      </c>
      <c r="E12" s="167" t="s">
        <v>461</v>
      </c>
      <c r="F12" s="175">
        <v>49.6</v>
      </c>
      <c r="G12" s="172">
        <v>149</v>
      </c>
      <c r="H12" s="172" t="s">
        <v>471</v>
      </c>
      <c r="I12" s="172">
        <v>74</v>
      </c>
    </row>
    <row r="13" spans="1:9" x14ac:dyDescent="0.25">
      <c r="A13" s="170" t="s">
        <v>417</v>
      </c>
      <c r="B13" s="170" t="s">
        <v>467</v>
      </c>
      <c r="C13" s="173" t="s">
        <v>214</v>
      </c>
      <c r="D13" s="167" t="s">
        <v>469</v>
      </c>
      <c r="E13" s="167" t="s">
        <v>461</v>
      </c>
      <c r="F13" s="175">
        <v>49.6</v>
      </c>
      <c r="G13" s="172">
        <v>149</v>
      </c>
      <c r="H13" s="172" t="s">
        <v>471</v>
      </c>
      <c r="I13" s="172">
        <v>74</v>
      </c>
    </row>
    <row r="14" spans="1:9" x14ac:dyDescent="0.25">
      <c r="A14" s="170" t="s">
        <v>417</v>
      </c>
      <c r="B14" s="170" t="s">
        <v>467</v>
      </c>
      <c r="C14" s="173" t="s">
        <v>468</v>
      </c>
      <c r="D14" s="167" t="s">
        <v>469</v>
      </c>
      <c r="E14" s="167" t="s">
        <v>473</v>
      </c>
      <c r="F14" s="167">
        <v>49.6</v>
      </c>
      <c r="G14" s="172">
        <v>149</v>
      </c>
      <c r="H14" s="172" t="s">
        <v>218</v>
      </c>
      <c r="I14" s="172">
        <v>74</v>
      </c>
    </row>
    <row r="15" spans="1:9" x14ac:dyDescent="0.25">
      <c r="A15" s="170" t="s">
        <v>417</v>
      </c>
      <c r="B15" s="170" t="s">
        <v>467</v>
      </c>
      <c r="C15" s="173" t="s">
        <v>470</v>
      </c>
      <c r="D15" s="167" t="s">
        <v>469</v>
      </c>
      <c r="E15" s="167" t="s">
        <v>473</v>
      </c>
      <c r="F15" s="175">
        <v>49.6</v>
      </c>
      <c r="G15" s="172">
        <v>149</v>
      </c>
      <c r="H15" s="172" t="s">
        <v>471</v>
      </c>
      <c r="I15" s="172">
        <v>74</v>
      </c>
    </row>
    <row r="16" spans="1:9" x14ac:dyDescent="0.25">
      <c r="A16" s="170" t="s">
        <v>417</v>
      </c>
      <c r="B16" s="170" t="s">
        <v>467</v>
      </c>
      <c r="C16" s="173" t="s">
        <v>214</v>
      </c>
      <c r="D16" s="167" t="s">
        <v>469</v>
      </c>
      <c r="E16" s="167" t="s">
        <v>473</v>
      </c>
      <c r="F16" s="175">
        <v>49.6</v>
      </c>
      <c r="G16" s="172">
        <v>149</v>
      </c>
      <c r="H16" s="172" t="s">
        <v>471</v>
      </c>
      <c r="I16" s="172">
        <v>74</v>
      </c>
    </row>
    <row r="17" spans="1:9" x14ac:dyDescent="0.25">
      <c r="A17" s="170" t="s">
        <v>417</v>
      </c>
      <c r="B17" s="170" t="s">
        <v>467</v>
      </c>
      <c r="C17" s="173" t="s">
        <v>468</v>
      </c>
      <c r="D17" s="167" t="s">
        <v>469</v>
      </c>
      <c r="E17" s="167" t="s">
        <v>440</v>
      </c>
      <c r="F17" s="172">
        <v>16</v>
      </c>
      <c r="G17" s="172">
        <v>149</v>
      </c>
      <c r="H17" s="172" t="s">
        <v>218</v>
      </c>
      <c r="I17" s="172">
        <v>24</v>
      </c>
    </row>
    <row r="18" spans="1:9" x14ac:dyDescent="0.25">
      <c r="A18" s="170" t="s">
        <v>417</v>
      </c>
      <c r="B18" s="170" t="s">
        <v>467</v>
      </c>
      <c r="C18" s="173" t="s">
        <v>470</v>
      </c>
      <c r="D18" s="167" t="s">
        <v>469</v>
      </c>
      <c r="E18" s="167" t="s">
        <v>440</v>
      </c>
      <c r="F18" s="172">
        <v>16</v>
      </c>
      <c r="G18" s="172">
        <v>149</v>
      </c>
      <c r="H18" s="167" t="s">
        <v>472</v>
      </c>
      <c r="I18" s="172">
        <v>24</v>
      </c>
    </row>
    <row r="19" spans="1:9" x14ac:dyDescent="0.25">
      <c r="A19" s="170" t="s">
        <v>417</v>
      </c>
      <c r="B19" s="170" t="s">
        <v>467</v>
      </c>
      <c r="C19" s="173" t="s">
        <v>214</v>
      </c>
      <c r="D19" s="167" t="s">
        <v>469</v>
      </c>
      <c r="E19" s="167" t="s">
        <v>440</v>
      </c>
      <c r="F19" s="172">
        <v>16</v>
      </c>
      <c r="G19" s="172">
        <v>149</v>
      </c>
      <c r="H19" s="167" t="s">
        <v>472</v>
      </c>
      <c r="I19" s="172">
        <v>24</v>
      </c>
    </row>
    <row r="20" spans="1:9" x14ac:dyDescent="0.25">
      <c r="A20" s="170" t="s">
        <v>417</v>
      </c>
      <c r="B20" s="170" t="s">
        <v>467</v>
      </c>
      <c r="C20" s="173" t="s">
        <v>468</v>
      </c>
      <c r="D20" s="167" t="s">
        <v>469</v>
      </c>
      <c r="E20" s="167" t="s">
        <v>474</v>
      </c>
      <c r="F20" s="172">
        <v>16</v>
      </c>
      <c r="G20" s="172">
        <v>149</v>
      </c>
      <c r="H20" s="172" t="s">
        <v>218</v>
      </c>
      <c r="I20" s="172">
        <v>24</v>
      </c>
    </row>
    <row r="21" spans="1:9" x14ac:dyDescent="0.25">
      <c r="A21" s="170" t="s">
        <v>417</v>
      </c>
      <c r="B21" s="170" t="s">
        <v>467</v>
      </c>
      <c r="C21" s="173" t="s">
        <v>470</v>
      </c>
      <c r="D21" s="167" t="s">
        <v>469</v>
      </c>
      <c r="E21" s="167" t="s">
        <v>474</v>
      </c>
      <c r="F21" s="172">
        <v>16</v>
      </c>
      <c r="G21" s="172">
        <v>149</v>
      </c>
      <c r="H21" s="167" t="s">
        <v>472</v>
      </c>
      <c r="I21" s="172">
        <v>24</v>
      </c>
    </row>
    <row r="22" spans="1:9" x14ac:dyDescent="0.25">
      <c r="A22" s="170" t="s">
        <v>417</v>
      </c>
      <c r="B22" s="170" t="s">
        <v>467</v>
      </c>
      <c r="C22" s="173" t="s">
        <v>214</v>
      </c>
      <c r="D22" s="167" t="s">
        <v>469</v>
      </c>
      <c r="E22" s="167" t="s">
        <v>474</v>
      </c>
      <c r="F22" s="172">
        <v>16</v>
      </c>
      <c r="G22" s="172">
        <v>149</v>
      </c>
      <c r="H22" s="167" t="s">
        <v>472</v>
      </c>
      <c r="I22" s="172">
        <v>24</v>
      </c>
    </row>
    <row r="23" spans="1:9" x14ac:dyDescent="0.25">
      <c r="A23" s="170" t="s">
        <v>417</v>
      </c>
      <c r="B23" s="170" t="s">
        <v>467</v>
      </c>
      <c r="C23" s="173" t="s">
        <v>468</v>
      </c>
      <c r="D23" s="167" t="s">
        <v>469</v>
      </c>
      <c r="E23" s="167" t="s">
        <v>475</v>
      </c>
      <c r="F23" s="172">
        <v>40</v>
      </c>
      <c r="G23" s="172">
        <v>149</v>
      </c>
      <c r="H23" s="172" t="s">
        <v>218</v>
      </c>
      <c r="I23" s="172">
        <f t="shared" ref="I23:I28" si="0">ROUND(F23*1.5,0)</f>
        <v>60</v>
      </c>
    </row>
    <row r="24" spans="1:9" x14ac:dyDescent="0.25">
      <c r="A24" s="170" t="s">
        <v>417</v>
      </c>
      <c r="B24" s="170" t="s">
        <v>467</v>
      </c>
      <c r="C24" s="173" t="s">
        <v>470</v>
      </c>
      <c r="D24" s="167" t="s">
        <v>469</v>
      </c>
      <c r="E24" s="167" t="s">
        <v>475</v>
      </c>
      <c r="F24" s="172">
        <v>40</v>
      </c>
      <c r="G24" s="172">
        <v>149</v>
      </c>
      <c r="H24" s="172" t="s">
        <v>471</v>
      </c>
      <c r="I24" s="172">
        <f t="shared" si="0"/>
        <v>60</v>
      </c>
    </row>
    <row r="25" spans="1:9" x14ac:dyDescent="0.25">
      <c r="A25" s="170" t="s">
        <v>417</v>
      </c>
      <c r="B25" s="170" t="s">
        <v>467</v>
      </c>
      <c r="C25" s="173" t="s">
        <v>214</v>
      </c>
      <c r="D25" s="167" t="s">
        <v>469</v>
      </c>
      <c r="E25" s="167" t="s">
        <v>475</v>
      </c>
      <c r="F25" s="172">
        <v>40</v>
      </c>
      <c r="G25" s="172">
        <v>149</v>
      </c>
      <c r="H25" s="172" t="s">
        <v>471</v>
      </c>
      <c r="I25" s="172">
        <f t="shared" si="0"/>
        <v>60</v>
      </c>
    </row>
    <row r="26" spans="1:9" x14ac:dyDescent="0.25">
      <c r="A26" s="170" t="s">
        <v>417</v>
      </c>
      <c r="B26" s="170" t="s">
        <v>467</v>
      </c>
      <c r="C26" s="173" t="s">
        <v>468</v>
      </c>
      <c r="D26" s="167" t="s">
        <v>469</v>
      </c>
      <c r="E26" s="167" t="s">
        <v>181</v>
      </c>
      <c r="F26" s="172">
        <v>40</v>
      </c>
      <c r="G26" s="172">
        <v>149</v>
      </c>
      <c r="H26" s="172" t="s">
        <v>218</v>
      </c>
      <c r="I26" s="172">
        <f t="shared" si="0"/>
        <v>60</v>
      </c>
    </row>
    <row r="27" spans="1:9" x14ac:dyDescent="0.25">
      <c r="A27" s="170" t="s">
        <v>417</v>
      </c>
      <c r="B27" s="170" t="s">
        <v>467</v>
      </c>
      <c r="C27" s="173" t="s">
        <v>470</v>
      </c>
      <c r="D27" s="167" t="s">
        <v>469</v>
      </c>
      <c r="E27" s="167" t="s">
        <v>181</v>
      </c>
      <c r="F27" s="172">
        <v>40</v>
      </c>
      <c r="G27" s="172">
        <v>149</v>
      </c>
      <c r="H27" s="172" t="s">
        <v>471</v>
      </c>
      <c r="I27" s="172">
        <f t="shared" si="0"/>
        <v>60</v>
      </c>
    </row>
    <row r="28" spans="1:9" x14ac:dyDescent="0.25">
      <c r="A28" s="170" t="s">
        <v>417</v>
      </c>
      <c r="B28" s="170" t="s">
        <v>467</v>
      </c>
      <c r="C28" s="173" t="s">
        <v>214</v>
      </c>
      <c r="D28" s="167" t="s">
        <v>469</v>
      </c>
      <c r="E28" s="167" t="s">
        <v>181</v>
      </c>
      <c r="F28" s="172">
        <v>40</v>
      </c>
      <c r="G28" s="172">
        <v>149</v>
      </c>
      <c r="H28" s="172" t="s">
        <v>471</v>
      </c>
      <c r="I28" s="172">
        <f t="shared" si="0"/>
        <v>60</v>
      </c>
    </row>
    <row r="29" spans="1:9" x14ac:dyDescent="0.25">
      <c r="C29" s="173"/>
      <c r="D29" s="167"/>
      <c r="E29" s="167"/>
      <c r="F29" s="172"/>
      <c r="G29" s="172"/>
      <c r="H29" s="172"/>
      <c r="I29" s="172"/>
    </row>
    <row r="30" spans="1:9" x14ac:dyDescent="0.25">
      <c r="A30" s="170" t="s">
        <v>415</v>
      </c>
      <c r="B30" s="170" t="s">
        <v>467</v>
      </c>
      <c r="C30" s="173">
        <v>10</v>
      </c>
      <c r="D30" s="167" t="s">
        <v>469</v>
      </c>
      <c r="E30" s="167" t="s">
        <v>427</v>
      </c>
      <c r="F30" s="167">
        <v>19</v>
      </c>
      <c r="G30" s="175">
        <v>121</v>
      </c>
      <c r="H30" s="175" t="s">
        <v>472</v>
      </c>
      <c r="I30" s="175">
        <v>28.5</v>
      </c>
    </row>
    <row r="31" spans="1:9" x14ac:dyDescent="0.25">
      <c r="A31" s="170" t="s">
        <v>415</v>
      </c>
      <c r="B31" s="170" t="s">
        <v>467</v>
      </c>
      <c r="C31" s="173">
        <v>10</v>
      </c>
      <c r="D31" s="167" t="s">
        <v>469</v>
      </c>
      <c r="E31" s="167" t="s">
        <v>461</v>
      </c>
      <c r="F31" s="167">
        <v>49.6</v>
      </c>
      <c r="G31" s="175">
        <v>121</v>
      </c>
      <c r="H31" s="175" t="s">
        <v>471</v>
      </c>
      <c r="I31" s="175">
        <v>74.400000000000006</v>
      </c>
    </row>
    <row r="32" spans="1:9" x14ac:dyDescent="0.25">
      <c r="A32" s="170" t="s">
        <v>415</v>
      </c>
      <c r="B32" s="170" t="s">
        <v>467</v>
      </c>
      <c r="C32" s="173">
        <v>10</v>
      </c>
      <c r="D32" s="167" t="s">
        <v>469</v>
      </c>
      <c r="E32" s="167" t="s">
        <v>476</v>
      </c>
      <c r="F32" s="167">
        <v>99.3</v>
      </c>
      <c r="G32" s="175">
        <v>121</v>
      </c>
      <c r="H32" s="175" t="s">
        <v>471</v>
      </c>
      <c r="I32" s="175">
        <v>148.94999999999999</v>
      </c>
    </row>
    <row r="33" spans="1:9" x14ac:dyDescent="0.25">
      <c r="A33" s="170" t="s">
        <v>415</v>
      </c>
      <c r="B33" s="170" t="s">
        <v>467</v>
      </c>
      <c r="C33" s="167">
        <v>10</v>
      </c>
      <c r="D33" s="167" t="s">
        <v>469</v>
      </c>
      <c r="E33" s="173" t="s">
        <v>462</v>
      </c>
      <c r="F33" s="175">
        <v>10</v>
      </c>
      <c r="G33" s="175">
        <v>121</v>
      </c>
      <c r="H33" s="167" t="s">
        <v>472</v>
      </c>
      <c r="I33" s="175">
        <v>15</v>
      </c>
    </row>
    <row r="34" spans="1:9" x14ac:dyDescent="0.25">
      <c r="A34" s="170" t="s">
        <v>415</v>
      </c>
      <c r="B34" s="170" t="s">
        <v>467</v>
      </c>
      <c r="C34" s="167">
        <v>10</v>
      </c>
      <c r="D34" s="167" t="s">
        <v>469</v>
      </c>
      <c r="E34" s="167" t="s">
        <v>440</v>
      </c>
      <c r="F34" s="167">
        <v>16</v>
      </c>
      <c r="G34" s="167">
        <v>121</v>
      </c>
      <c r="H34" s="175" t="s">
        <v>471</v>
      </c>
      <c r="I34" s="167">
        <v>24</v>
      </c>
    </row>
    <row r="35" spans="1:9" x14ac:dyDescent="0.25">
      <c r="A35" s="170" t="s">
        <v>415</v>
      </c>
      <c r="B35" s="170" t="s">
        <v>467</v>
      </c>
      <c r="C35" s="167">
        <v>10</v>
      </c>
      <c r="D35" s="167" t="s">
        <v>469</v>
      </c>
      <c r="E35" s="167" t="s">
        <v>463</v>
      </c>
      <c r="F35" s="167">
        <v>25</v>
      </c>
      <c r="G35" s="167">
        <v>121</v>
      </c>
      <c r="H35" s="175" t="s">
        <v>471</v>
      </c>
      <c r="I35" s="167">
        <v>37.5</v>
      </c>
    </row>
    <row r="36" spans="1:9" x14ac:dyDescent="0.25">
      <c r="A36" s="170" t="s">
        <v>415</v>
      </c>
      <c r="B36" s="170" t="s">
        <v>467</v>
      </c>
      <c r="C36" s="167">
        <v>10</v>
      </c>
      <c r="D36" s="167" t="s">
        <v>469</v>
      </c>
      <c r="E36" s="167" t="s">
        <v>475</v>
      </c>
      <c r="F36" s="167">
        <v>40</v>
      </c>
      <c r="G36" s="167">
        <v>121</v>
      </c>
      <c r="H36" s="167" t="s">
        <v>471</v>
      </c>
      <c r="I36" s="167">
        <v>60</v>
      </c>
    </row>
    <row r="37" spans="1:9" x14ac:dyDescent="0.25">
      <c r="A37" s="170" t="s">
        <v>415</v>
      </c>
      <c r="B37" s="170" t="s">
        <v>467</v>
      </c>
      <c r="C37" s="167">
        <v>10</v>
      </c>
      <c r="D37" s="167" t="s">
        <v>469</v>
      </c>
      <c r="E37" s="167" t="s">
        <v>441</v>
      </c>
      <c r="F37" s="167">
        <v>63</v>
      </c>
      <c r="G37" s="167">
        <v>121</v>
      </c>
      <c r="H37" s="167" t="s">
        <v>471</v>
      </c>
      <c r="I37" s="167">
        <v>94.5</v>
      </c>
    </row>
    <row r="38" spans="1:9" x14ac:dyDescent="0.25">
      <c r="A38" s="170" t="s">
        <v>415</v>
      </c>
      <c r="B38" s="170" t="s">
        <v>467</v>
      </c>
      <c r="C38" s="167">
        <v>10</v>
      </c>
      <c r="D38" s="167" t="s">
        <v>469</v>
      </c>
      <c r="E38" s="167" t="s">
        <v>477</v>
      </c>
      <c r="F38" s="167">
        <v>100</v>
      </c>
      <c r="G38" s="167">
        <v>121</v>
      </c>
      <c r="H38" s="167" t="s">
        <v>471</v>
      </c>
      <c r="I38" s="167">
        <v>150</v>
      </c>
    </row>
    <row r="39" spans="1:9" x14ac:dyDescent="0.25">
      <c r="A39" s="170" t="s">
        <v>415</v>
      </c>
      <c r="B39" s="170" t="s">
        <v>467</v>
      </c>
      <c r="C39" s="173">
        <v>15</v>
      </c>
      <c r="D39" s="167" t="s">
        <v>469</v>
      </c>
      <c r="E39" s="167" t="s">
        <v>427</v>
      </c>
      <c r="F39" s="167">
        <v>19</v>
      </c>
      <c r="G39" s="175">
        <v>121</v>
      </c>
      <c r="H39" s="175" t="s">
        <v>471</v>
      </c>
      <c r="I39" s="175">
        <v>28.5</v>
      </c>
    </row>
    <row r="40" spans="1:9" x14ac:dyDescent="0.25">
      <c r="A40" s="170" t="s">
        <v>415</v>
      </c>
      <c r="B40" s="170" t="s">
        <v>467</v>
      </c>
      <c r="C40" s="173">
        <v>15</v>
      </c>
      <c r="D40" s="167" t="s">
        <v>469</v>
      </c>
      <c r="E40" s="167" t="s">
        <v>461</v>
      </c>
      <c r="F40" s="167">
        <v>49.6</v>
      </c>
      <c r="G40" s="175">
        <v>121</v>
      </c>
      <c r="H40" s="175" t="s">
        <v>471</v>
      </c>
      <c r="I40" s="175">
        <v>74.400000000000006</v>
      </c>
    </row>
    <row r="41" spans="1:9" x14ac:dyDescent="0.25">
      <c r="A41" s="170" t="s">
        <v>415</v>
      </c>
      <c r="B41" s="170" t="s">
        <v>467</v>
      </c>
      <c r="C41" s="173">
        <v>15</v>
      </c>
      <c r="D41" s="167" t="s">
        <v>469</v>
      </c>
      <c r="E41" s="167" t="s">
        <v>476</v>
      </c>
      <c r="F41" s="167">
        <v>99.3</v>
      </c>
      <c r="G41" s="175">
        <v>121</v>
      </c>
      <c r="H41" s="175" t="s">
        <v>471</v>
      </c>
      <c r="I41" s="175">
        <v>148.94999999999999</v>
      </c>
    </row>
    <row r="42" spans="1:9" x14ac:dyDescent="0.25">
      <c r="A42" s="170" t="s">
        <v>415</v>
      </c>
      <c r="B42" s="170" t="s">
        <v>467</v>
      </c>
      <c r="C42" s="167">
        <v>15</v>
      </c>
      <c r="D42" s="167" t="s">
        <v>469</v>
      </c>
      <c r="E42" s="173" t="s">
        <v>462</v>
      </c>
      <c r="F42" s="175">
        <v>10</v>
      </c>
      <c r="G42" s="175">
        <v>121</v>
      </c>
      <c r="H42" s="167" t="s">
        <v>472</v>
      </c>
      <c r="I42" s="175">
        <v>15</v>
      </c>
    </row>
    <row r="43" spans="1:9" x14ac:dyDescent="0.25">
      <c r="A43" s="170" t="s">
        <v>415</v>
      </c>
      <c r="B43" s="170" t="s">
        <v>467</v>
      </c>
      <c r="C43" s="167">
        <v>15</v>
      </c>
      <c r="D43" s="167" t="s">
        <v>469</v>
      </c>
      <c r="E43" s="167" t="s">
        <v>440</v>
      </c>
      <c r="F43" s="167">
        <v>16</v>
      </c>
      <c r="G43" s="167">
        <v>121</v>
      </c>
      <c r="H43" s="175" t="s">
        <v>471</v>
      </c>
      <c r="I43" s="167">
        <v>24</v>
      </c>
    </row>
    <row r="44" spans="1:9" x14ac:dyDescent="0.25">
      <c r="A44" s="170" t="s">
        <v>415</v>
      </c>
      <c r="B44" s="170" t="s">
        <v>467</v>
      </c>
      <c r="C44" s="167">
        <v>15</v>
      </c>
      <c r="D44" s="167" t="s">
        <v>469</v>
      </c>
      <c r="E44" s="167" t="s">
        <v>463</v>
      </c>
      <c r="F44" s="167">
        <v>25</v>
      </c>
      <c r="G44" s="167">
        <v>121</v>
      </c>
      <c r="H44" s="175" t="s">
        <v>471</v>
      </c>
      <c r="I44" s="167">
        <v>37.5</v>
      </c>
    </row>
    <row r="45" spans="1:9" x14ac:dyDescent="0.25">
      <c r="A45" s="170" t="s">
        <v>415</v>
      </c>
      <c r="B45" s="170" t="s">
        <v>467</v>
      </c>
      <c r="C45" s="167">
        <v>15</v>
      </c>
      <c r="D45" s="167" t="s">
        <v>469</v>
      </c>
      <c r="E45" s="167" t="s">
        <v>475</v>
      </c>
      <c r="F45" s="167">
        <v>40</v>
      </c>
      <c r="G45" s="167">
        <v>121</v>
      </c>
      <c r="H45" s="175" t="s">
        <v>471</v>
      </c>
      <c r="I45" s="167">
        <v>60</v>
      </c>
    </row>
    <row r="46" spans="1:9" x14ac:dyDescent="0.25">
      <c r="A46" s="170" t="s">
        <v>415</v>
      </c>
      <c r="B46" s="170" t="s">
        <v>467</v>
      </c>
      <c r="C46" s="167">
        <v>15</v>
      </c>
      <c r="D46" s="167" t="s">
        <v>469</v>
      </c>
      <c r="E46" s="167" t="s">
        <v>441</v>
      </c>
      <c r="F46" s="167">
        <v>63</v>
      </c>
      <c r="G46" s="167">
        <v>121</v>
      </c>
      <c r="H46" s="167" t="s">
        <v>471</v>
      </c>
      <c r="I46" s="167">
        <v>94.5</v>
      </c>
    </row>
    <row r="47" spans="1:9" x14ac:dyDescent="0.25">
      <c r="A47" s="170" t="s">
        <v>415</v>
      </c>
      <c r="B47" s="170" t="s">
        <v>467</v>
      </c>
      <c r="C47" s="167">
        <v>15</v>
      </c>
      <c r="D47" s="167" t="s">
        <v>469</v>
      </c>
      <c r="E47" s="167" t="s">
        <v>477</v>
      </c>
      <c r="F47" s="167">
        <v>100</v>
      </c>
      <c r="G47" s="167">
        <v>121</v>
      </c>
      <c r="H47" s="167" t="s">
        <v>471</v>
      </c>
      <c r="I47" s="167">
        <v>150</v>
      </c>
    </row>
    <row r="48" spans="1:9" x14ac:dyDescent="0.25">
      <c r="A48" s="170" t="s">
        <v>415</v>
      </c>
      <c r="B48" s="170" t="s">
        <v>467</v>
      </c>
      <c r="C48" s="173">
        <v>20</v>
      </c>
      <c r="D48" s="167" t="s">
        <v>469</v>
      </c>
      <c r="E48" s="167" t="s">
        <v>427</v>
      </c>
      <c r="F48" s="167">
        <v>19</v>
      </c>
      <c r="G48" s="175">
        <v>121</v>
      </c>
      <c r="H48" s="175" t="s">
        <v>471</v>
      </c>
      <c r="I48" s="175">
        <v>28.5</v>
      </c>
    </row>
    <row r="49" spans="1:9" x14ac:dyDescent="0.25">
      <c r="A49" s="170" t="s">
        <v>415</v>
      </c>
      <c r="B49" s="170" t="s">
        <v>467</v>
      </c>
      <c r="C49" s="173">
        <v>20</v>
      </c>
      <c r="D49" s="167" t="s">
        <v>469</v>
      </c>
      <c r="E49" s="167" t="s">
        <v>461</v>
      </c>
      <c r="F49" s="167">
        <v>49.6</v>
      </c>
      <c r="G49" s="175">
        <v>121</v>
      </c>
      <c r="H49" s="167" t="s">
        <v>471</v>
      </c>
      <c r="I49" s="175">
        <v>74.400000000000006</v>
      </c>
    </row>
    <row r="50" spans="1:9" x14ac:dyDescent="0.25">
      <c r="A50" s="170" t="s">
        <v>415</v>
      </c>
      <c r="B50" s="170" t="s">
        <v>467</v>
      </c>
      <c r="C50" s="173">
        <v>20</v>
      </c>
      <c r="D50" s="167" t="s">
        <v>469</v>
      </c>
      <c r="E50" s="167" t="s">
        <v>476</v>
      </c>
      <c r="F50" s="167">
        <v>99.3</v>
      </c>
      <c r="G50" s="175">
        <v>121</v>
      </c>
      <c r="H50" s="167" t="s">
        <v>471</v>
      </c>
      <c r="I50" s="175">
        <v>148.94999999999999</v>
      </c>
    </row>
    <row r="51" spans="1:9" x14ac:dyDescent="0.25">
      <c r="A51" s="170" t="s">
        <v>415</v>
      </c>
      <c r="B51" s="170" t="s">
        <v>467</v>
      </c>
      <c r="C51" s="175">
        <v>20</v>
      </c>
      <c r="D51" s="167" t="s">
        <v>469</v>
      </c>
      <c r="E51" s="173" t="s">
        <v>462</v>
      </c>
      <c r="F51" s="175">
        <v>10</v>
      </c>
      <c r="G51" s="175">
        <v>121</v>
      </c>
      <c r="H51" s="175" t="s">
        <v>471</v>
      </c>
      <c r="I51" s="175">
        <v>15</v>
      </c>
    </row>
    <row r="52" spans="1:9" x14ac:dyDescent="0.25">
      <c r="A52" s="170" t="s">
        <v>415</v>
      </c>
      <c r="B52" s="170" t="s">
        <v>467</v>
      </c>
      <c r="C52" s="175">
        <v>20</v>
      </c>
      <c r="D52" s="167" t="s">
        <v>469</v>
      </c>
      <c r="E52" s="167" t="s">
        <v>440</v>
      </c>
      <c r="F52" s="167">
        <v>16</v>
      </c>
      <c r="G52" s="167">
        <v>121</v>
      </c>
      <c r="H52" s="175" t="s">
        <v>471</v>
      </c>
      <c r="I52" s="167">
        <v>24</v>
      </c>
    </row>
    <row r="53" spans="1:9" x14ac:dyDescent="0.25">
      <c r="A53" s="170" t="s">
        <v>415</v>
      </c>
      <c r="B53" s="170" t="s">
        <v>467</v>
      </c>
      <c r="C53" s="175">
        <v>20</v>
      </c>
      <c r="D53" s="167" t="s">
        <v>469</v>
      </c>
      <c r="E53" s="167" t="s">
        <v>463</v>
      </c>
      <c r="F53" s="167">
        <v>25</v>
      </c>
      <c r="G53" s="167">
        <v>121</v>
      </c>
      <c r="H53" s="175" t="s">
        <v>471</v>
      </c>
      <c r="I53" s="167">
        <v>37.5</v>
      </c>
    </row>
    <row r="54" spans="1:9" x14ac:dyDescent="0.25">
      <c r="A54" s="170" t="s">
        <v>415</v>
      </c>
      <c r="B54" s="170" t="s">
        <v>467</v>
      </c>
      <c r="C54" s="175">
        <v>20</v>
      </c>
      <c r="D54" s="167" t="s">
        <v>469</v>
      </c>
      <c r="E54" s="167" t="s">
        <v>475</v>
      </c>
      <c r="F54" s="167">
        <v>40</v>
      </c>
      <c r="G54" s="167">
        <v>121</v>
      </c>
      <c r="H54" s="175" t="s">
        <v>478</v>
      </c>
      <c r="I54" s="167">
        <v>60</v>
      </c>
    </row>
    <row r="55" spans="1:9" x14ac:dyDescent="0.25">
      <c r="A55" s="170" t="s">
        <v>415</v>
      </c>
      <c r="B55" s="170" t="s">
        <v>467</v>
      </c>
      <c r="C55" s="175">
        <v>20</v>
      </c>
      <c r="D55" s="167" t="s">
        <v>469</v>
      </c>
      <c r="E55" s="167" t="s">
        <v>441</v>
      </c>
      <c r="F55" s="167">
        <v>63</v>
      </c>
      <c r="G55" s="167">
        <v>121</v>
      </c>
      <c r="H55" s="175" t="s">
        <v>478</v>
      </c>
      <c r="I55" s="167">
        <v>94.5</v>
      </c>
    </row>
    <row r="56" spans="1:9" x14ac:dyDescent="0.25">
      <c r="A56" s="170" t="s">
        <v>415</v>
      </c>
      <c r="B56" s="170" t="s">
        <v>467</v>
      </c>
      <c r="C56" s="175">
        <v>20</v>
      </c>
      <c r="D56" s="167" t="s">
        <v>469</v>
      </c>
      <c r="E56" s="167" t="s">
        <v>477</v>
      </c>
      <c r="F56" s="167">
        <v>100</v>
      </c>
      <c r="G56" s="167">
        <v>121</v>
      </c>
      <c r="H56" s="175" t="s">
        <v>478</v>
      </c>
      <c r="I56" s="167">
        <v>150</v>
      </c>
    </row>
    <row r="57" spans="1:9" x14ac:dyDescent="0.25">
      <c r="A57" s="170" t="s">
        <v>415</v>
      </c>
      <c r="B57" s="170" t="s">
        <v>467</v>
      </c>
      <c r="C57" s="173">
        <v>30</v>
      </c>
      <c r="D57" s="167" t="s">
        <v>469</v>
      </c>
      <c r="E57" s="167" t="s">
        <v>427</v>
      </c>
      <c r="F57" s="167">
        <v>19</v>
      </c>
      <c r="G57" s="175">
        <v>121</v>
      </c>
      <c r="H57" s="175" t="s">
        <v>471</v>
      </c>
      <c r="I57" s="175">
        <v>28.5</v>
      </c>
    </row>
    <row r="58" spans="1:9" x14ac:dyDescent="0.25">
      <c r="A58" s="170" t="s">
        <v>415</v>
      </c>
      <c r="B58" s="170" t="s">
        <v>467</v>
      </c>
      <c r="C58" s="173">
        <v>30</v>
      </c>
      <c r="D58" s="167" t="s">
        <v>469</v>
      </c>
      <c r="E58" s="167" t="s">
        <v>461</v>
      </c>
      <c r="F58" s="167">
        <v>49.6</v>
      </c>
      <c r="G58" s="175">
        <v>121</v>
      </c>
      <c r="H58" s="175" t="s">
        <v>478</v>
      </c>
      <c r="I58" s="175">
        <v>74.400000000000006</v>
      </c>
    </row>
    <row r="59" spans="1:9" x14ac:dyDescent="0.25">
      <c r="A59" s="170" t="s">
        <v>415</v>
      </c>
      <c r="B59" s="170" t="s">
        <v>467</v>
      </c>
      <c r="C59" s="173">
        <v>30</v>
      </c>
      <c r="D59" s="167" t="s">
        <v>469</v>
      </c>
      <c r="E59" s="167" t="s">
        <v>476</v>
      </c>
      <c r="F59" s="167">
        <v>99.3</v>
      </c>
      <c r="G59" s="175">
        <v>121</v>
      </c>
      <c r="H59" s="175" t="s">
        <v>478</v>
      </c>
      <c r="I59" s="175">
        <v>148.94999999999999</v>
      </c>
    </row>
    <row r="60" spans="1:9" x14ac:dyDescent="0.25">
      <c r="A60" s="170" t="s">
        <v>415</v>
      </c>
      <c r="B60" s="170" t="s">
        <v>467</v>
      </c>
      <c r="C60" s="167">
        <v>30</v>
      </c>
      <c r="D60" s="167" t="s">
        <v>469</v>
      </c>
      <c r="E60" s="173" t="s">
        <v>462</v>
      </c>
      <c r="F60" s="175">
        <v>10</v>
      </c>
      <c r="G60" s="175">
        <v>121</v>
      </c>
      <c r="H60" s="175" t="s">
        <v>471</v>
      </c>
      <c r="I60" s="175">
        <v>15</v>
      </c>
    </row>
    <row r="61" spans="1:9" x14ac:dyDescent="0.25">
      <c r="A61" s="170" t="s">
        <v>415</v>
      </c>
      <c r="B61" s="170" t="s">
        <v>467</v>
      </c>
      <c r="C61" s="167">
        <v>30</v>
      </c>
      <c r="D61" s="167" t="s">
        <v>469</v>
      </c>
      <c r="E61" s="167" t="s">
        <v>440</v>
      </c>
      <c r="F61" s="167">
        <v>16</v>
      </c>
      <c r="G61" s="167">
        <v>121</v>
      </c>
      <c r="H61" s="175" t="s">
        <v>471</v>
      </c>
      <c r="I61" s="167">
        <v>24</v>
      </c>
    </row>
    <row r="62" spans="1:9" x14ac:dyDescent="0.25">
      <c r="A62" s="170" t="s">
        <v>415</v>
      </c>
      <c r="B62" s="170" t="s">
        <v>467</v>
      </c>
      <c r="C62" s="167">
        <v>30</v>
      </c>
      <c r="D62" s="167" t="s">
        <v>469</v>
      </c>
      <c r="E62" s="167" t="s">
        <v>463</v>
      </c>
      <c r="F62" s="167">
        <v>25</v>
      </c>
      <c r="G62" s="167">
        <v>121</v>
      </c>
      <c r="H62" s="175" t="s">
        <v>471</v>
      </c>
      <c r="I62" s="167">
        <v>37.5</v>
      </c>
    </row>
    <row r="63" spans="1:9" x14ac:dyDescent="0.25">
      <c r="A63" s="170" t="s">
        <v>415</v>
      </c>
      <c r="B63" s="170" t="s">
        <v>467</v>
      </c>
      <c r="C63" s="167">
        <v>30</v>
      </c>
      <c r="D63" s="167" t="s">
        <v>469</v>
      </c>
      <c r="E63" s="167" t="s">
        <v>475</v>
      </c>
      <c r="F63" s="167">
        <v>40</v>
      </c>
      <c r="G63" s="167">
        <v>121</v>
      </c>
      <c r="H63" s="175" t="s">
        <v>478</v>
      </c>
      <c r="I63" s="167">
        <v>60</v>
      </c>
    </row>
    <row r="64" spans="1:9" x14ac:dyDescent="0.25">
      <c r="A64" s="170" t="s">
        <v>415</v>
      </c>
      <c r="B64" s="170" t="s">
        <v>467</v>
      </c>
      <c r="C64" s="167">
        <v>30</v>
      </c>
      <c r="D64" s="167" t="s">
        <v>469</v>
      </c>
      <c r="E64" s="167" t="s">
        <v>441</v>
      </c>
      <c r="F64" s="167">
        <v>63</v>
      </c>
      <c r="G64" s="167">
        <v>121</v>
      </c>
      <c r="H64" s="175" t="s">
        <v>478</v>
      </c>
      <c r="I64" s="167">
        <v>94.5</v>
      </c>
    </row>
    <row r="65" spans="1:9" x14ac:dyDescent="0.25">
      <c r="A65" s="170" t="s">
        <v>415</v>
      </c>
      <c r="B65" s="170" t="s">
        <v>467</v>
      </c>
      <c r="C65" s="167">
        <v>30</v>
      </c>
      <c r="D65" s="167" t="s">
        <v>469</v>
      </c>
      <c r="E65" s="167" t="s">
        <v>477</v>
      </c>
      <c r="F65" s="167">
        <v>100</v>
      </c>
      <c r="G65" s="167">
        <v>121</v>
      </c>
      <c r="H65" s="175" t="s">
        <v>478</v>
      </c>
      <c r="I65" s="167">
        <v>150</v>
      </c>
    </row>
    <row r="66" spans="1:9" x14ac:dyDescent="0.25">
      <c r="A66" s="170" t="s">
        <v>415</v>
      </c>
      <c r="B66" s="170" t="s">
        <v>467</v>
      </c>
      <c r="C66" s="173">
        <v>40</v>
      </c>
      <c r="D66" s="167" t="s">
        <v>469</v>
      </c>
      <c r="E66" s="167" t="s">
        <v>427</v>
      </c>
      <c r="F66" s="167">
        <v>19</v>
      </c>
      <c r="G66" s="175">
        <v>121</v>
      </c>
      <c r="H66" s="175" t="s">
        <v>471</v>
      </c>
      <c r="I66" s="175">
        <v>28.5</v>
      </c>
    </row>
    <row r="67" spans="1:9" x14ac:dyDescent="0.25">
      <c r="A67" s="170" t="s">
        <v>415</v>
      </c>
      <c r="B67" s="170" t="s">
        <v>467</v>
      </c>
      <c r="C67" s="173">
        <v>40</v>
      </c>
      <c r="D67" s="167" t="s">
        <v>469</v>
      </c>
      <c r="E67" s="167" t="s">
        <v>461</v>
      </c>
      <c r="F67" s="167">
        <v>49.6</v>
      </c>
      <c r="G67" s="175">
        <v>121</v>
      </c>
      <c r="H67" s="175" t="s">
        <v>478</v>
      </c>
      <c r="I67" s="175">
        <v>74.400000000000006</v>
      </c>
    </row>
    <row r="68" spans="1:9" x14ac:dyDescent="0.25">
      <c r="A68" s="170" t="s">
        <v>415</v>
      </c>
      <c r="B68" s="170" t="s">
        <v>467</v>
      </c>
      <c r="C68" s="173">
        <v>40</v>
      </c>
      <c r="D68" s="167" t="s">
        <v>469</v>
      </c>
      <c r="E68" s="167" t="s">
        <v>476</v>
      </c>
      <c r="F68" s="167">
        <v>99.3</v>
      </c>
      <c r="G68" s="175">
        <v>121</v>
      </c>
      <c r="H68" s="175" t="s">
        <v>478</v>
      </c>
      <c r="I68" s="175">
        <v>148.94999999999999</v>
      </c>
    </row>
    <row r="69" spans="1:9" x14ac:dyDescent="0.25">
      <c r="A69" s="170" t="s">
        <v>415</v>
      </c>
      <c r="B69" s="170" t="s">
        <v>467</v>
      </c>
      <c r="C69" s="167">
        <v>40</v>
      </c>
      <c r="D69" s="167" t="s">
        <v>469</v>
      </c>
      <c r="E69" s="173" t="s">
        <v>462</v>
      </c>
      <c r="F69" s="175">
        <v>10</v>
      </c>
      <c r="G69" s="175">
        <v>121</v>
      </c>
      <c r="H69" s="175" t="s">
        <v>471</v>
      </c>
      <c r="I69" s="175">
        <v>15</v>
      </c>
    </row>
    <row r="70" spans="1:9" x14ac:dyDescent="0.25">
      <c r="A70" s="170" t="s">
        <v>415</v>
      </c>
      <c r="B70" s="170" t="s">
        <v>467</v>
      </c>
      <c r="C70" s="167">
        <v>40</v>
      </c>
      <c r="D70" s="167" t="s">
        <v>469</v>
      </c>
      <c r="E70" s="167" t="s">
        <v>440</v>
      </c>
      <c r="F70" s="167">
        <v>16</v>
      </c>
      <c r="G70" s="167">
        <v>121</v>
      </c>
      <c r="H70" s="175" t="s">
        <v>471</v>
      </c>
      <c r="I70" s="167">
        <v>24</v>
      </c>
    </row>
    <row r="71" spans="1:9" x14ac:dyDescent="0.25">
      <c r="A71" s="170" t="s">
        <v>415</v>
      </c>
      <c r="B71" s="170" t="s">
        <v>467</v>
      </c>
      <c r="C71" s="167">
        <v>40</v>
      </c>
      <c r="D71" s="167" t="s">
        <v>469</v>
      </c>
      <c r="E71" s="167" t="s">
        <v>463</v>
      </c>
      <c r="F71" s="167">
        <v>25</v>
      </c>
      <c r="G71" s="167">
        <v>121</v>
      </c>
      <c r="H71" s="175" t="s">
        <v>478</v>
      </c>
      <c r="I71" s="167">
        <v>37.5</v>
      </c>
    </row>
    <row r="72" spans="1:9" x14ac:dyDescent="0.25">
      <c r="A72" s="170" t="s">
        <v>415</v>
      </c>
      <c r="B72" s="170" t="s">
        <v>467</v>
      </c>
      <c r="C72" s="167">
        <v>40</v>
      </c>
      <c r="D72" s="167" t="s">
        <v>469</v>
      </c>
      <c r="E72" s="167" t="s">
        <v>475</v>
      </c>
      <c r="F72" s="167">
        <v>40</v>
      </c>
      <c r="G72" s="167">
        <v>121</v>
      </c>
      <c r="H72" s="175" t="s">
        <v>478</v>
      </c>
      <c r="I72" s="167">
        <v>60</v>
      </c>
    </row>
    <row r="73" spans="1:9" x14ac:dyDescent="0.25">
      <c r="A73" s="170" t="s">
        <v>415</v>
      </c>
      <c r="B73" s="170" t="s">
        <v>467</v>
      </c>
      <c r="C73" s="167">
        <v>40</v>
      </c>
      <c r="D73" s="167" t="s">
        <v>469</v>
      </c>
      <c r="E73" s="167" t="s">
        <v>441</v>
      </c>
      <c r="F73" s="167">
        <v>63</v>
      </c>
      <c r="G73" s="167">
        <v>121</v>
      </c>
      <c r="H73" s="175" t="s">
        <v>478</v>
      </c>
      <c r="I73" s="167">
        <v>94.5</v>
      </c>
    </row>
    <row r="74" spans="1:9" x14ac:dyDescent="0.25">
      <c r="A74" s="170" t="s">
        <v>415</v>
      </c>
      <c r="B74" s="170" t="s">
        <v>467</v>
      </c>
      <c r="C74" s="167">
        <v>40</v>
      </c>
      <c r="D74" s="167" t="s">
        <v>469</v>
      </c>
      <c r="E74" s="167" t="s">
        <v>477</v>
      </c>
      <c r="F74" s="167">
        <v>100</v>
      </c>
      <c r="G74" s="167">
        <v>121</v>
      </c>
      <c r="H74" s="175" t="s">
        <v>478</v>
      </c>
      <c r="I74" s="167">
        <v>150</v>
      </c>
    </row>
    <row r="75" spans="1:9" x14ac:dyDescent="0.25">
      <c r="A75" s="170" t="s">
        <v>415</v>
      </c>
      <c r="B75" s="170" t="s">
        <v>467</v>
      </c>
      <c r="C75" s="173">
        <v>60</v>
      </c>
      <c r="D75" s="167" t="s">
        <v>469</v>
      </c>
      <c r="E75" s="167" t="s">
        <v>427</v>
      </c>
      <c r="F75" s="167">
        <v>19</v>
      </c>
      <c r="G75" s="175">
        <v>121</v>
      </c>
      <c r="H75" s="167" t="s">
        <v>478</v>
      </c>
      <c r="I75" s="175">
        <v>28.5</v>
      </c>
    </row>
    <row r="76" spans="1:9" x14ac:dyDescent="0.25">
      <c r="A76" s="170" t="s">
        <v>415</v>
      </c>
      <c r="B76" s="170" t="s">
        <v>467</v>
      </c>
      <c r="C76" s="173">
        <v>60</v>
      </c>
      <c r="D76" s="167" t="s">
        <v>469</v>
      </c>
      <c r="E76" s="167" t="s">
        <v>461</v>
      </c>
      <c r="F76" s="167">
        <v>49.6</v>
      </c>
      <c r="G76" s="175">
        <v>121</v>
      </c>
      <c r="H76" s="167" t="s">
        <v>478</v>
      </c>
      <c r="I76" s="175">
        <v>74.400000000000006</v>
      </c>
    </row>
    <row r="77" spans="1:9" x14ac:dyDescent="0.25">
      <c r="A77" s="170" t="s">
        <v>415</v>
      </c>
      <c r="B77" s="170" t="s">
        <v>467</v>
      </c>
      <c r="C77" s="173">
        <v>60</v>
      </c>
      <c r="D77" s="167" t="s">
        <v>469</v>
      </c>
      <c r="E77" s="167" t="s">
        <v>476</v>
      </c>
      <c r="F77" s="167">
        <v>99.3</v>
      </c>
      <c r="G77" s="175">
        <v>121</v>
      </c>
      <c r="H77" s="167" t="s">
        <v>478</v>
      </c>
      <c r="I77" s="175">
        <v>148.94999999999999</v>
      </c>
    </row>
    <row r="78" spans="1:9" x14ac:dyDescent="0.25">
      <c r="A78" s="170" t="s">
        <v>415</v>
      </c>
      <c r="B78" s="170" t="s">
        <v>467</v>
      </c>
      <c r="C78" s="167">
        <v>60</v>
      </c>
      <c r="D78" s="167" t="s">
        <v>469</v>
      </c>
      <c r="E78" s="173" t="s">
        <v>462</v>
      </c>
      <c r="F78" s="175">
        <v>10</v>
      </c>
      <c r="G78" s="175">
        <v>121</v>
      </c>
      <c r="H78" s="175" t="s">
        <v>471</v>
      </c>
      <c r="I78" s="175">
        <v>15</v>
      </c>
    </row>
    <row r="79" spans="1:9" x14ac:dyDescent="0.25">
      <c r="A79" s="170" t="s">
        <v>415</v>
      </c>
      <c r="B79" s="170" t="s">
        <v>467</v>
      </c>
      <c r="C79" s="167">
        <v>60</v>
      </c>
      <c r="D79" s="167" t="s">
        <v>469</v>
      </c>
      <c r="E79" s="167" t="s">
        <v>440</v>
      </c>
      <c r="F79" s="167">
        <v>16</v>
      </c>
      <c r="G79" s="167">
        <v>121</v>
      </c>
      <c r="H79" s="175" t="s">
        <v>471</v>
      </c>
      <c r="I79" s="167">
        <v>24</v>
      </c>
    </row>
    <row r="80" spans="1:9" x14ac:dyDescent="0.25">
      <c r="A80" s="170" t="s">
        <v>415</v>
      </c>
      <c r="B80" s="170" t="s">
        <v>467</v>
      </c>
      <c r="C80" s="167">
        <v>60</v>
      </c>
      <c r="D80" s="167" t="s">
        <v>469</v>
      </c>
      <c r="E80" s="167" t="s">
        <v>463</v>
      </c>
      <c r="F80" s="167">
        <v>25</v>
      </c>
      <c r="G80" s="167">
        <v>121</v>
      </c>
      <c r="H80" s="175" t="s">
        <v>478</v>
      </c>
      <c r="I80" s="167">
        <v>37.5</v>
      </c>
    </row>
    <row r="81" spans="1:9" x14ac:dyDescent="0.25">
      <c r="A81" s="170" t="s">
        <v>415</v>
      </c>
      <c r="B81" s="170" t="s">
        <v>467</v>
      </c>
      <c r="C81" s="167">
        <v>60</v>
      </c>
      <c r="D81" s="167" t="s">
        <v>469</v>
      </c>
      <c r="E81" s="167" t="s">
        <v>475</v>
      </c>
      <c r="F81" s="167">
        <v>40</v>
      </c>
      <c r="G81" s="167">
        <v>121</v>
      </c>
      <c r="H81" s="175" t="s">
        <v>478</v>
      </c>
      <c r="I81" s="167">
        <v>60</v>
      </c>
    </row>
    <row r="82" spans="1:9" x14ac:dyDescent="0.25">
      <c r="A82" s="170" t="s">
        <v>415</v>
      </c>
      <c r="B82" s="170" t="s">
        <v>467</v>
      </c>
      <c r="C82" s="167">
        <v>60</v>
      </c>
      <c r="D82" s="167" t="s">
        <v>469</v>
      </c>
      <c r="E82" s="167" t="s">
        <v>441</v>
      </c>
      <c r="F82" s="167">
        <v>63</v>
      </c>
      <c r="G82" s="167">
        <v>121</v>
      </c>
      <c r="H82" s="175" t="s">
        <v>478</v>
      </c>
      <c r="I82" s="167">
        <v>94.5</v>
      </c>
    </row>
    <row r="83" spans="1:9" x14ac:dyDescent="0.25">
      <c r="A83" s="170" t="s">
        <v>415</v>
      </c>
      <c r="B83" s="170" t="s">
        <v>467</v>
      </c>
      <c r="C83" s="167">
        <v>60</v>
      </c>
      <c r="D83" s="167" t="s">
        <v>469</v>
      </c>
      <c r="E83" s="167" t="s">
        <v>477</v>
      </c>
      <c r="F83" s="167">
        <v>100</v>
      </c>
      <c r="G83" s="167">
        <v>121</v>
      </c>
      <c r="H83" s="175" t="s">
        <v>478</v>
      </c>
      <c r="I83" s="167">
        <v>150</v>
      </c>
    </row>
    <row r="84" spans="1:9" x14ac:dyDescent="0.25">
      <c r="A84" s="170" t="s">
        <v>415</v>
      </c>
      <c r="B84" s="170" t="s">
        <v>467</v>
      </c>
      <c r="C84" s="173">
        <v>80</v>
      </c>
      <c r="D84" s="167" t="s">
        <v>469</v>
      </c>
      <c r="E84" s="167" t="s">
        <v>427</v>
      </c>
      <c r="F84" s="167">
        <v>19</v>
      </c>
      <c r="G84" s="175">
        <v>121</v>
      </c>
      <c r="H84" s="167" t="s">
        <v>478</v>
      </c>
      <c r="I84" s="175">
        <v>28.5</v>
      </c>
    </row>
    <row r="85" spans="1:9" x14ac:dyDescent="0.25">
      <c r="A85" s="170" t="s">
        <v>415</v>
      </c>
      <c r="B85" s="170" t="s">
        <v>467</v>
      </c>
      <c r="C85" s="173">
        <v>80</v>
      </c>
      <c r="D85" s="167" t="s">
        <v>469</v>
      </c>
      <c r="E85" s="167" t="s">
        <v>461</v>
      </c>
      <c r="F85" s="167">
        <v>49.6</v>
      </c>
      <c r="G85" s="175">
        <v>121</v>
      </c>
      <c r="H85" s="167" t="s">
        <v>478</v>
      </c>
      <c r="I85" s="175">
        <v>74.400000000000006</v>
      </c>
    </row>
    <row r="86" spans="1:9" x14ac:dyDescent="0.25">
      <c r="A86" s="170" t="s">
        <v>415</v>
      </c>
      <c r="B86" s="170" t="s">
        <v>467</v>
      </c>
      <c r="C86" s="173">
        <v>80</v>
      </c>
      <c r="D86" s="167" t="s">
        <v>469</v>
      </c>
      <c r="E86" s="167" t="s">
        <v>476</v>
      </c>
      <c r="F86" s="167">
        <v>99.3</v>
      </c>
      <c r="G86" s="175">
        <v>121</v>
      </c>
      <c r="H86" s="167" t="s">
        <v>478</v>
      </c>
      <c r="I86" s="175">
        <v>148.94999999999999</v>
      </c>
    </row>
    <row r="87" spans="1:9" x14ac:dyDescent="0.25">
      <c r="A87" s="170" t="s">
        <v>415</v>
      </c>
      <c r="B87" s="170" t="s">
        <v>467</v>
      </c>
      <c r="C87" s="167">
        <v>80</v>
      </c>
      <c r="D87" s="167" t="s">
        <v>469</v>
      </c>
      <c r="E87" s="173" t="s">
        <v>462</v>
      </c>
      <c r="F87" s="175">
        <v>10</v>
      </c>
      <c r="G87" s="175">
        <v>121</v>
      </c>
      <c r="H87" s="175" t="s">
        <v>471</v>
      </c>
      <c r="I87" s="175">
        <v>15</v>
      </c>
    </row>
    <row r="88" spans="1:9" x14ac:dyDescent="0.25">
      <c r="A88" s="170" t="s">
        <v>415</v>
      </c>
      <c r="B88" s="170" t="s">
        <v>467</v>
      </c>
      <c r="C88" s="167">
        <v>80</v>
      </c>
      <c r="D88" s="167" t="s">
        <v>469</v>
      </c>
      <c r="E88" s="167" t="s">
        <v>440</v>
      </c>
      <c r="F88" s="167">
        <v>16</v>
      </c>
      <c r="G88" s="167">
        <v>121</v>
      </c>
      <c r="H88" s="175" t="s">
        <v>478</v>
      </c>
      <c r="I88" s="167">
        <v>24</v>
      </c>
    </row>
    <row r="89" spans="1:9" x14ac:dyDescent="0.25">
      <c r="A89" s="170" t="s">
        <v>415</v>
      </c>
      <c r="B89" s="170" t="s">
        <v>467</v>
      </c>
      <c r="C89" s="167">
        <v>80</v>
      </c>
      <c r="D89" s="167" t="s">
        <v>469</v>
      </c>
      <c r="E89" s="167" t="s">
        <v>463</v>
      </c>
      <c r="F89" s="167">
        <v>25</v>
      </c>
      <c r="G89" s="167">
        <v>121</v>
      </c>
      <c r="H89" s="175" t="s">
        <v>478</v>
      </c>
      <c r="I89" s="167">
        <v>37.5</v>
      </c>
    </row>
    <row r="90" spans="1:9" x14ac:dyDescent="0.25">
      <c r="A90" s="170" t="s">
        <v>415</v>
      </c>
      <c r="B90" s="170" t="s">
        <v>467</v>
      </c>
      <c r="C90" s="167">
        <v>80</v>
      </c>
      <c r="D90" s="167" t="s">
        <v>469</v>
      </c>
      <c r="E90" s="167" t="s">
        <v>475</v>
      </c>
      <c r="F90" s="167">
        <v>40</v>
      </c>
      <c r="G90" s="167">
        <v>121</v>
      </c>
      <c r="H90" s="175" t="s">
        <v>478</v>
      </c>
      <c r="I90" s="167">
        <v>60</v>
      </c>
    </row>
    <row r="91" spans="1:9" x14ac:dyDescent="0.25">
      <c r="A91" s="170" t="s">
        <v>415</v>
      </c>
      <c r="B91" s="170" t="s">
        <v>467</v>
      </c>
      <c r="C91" s="167">
        <v>80</v>
      </c>
      <c r="D91" s="167" t="s">
        <v>469</v>
      </c>
      <c r="E91" s="167" t="s">
        <v>441</v>
      </c>
      <c r="F91" s="167">
        <v>63</v>
      </c>
      <c r="G91" s="167">
        <v>121</v>
      </c>
      <c r="H91" s="175" t="s">
        <v>478</v>
      </c>
      <c r="I91" s="167">
        <v>94.5</v>
      </c>
    </row>
    <row r="92" spans="1:9" x14ac:dyDescent="0.25">
      <c r="A92" s="170" t="s">
        <v>415</v>
      </c>
      <c r="B92" s="170" t="s">
        <v>467</v>
      </c>
      <c r="C92" s="167">
        <v>80</v>
      </c>
      <c r="D92" s="167" t="s">
        <v>469</v>
      </c>
      <c r="E92" s="167" t="s">
        <v>477</v>
      </c>
      <c r="F92" s="167">
        <v>100</v>
      </c>
      <c r="G92" s="167">
        <v>121</v>
      </c>
      <c r="H92" s="175" t="s">
        <v>478</v>
      </c>
      <c r="I92" s="167">
        <v>150</v>
      </c>
    </row>
    <row r="93" spans="1:9" x14ac:dyDescent="0.25">
      <c r="A93" s="170" t="s">
        <v>415</v>
      </c>
      <c r="B93" s="170" t="s">
        <v>467</v>
      </c>
      <c r="C93" s="173">
        <v>90</v>
      </c>
      <c r="D93" s="167" t="s">
        <v>469</v>
      </c>
      <c r="E93" s="167" t="s">
        <v>427</v>
      </c>
      <c r="F93" s="167">
        <v>19</v>
      </c>
      <c r="G93" s="175">
        <v>121</v>
      </c>
      <c r="H93" s="175" t="s">
        <v>479</v>
      </c>
      <c r="I93" s="175">
        <v>28.5</v>
      </c>
    </row>
    <row r="94" spans="1:9" x14ac:dyDescent="0.25">
      <c r="A94" s="170" t="s">
        <v>415</v>
      </c>
      <c r="B94" s="170" t="s">
        <v>467</v>
      </c>
      <c r="C94" s="173">
        <v>90</v>
      </c>
      <c r="D94" s="167" t="s">
        <v>469</v>
      </c>
      <c r="E94" s="167" t="s">
        <v>461</v>
      </c>
      <c r="F94" s="167">
        <v>49.6</v>
      </c>
      <c r="G94" s="175">
        <v>121</v>
      </c>
      <c r="H94" s="175" t="s">
        <v>479</v>
      </c>
      <c r="I94" s="175">
        <v>74.400000000000006</v>
      </c>
    </row>
    <row r="95" spans="1:9" x14ac:dyDescent="0.25">
      <c r="A95" s="170" t="s">
        <v>415</v>
      </c>
      <c r="B95" s="170" t="s">
        <v>467</v>
      </c>
      <c r="C95" s="173">
        <v>90</v>
      </c>
      <c r="D95" s="167" t="s">
        <v>469</v>
      </c>
      <c r="E95" s="167" t="s">
        <v>476</v>
      </c>
      <c r="F95" s="167">
        <v>99.3</v>
      </c>
      <c r="G95" s="175">
        <v>121</v>
      </c>
      <c r="H95" s="167" t="s">
        <v>478</v>
      </c>
      <c r="I95" s="175">
        <v>148.94999999999999</v>
      </c>
    </row>
    <row r="96" spans="1:9" x14ac:dyDescent="0.25">
      <c r="A96" s="170" t="s">
        <v>415</v>
      </c>
      <c r="B96" s="170" t="s">
        <v>467</v>
      </c>
      <c r="C96" s="167">
        <v>90</v>
      </c>
      <c r="D96" s="167" t="s">
        <v>469</v>
      </c>
      <c r="E96" s="173" t="s">
        <v>462</v>
      </c>
      <c r="F96" s="175">
        <v>10</v>
      </c>
      <c r="G96" s="175">
        <v>121</v>
      </c>
      <c r="H96" s="175" t="s">
        <v>471</v>
      </c>
      <c r="I96" s="175">
        <v>15</v>
      </c>
    </row>
    <row r="97" spans="1:9" x14ac:dyDescent="0.25">
      <c r="A97" s="170" t="s">
        <v>415</v>
      </c>
      <c r="B97" s="170" t="s">
        <v>467</v>
      </c>
      <c r="C97" s="167">
        <v>90</v>
      </c>
      <c r="D97" s="167" t="s">
        <v>469</v>
      </c>
      <c r="E97" s="167" t="s">
        <v>440</v>
      </c>
      <c r="F97" s="167">
        <v>16</v>
      </c>
      <c r="G97" s="167">
        <v>121</v>
      </c>
      <c r="H97" s="175" t="s">
        <v>478</v>
      </c>
      <c r="I97" s="167">
        <v>24</v>
      </c>
    </row>
    <row r="98" spans="1:9" x14ac:dyDescent="0.25">
      <c r="A98" s="170" t="s">
        <v>415</v>
      </c>
      <c r="B98" s="170" t="s">
        <v>467</v>
      </c>
      <c r="C98" s="167">
        <v>90</v>
      </c>
      <c r="D98" s="167" t="s">
        <v>469</v>
      </c>
      <c r="E98" s="167" t="s">
        <v>463</v>
      </c>
      <c r="F98" s="167">
        <v>25</v>
      </c>
      <c r="G98" s="167">
        <v>121</v>
      </c>
      <c r="H98" s="175" t="s">
        <v>478</v>
      </c>
      <c r="I98" s="167">
        <v>37.5</v>
      </c>
    </row>
    <row r="99" spans="1:9" x14ac:dyDescent="0.25">
      <c r="A99" s="170" t="s">
        <v>415</v>
      </c>
      <c r="B99" s="170" t="s">
        <v>467</v>
      </c>
      <c r="C99" s="167">
        <v>90</v>
      </c>
      <c r="D99" s="167" t="s">
        <v>469</v>
      </c>
      <c r="E99" s="167" t="s">
        <v>475</v>
      </c>
      <c r="F99" s="167">
        <v>40</v>
      </c>
      <c r="G99" s="167">
        <v>121</v>
      </c>
      <c r="H99" s="175" t="s">
        <v>478</v>
      </c>
      <c r="I99" s="167">
        <v>60</v>
      </c>
    </row>
    <row r="100" spans="1:9" x14ac:dyDescent="0.25">
      <c r="A100" s="170" t="s">
        <v>415</v>
      </c>
      <c r="B100" s="170" t="s">
        <v>467</v>
      </c>
      <c r="C100" s="167">
        <v>90</v>
      </c>
      <c r="D100" s="167" t="s">
        <v>469</v>
      </c>
      <c r="E100" s="167" t="s">
        <v>441</v>
      </c>
      <c r="F100" s="167">
        <v>63</v>
      </c>
      <c r="G100" s="167">
        <v>121</v>
      </c>
      <c r="H100" s="175" t="s">
        <v>478</v>
      </c>
      <c r="I100" s="167">
        <v>94.5</v>
      </c>
    </row>
    <row r="101" spans="1:9" x14ac:dyDescent="0.25">
      <c r="A101" s="170" t="s">
        <v>415</v>
      </c>
      <c r="B101" s="170" t="s">
        <v>467</v>
      </c>
      <c r="C101" s="167">
        <v>90</v>
      </c>
      <c r="D101" s="167" t="s">
        <v>469</v>
      </c>
      <c r="E101" s="167" t="s">
        <v>477</v>
      </c>
      <c r="F101" s="167">
        <v>100</v>
      </c>
      <c r="G101" s="167">
        <v>121</v>
      </c>
      <c r="H101" s="175" t="s">
        <v>478</v>
      </c>
      <c r="I101" s="167">
        <v>150</v>
      </c>
    </row>
    <row r="102" spans="1:9" x14ac:dyDescent="0.25">
      <c r="A102" s="170" t="s">
        <v>415</v>
      </c>
      <c r="B102" s="170" t="s">
        <v>467</v>
      </c>
      <c r="C102" s="173">
        <v>92</v>
      </c>
      <c r="D102" s="167" t="s">
        <v>469</v>
      </c>
      <c r="E102" s="167" t="s">
        <v>427</v>
      </c>
      <c r="F102" s="167">
        <v>19</v>
      </c>
      <c r="G102" s="175">
        <v>121</v>
      </c>
      <c r="H102" s="175" t="s">
        <v>478</v>
      </c>
      <c r="I102" s="175">
        <v>28.5</v>
      </c>
    </row>
    <row r="103" spans="1:9" x14ac:dyDescent="0.25">
      <c r="A103" s="170" t="s">
        <v>415</v>
      </c>
      <c r="B103" s="170" t="s">
        <v>467</v>
      </c>
      <c r="C103" s="173">
        <v>92</v>
      </c>
      <c r="D103" s="167" t="s">
        <v>469</v>
      </c>
      <c r="E103" s="167" t="s">
        <v>461</v>
      </c>
      <c r="F103" s="167">
        <v>49.6</v>
      </c>
      <c r="G103" s="175">
        <v>121</v>
      </c>
      <c r="H103" s="175" t="s">
        <v>478</v>
      </c>
      <c r="I103" s="175">
        <v>74.400000000000006</v>
      </c>
    </row>
    <row r="104" spans="1:9" x14ac:dyDescent="0.25">
      <c r="A104" s="170" t="s">
        <v>415</v>
      </c>
      <c r="B104" s="170" t="s">
        <v>467</v>
      </c>
      <c r="C104" s="173">
        <v>92</v>
      </c>
      <c r="D104" s="167" t="s">
        <v>469</v>
      </c>
      <c r="E104" s="167" t="s">
        <v>476</v>
      </c>
      <c r="F104" s="167">
        <v>99.3</v>
      </c>
      <c r="G104" s="175">
        <v>121</v>
      </c>
      <c r="H104" s="175" t="s">
        <v>479</v>
      </c>
      <c r="I104" s="175">
        <v>148.94999999999999</v>
      </c>
    </row>
    <row r="105" spans="1:9" x14ac:dyDescent="0.25">
      <c r="A105" s="170" t="s">
        <v>415</v>
      </c>
      <c r="B105" s="170" t="s">
        <v>467</v>
      </c>
      <c r="C105" s="167">
        <v>92</v>
      </c>
      <c r="D105" s="167" t="s">
        <v>469</v>
      </c>
      <c r="E105" s="173" t="s">
        <v>462</v>
      </c>
      <c r="F105" s="175">
        <v>10</v>
      </c>
      <c r="G105" s="175">
        <v>121</v>
      </c>
      <c r="H105" s="175" t="s">
        <v>478</v>
      </c>
      <c r="I105" s="175">
        <v>15</v>
      </c>
    </row>
    <row r="106" spans="1:9" x14ac:dyDescent="0.25">
      <c r="A106" s="170" t="s">
        <v>415</v>
      </c>
      <c r="B106" s="170" t="s">
        <v>467</v>
      </c>
      <c r="C106" s="167">
        <v>92</v>
      </c>
      <c r="D106" s="167" t="s">
        <v>469</v>
      </c>
      <c r="E106" s="167" t="s">
        <v>440</v>
      </c>
      <c r="F106" s="167">
        <v>16</v>
      </c>
      <c r="G106" s="167">
        <v>121</v>
      </c>
      <c r="H106" s="175" t="s">
        <v>478</v>
      </c>
      <c r="I106" s="167">
        <v>24</v>
      </c>
    </row>
    <row r="107" spans="1:9" x14ac:dyDescent="0.25">
      <c r="A107" s="170" t="s">
        <v>415</v>
      </c>
      <c r="B107" s="170" t="s">
        <v>467</v>
      </c>
      <c r="C107" s="167">
        <v>92</v>
      </c>
      <c r="D107" s="167" t="s">
        <v>469</v>
      </c>
      <c r="E107" s="167" t="s">
        <v>463</v>
      </c>
      <c r="F107" s="167">
        <v>25</v>
      </c>
      <c r="G107" s="167">
        <v>121</v>
      </c>
      <c r="H107" s="175" t="s">
        <v>478</v>
      </c>
      <c r="I107" s="167">
        <v>37.5</v>
      </c>
    </row>
    <row r="108" spans="1:9" x14ac:dyDescent="0.25">
      <c r="A108" s="170" t="s">
        <v>415</v>
      </c>
      <c r="B108" s="170" t="s">
        <v>467</v>
      </c>
      <c r="C108" s="167">
        <v>92</v>
      </c>
      <c r="D108" s="167" t="s">
        <v>469</v>
      </c>
      <c r="E108" s="167" t="s">
        <v>475</v>
      </c>
      <c r="F108" s="167">
        <v>40</v>
      </c>
      <c r="G108" s="167">
        <v>121</v>
      </c>
      <c r="H108" s="175" t="s">
        <v>478</v>
      </c>
      <c r="I108" s="167">
        <v>60</v>
      </c>
    </row>
    <row r="109" spans="1:9" x14ac:dyDescent="0.25">
      <c r="A109" s="170" t="s">
        <v>415</v>
      </c>
      <c r="B109" s="170" t="s">
        <v>467</v>
      </c>
      <c r="C109" s="167">
        <v>92</v>
      </c>
      <c r="D109" s="167" t="s">
        <v>469</v>
      </c>
      <c r="E109" s="167" t="s">
        <v>441</v>
      </c>
      <c r="F109" s="167">
        <v>63</v>
      </c>
      <c r="G109" s="167">
        <v>121</v>
      </c>
      <c r="H109" s="175" t="s">
        <v>478</v>
      </c>
      <c r="I109" s="167">
        <v>94.5</v>
      </c>
    </row>
    <row r="110" spans="1:9" x14ac:dyDescent="0.25">
      <c r="A110" s="170" t="s">
        <v>415</v>
      </c>
      <c r="B110" s="170" t="s">
        <v>467</v>
      </c>
      <c r="C110" s="167">
        <v>92</v>
      </c>
      <c r="D110" s="167" t="s">
        <v>469</v>
      </c>
      <c r="E110" s="167" t="s">
        <v>477</v>
      </c>
      <c r="F110" s="167">
        <v>100</v>
      </c>
      <c r="G110" s="167">
        <v>121</v>
      </c>
      <c r="H110" s="175" t="s">
        <v>478</v>
      </c>
      <c r="I110" s="167">
        <v>150</v>
      </c>
    </row>
    <row r="111" spans="1:9" x14ac:dyDescent="0.25">
      <c r="C111" s="167"/>
      <c r="D111" s="167"/>
      <c r="E111" s="167"/>
      <c r="F111" s="167"/>
      <c r="G111" s="167"/>
      <c r="H111" s="175"/>
      <c r="I111" s="167"/>
    </row>
    <row r="112" spans="1:9" x14ac:dyDescent="0.25">
      <c r="A112" s="170" t="s">
        <v>419</v>
      </c>
      <c r="B112" s="170" t="s">
        <v>480</v>
      </c>
      <c r="C112" s="167" t="s">
        <v>473</v>
      </c>
      <c r="D112" s="167" t="s">
        <v>469</v>
      </c>
      <c r="E112" s="167" t="s">
        <v>404</v>
      </c>
      <c r="F112" s="167">
        <v>50</v>
      </c>
      <c r="G112" s="167">
        <v>180</v>
      </c>
      <c r="H112" s="175" t="s">
        <v>218</v>
      </c>
      <c r="I112" s="167">
        <f>ROUND(F112*1.5,0)</f>
        <v>75</v>
      </c>
    </row>
    <row r="113" spans="1:14" x14ac:dyDescent="0.25">
      <c r="A113" s="170" t="s">
        <v>419</v>
      </c>
      <c r="B113" s="170" t="s">
        <v>480</v>
      </c>
      <c r="C113" s="167" t="s">
        <v>481</v>
      </c>
      <c r="D113" s="167" t="s">
        <v>469</v>
      </c>
      <c r="E113" s="167" t="s">
        <v>404</v>
      </c>
      <c r="F113" s="167">
        <v>50</v>
      </c>
      <c r="G113" s="167">
        <v>180</v>
      </c>
      <c r="H113" s="175" t="s">
        <v>218</v>
      </c>
      <c r="I113" s="167">
        <f>ROUND(F113*1.5,0)</f>
        <v>75</v>
      </c>
    </row>
    <row r="114" spans="1:14" x14ac:dyDescent="0.25">
      <c r="A114" s="170" t="s">
        <v>419</v>
      </c>
      <c r="B114" s="170" t="s">
        <v>480</v>
      </c>
      <c r="C114" s="167" t="s">
        <v>482</v>
      </c>
      <c r="D114" s="167" t="s">
        <v>469</v>
      </c>
      <c r="E114" s="167" t="s">
        <v>404</v>
      </c>
      <c r="F114" s="167">
        <v>50</v>
      </c>
      <c r="G114" s="167">
        <v>180</v>
      </c>
      <c r="H114" s="175" t="s">
        <v>218</v>
      </c>
      <c r="I114" s="167">
        <f>ROUND(F114*1.5,0)</f>
        <v>75</v>
      </c>
    </row>
    <row r="115" spans="1:14" x14ac:dyDescent="0.25">
      <c r="A115" s="170" t="s">
        <v>419</v>
      </c>
      <c r="B115" s="170" t="s">
        <v>480</v>
      </c>
      <c r="C115" s="167" t="s">
        <v>483</v>
      </c>
      <c r="D115" s="167" t="s">
        <v>469</v>
      </c>
      <c r="E115" s="167" t="s">
        <v>404</v>
      </c>
      <c r="F115" s="167">
        <v>50</v>
      </c>
      <c r="G115" s="167">
        <v>180</v>
      </c>
      <c r="H115" s="175" t="s">
        <v>218</v>
      </c>
      <c r="I115" s="167">
        <f>ROUND(F115*1.5,0)</f>
        <v>75</v>
      </c>
    </row>
    <row r="116" spans="1:14" x14ac:dyDescent="0.25">
      <c r="A116" s="170" t="s">
        <v>419</v>
      </c>
      <c r="B116" s="170" t="s">
        <v>480</v>
      </c>
      <c r="C116" s="167" t="s">
        <v>179</v>
      </c>
      <c r="D116" s="167" t="s">
        <v>469</v>
      </c>
      <c r="E116" s="167" t="s">
        <v>427</v>
      </c>
      <c r="F116" s="167">
        <v>15.9</v>
      </c>
      <c r="G116" s="167">
        <v>180</v>
      </c>
      <c r="H116" s="175" t="s">
        <v>218</v>
      </c>
      <c r="I116" s="167">
        <v>24</v>
      </c>
    </row>
    <row r="117" spans="1:14" x14ac:dyDescent="0.25">
      <c r="A117" s="170" t="s">
        <v>419</v>
      </c>
      <c r="B117" s="170" t="s">
        <v>480</v>
      </c>
      <c r="C117" s="167" t="s">
        <v>181</v>
      </c>
      <c r="D117" s="167" t="s">
        <v>469</v>
      </c>
      <c r="E117" s="167" t="s">
        <v>427</v>
      </c>
      <c r="F117" s="167">
        <v>15.9</v>
      </c>
      <c r="G117" s="167">
        <v>180</v>
      </c>
      <c r="H117" s="175" t="s">
        <v>218</v>
      </c>
      <c r="I117" s="167">
        <v>24</v>
      </c>
    </row>
    <row r="118" spans="1:14" x14ac:dyDescent="0.25">
      <c r="A118" s="170" t="s">
        <v>419</v>
      </c>
      <c r="B118" s="170" t="s">
        <v>480</v>
      </c>
      <c r="C118" s="167" t="s">
        <v>179</v>
      </c>
      <c r="D118" s="167" t="s">
        <v>469</v>
      </c>
      <c r="E118" s="167" t="s">
        <v>461</v>
      </c>
      <c r="F118" s="167">
        <v>41.4</v>
      </c>
      <c r="G118" s="167">
        <v>180</v>
      </c>
      <c r="H118" s="175" t="s">
        <v>218</v>
      </c>
      <c r="I118" s="167">
        <v>62</v>
      </c>
    </row>
    <row r="119" spans="1:14" x14ac:dyDescent="0.25">
      <c r="A119" s="170" t="s">
        <v>419</v>
      </c>
      <c r="B119" s="170" t="s">
        <v>480</v>
      </c>
      <c r="C119" s="167" t="s">
        <v>181</v>
      </c>
      <c r="D119" s="167" t="s">
        <v>469</v>
      </c>
      <c r="E119" s="167" t="s">
        <v>461</v>
      </c>
      <c r="F119" s="167">
        <v>41.4</v>
      </c>
      <c r="G119" s="167">
        <v>180</v>
      </c>
      <c r="H119" s="175" t="s">
        <v>218</v>
      </c>
      <c r="I119" s="167">
        <v>62</v>
      </c>
    </row>
    <row r="120" spans="1:14" x14ac:dyDescent="0.25">
      <c r="A120" s="170" t="s">
        <v>419</v>
      </c>
      <c r="B120" s="170" t="s">
        <v>480</v>
      </c>
      <c r="C120" s="167" t="s">
        <v>179</v>
      </c>
      <c r="D120" s="167" t="s">
        <v>469</v>
      </c>
      <c r="E120" s="167" t="s">
        <v>462</v>
      </c>
      <c r="F120" s="167">
        <v>16</v>
      </c>
      <c r="G120" s="167">
        <v>180</v>
      </c>
      <c r="H120" s="175" t="s">
        <v>218</v>
      </c>
      <c r="I120" s="167">
        <v>24</v>
      </c>
    </row>
    <row r="121" spans="1:14" x14ac:dyDescent="0.25">
      <c r="A121" s="170" t="s">
        <v>419</v>
      </c>
      <c r="B121" s="170" t="s">
        <v>480</v>
      </c>
      <c r="C121" s="167" t="s">
        <v>181</v>
      </c>
      <c r="D121" s="167" t="s">
        <v>469</v>
      </c>
      <c r="E121" s="167" t="s">
        <v>462</v>
      </c>
      <c r="F121" s="167">
        <v>16</v>
      </c>
      <c r="G121" s="167">
        <v>180</v>
      </c>
      <c r="H121" s="175" t="s">
        <v>218</v>
      </c>
      <c r="I121" s="167">
        <v>24</v>
      </c>
    </row>
    <row r="122" spans="1:14" x14ac:dyDescent="0.25">
      <c r="A122" s="170" t="s">
        <v>419</v>
      </c>
      <c r="B122" s="170" t="s">
        <v>480</v>
      </c>
      <c r="C122" s="167" t="s">
        <v>179</v>
      </c>
      <c r="D122" s="167" t="s">
        <v>469</v>
      </c>
      <c r="E122" s="167" t="s">
        <v>463</v>
      </c>
      <c r="F122" s="167">
        <v>40</v>
      </c>
      <c r="G122" s="167">
        <v>180</v>
      </c>
      <c r="H122" s="175" t="s">
        <v>218</v>
      </c>
      <c r="I122" s="167">
        <v>60</v>
      </c>
    </row>
    <row r="123" spans="1:14" x14ac:dyDescent="0.25">
      <c r="A123" s="170" t="s">
        <v>419</v>
      </c>
      <c r="B123" s="170" t="s">
        <v>480</v>
      </c>
      <c r="C123" s="167" t="s">
        <v>181</v>
      </c>
      <c r="D123" s="167" t="s">
        <v>469</v>
      </c>
      <c r="E123" s="167" t="s">
        <v>463</v>
      </c>
      <c r="F123" s="167">
        <v>40</v>
      </c>
      <c r="G123" s="167">
        <v>180</v>
      </c>
      <c r="H123" s="175" t="s">
        <v>218</v>
      </c>
      <c r="I123" s="167">
        <v>60</v>
      </c>
    </row>
    <row r="124" spans="1:14" x14ac:dyDescent="0.25">
      <c r="D124" s="176"/>
      <c r="L124" s="176"/>
      <c r="M124" s="176"/>
      <c r="N124" s="176"/>
    </row>
    <row r="125" spans="1:14" x14ac:dyDescent="0.25">
      <c r="L125" s="176"/>
      <c r="M125" s="176"/>
      <c r="N125" s="176"/>
    </row>
    <row r="126" spans="1:14" x14ac:dyDescent="0.25">
      <c r="A126" s="170" t="s">
        <v>484</v>
      </c>
      <c r="B126" s="170" t="s">
        <v>485</v>
      </c>
      <c r="L126" s="176"/>
      <c r="M126" s="176"/>
      <c r="N126" s="176"/>
    </row>
    <row r="127" spans="1:14" x14ac:dyDescent="0.25">
      <c r="A127" s="177" t="s">
        <v>486</v>
      </c>
      <c r="B127" s="177" t="s">
        <v>487</v>
      </c>
      <c r="C127" s="177" t="s">
        <v>488</v>
      </c>
      <c r="D127" s="177"/>
      <c r="E127" s="153"/>
      <c r="I127" s="154"/>
      <c r="L127" s="176"/>
      <c r="M127" s="176"/>
      <c r="N127" s="176"/>
    </row>
    <row r="128" spans="1:14" x14ac:dyDescent="0.25">
      <c r="A128" s="177" t="s">
        <v>489</v>
      </c>
      <c r="B128" s="177" t="s">
        <v>490</v>
      </c>
      <c r="C128" s="177">
        <v>20</v>
      </c>
      <c r="D128" s="177" t="s">
        <v>491</v>
      </c>
      <c r="E128" s="35" t="s">
        <v>492</v>
      </c>
      <c r="I128" s="154"/>
      <c r="L128" s="176"/>
      <c r="M128" s="176"/>
      <c r="N128" s="176"/>
    </row>
    <row r="129" spans="1:14" x14ac:dyDescent="0.25">
      <c r="A129" s="177" t="s">
        <v>489</v>
      </c>
      <c r="B129" s="177" t="s">
        <v>66</v>
      </c>
      <c r="C129" s="177">
        <v>70</v>
      </c>
      <c r="D129" s="177" t="s">
        <v>491</v>
      </c>
      <c r="E129" s="35" t="s">
        <v>493</v>
      </c>
      <c r="I129" s="154"/>
      <c r="L129" s="176"/>
      <c r="M129" s="176"/>
      <c r="N129" s="176"/>
    </row>
    <row r="130" spans="1:14" x14ac:dyDescent="0.25">
      <c r="A130" s="177" t="s">
        <v>489</v>
      </c>
      <c r="B130" s="177" t="s">
        <v>406</v>
      </c>
      <c r="C130" s="177">
        <v>160</v>
      </c>
      <c r="D130" s="177" t="s">
        <v>491</v>
      </c>
      <c r="E130" s="153"/>
      <c r="I130" s="154"/>
      <c r="L130" s="176"/>
      <c r="M130" s="176"/>
      <c r="N130" s="176"/>
    </row>
    <row r="131" spans="1:14" x14ac:dyDescent="0.25">
      <c r="A131" s="177" t="s">
        <v>489</v>
      </c>
      <c r="B131" s="177" t="s">
        <v>71</v>
      </c>
      <c r="C131" s="177">
        <v>210</v>
      </c>
      <c r="D131" s="177" t="s">
        <v>491</v>
      </c>
      <c r="E131" s="153"/>
      <c r="I131" s="154"/>
    </row>
    <row r="132" spans="1:14" x14ac:dyDescent="0.25">
      <c r="A132" s="177" t="s">
        <v>489</v>
      </c>
      <c r="B132" s="177" t="s">
        <v>72</v>
      </c>
      <c r="C132" s="177">
        <v>210</v>
      </c>
      <c r="D132" s="177" t="s">
        <v>491</v>
      </c>
      <c r="E132" s="153"/>
      <c r="I132" s="154"/>
    </row>
    <row r="133" spans="1:14" x14ac:dyDescent="0.25">
      <c r="A133" s="177" t="s">
        <v>489</v>
      </c>
      <c r="B133" s="177" t="s">
        <v>73</v>
      </c>
      <c r="C133" s="177">
        <v>210</v>
      </c>
      <c r="D133" s="177" t="s">
        <v>491</v>
      </c>
      <c r="E133" s="153"/>
      <c r="I133" s="154"/>
    </row>
    <row r="134" spans="1:14" x14ac:dyDescent="0.25">
      <c r="A134" s="177"/>
      <c r="B134" s="177"/>
      <c r="C134" s="177"/>
      <c r="D134" s="177"/>
      <c r="E134" s="153"/>
      <c r="I134" s="154"/>
    </row>
    <row r="135" spans="1:14" x14ac:dyDescent="0.25">
      <c r="A135" s="177" t="s">
        <v>494</v>
      </c>
      <c r="B135" s="177" t="s">
        <v>490</v>
      </c>
      <c r="C135" s="177">
        <v>6</v>
      </c>
      <c r="D135" s="177" t="s">
        <v>491</v>
      </c>
      <c r="E135" s="153"/>
      <c r="I135" s="154"/>
    </row>
    <row r="136" spans="1:14" x14ac:dyDescent="0.25">
      <c r="A136" s="177" t="s">
        <v>494</v>
      </c>
      <c r="B136" s="177" t="s">
        <v>68</v>
      </c>
      <c r="C136" s="177">
        <v>100</v>
      </c>
      <c r="D136" s="177" t="s">
        <v>491</v>
      </c>
      <c r="E136" s="153"/>
      <c r="I136" s="154"/>
    </row>
    <row r="137" spans="1:14" x14ac:dyDescent="0.25">
      <c r="A137" s="177" t="s">
        <v>494</v>
      </c>
      <c r="B137" s="177" t="s">
        <v>71</v>
      </c>
      <c r="C137" s="177">
        <v>100</v>
      </c>
      <c r="D137" s="177" t="s">
        <v>491</v>
      </c>
      <c r="E137" s="153"/>
      <c r="I137" s="154"/>
    </row>
    <row r="138" spans="1:14" x14ac:dyDescent="0.25">
      <c r="A138" s="177" t="s">
        <v>494</v>
      </c>
      <c r="B138" s="177" t="s">
        <v>495</v>
      </c>
      <c r="C138" s="177">
        <v>100</v>
      </c>
      <c r="D138" s="177" t="s">
        <v>491</v>
      </c>
      <c r="E138" s="153"/>
      <c r="I138" s="15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7"/>
  <sheetViews>
    <sheetView view="pageLayout" zoomScaleNormal="100" workbookViewId="0">
      <selection activeCell="B8" sqref="B8"/>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hidden="1" customWidth="1"/>
    <col min="8" max="8" width="9.140625" style="28" customWidth="1"/>
    <col min="9" max="16384" width="9.140625" style="28"/>
  </cols>
  <sheetData>
    <row r="1" spans="1:7" x14ac:dyDescent="0.25">
      <c r="A1" s="23" t="s">
        <v>1</v>
      </c>
      <c r="B1" s="24" t="str">
        <f>CustomerName</f>
        <v>OurNameTest</v>
      </c>
      <c r="C1" s="24"/>
      <c r="D1" s="24"/>
      <c r="E1" s="26"/>
      <c r="F1" s="27"/>
    </row>
    <row r="2" spans="1:7" x14ac:dyDescent="0.25">
      <c r="A2" s="29" t="s">
        <v>26</v>
      </c>
      <c r="B2" s="262">
        <f>SalesOrderNumber</f>
        <v>1002</v>
      </c>
      <c r="C2" s="262"/>
      <c r="D2" s="262"/>
      <c r="E2" s="263"/>
      <c r="F2" s="30"/>
      <c r="G2" s="30"/>
    </row>
    <row r="3" spans="1:7" x14ac:dyDescent="0.25">
      <c r="A3" s="29" t="s">
        <v>27</v>
      </c>
      <c r="B3" s="262">
        <f>PurchaseOrderNumber</f>
        <v>450125487</v>
      </c>
      <c r="C3" s="262"/>
      <c r="D3" s="262"/>
      <c r="E3" s="264"/>
      <c r="F3" s="27"/>
      <c r="G3" s="31"/>
    </row>
    <row r="4" spans="1:7" x14ac:dyDescent="0.25">
      <c r="A4" s="267" t="s">
        <v>946</v>
      </c>
      <c r="B4" s="266">
        <v>19</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178"/>
    </row>
    <row r="7" spans="1:7" x14ac:dyDescent="0.25">
      <c r="A7" s="29" t="s">
        <v>29</v>
      </c>
      <c r="B7" s="301"/>
      <c r="C7" s="301"/>
      <c r="D7" s="301"/>
      <c r="E7" s="302"/>
      <c r="F7" s="30"/>
      <c r="G7" s="30"/>
    </row>
    <row r="8" spans="1:7" x14ac:dyDescent="0.25">
      <c r="A8" s="29" t="s">
        <v>30</v>
      </c>
      <c r="B8" s="260">
        <v>1</v>
      </c>
      <c r="C8" s="260"/>
      <c r="D8" s="260"/>
      <c r="E8" s="261"/>
    </row>
    <row r="9" spans="1:7" x14ac:dyDescent="0.25">
      <c r="A9" s="29" t="s">
        <v>31</v>
      </c>
      <c r="B9" s="301" t="s">
        <v>1060</v>
      </c>
      <c r="C9" s="301"/>
      <c r="D9" s="301"/>
      <c r="E9" s="302"/>
      <c r="F9" s="27"/>
    </row>
    <row r="10" spans="1:7" x14ac:dyDescent="0.25">
      <c r="A10" s="29" t="s">
        <v>32</v>
      </c>
      <c r="B10" s="301" t="s">
        <v>1079</v>
      </c>
      <c r="C10" s="301"/>
      <c r="D10" s="301"/>
      <c r="E10" s="302"/>
      <c r="F10" s="27"/>
    </row>
    <row r="11" spans="1:7" x14ac:dyDescent="0.25">
      <c r="A11" s="29" t="s">
        <v>33</v>
      </c>
      <c r="B11" s="262">
        <v>1</v>
      </c>
      <c r="C11" s="262"/>
      <c r="D11" s="262"/>
      <c r="E11" s="263"/>
      <c r="F11" s="27"/>
    </row>
    <row r="12" spans="1:7" x14ac:dyDescent="0.25">
      <c r="A12" s="29" t="s">
        <v>965</v>
      </c>
      <c r="B12" s="30" t="s">
        <v>966</v>
      </c>
      <c r="C12" s="30"/>
      <c r="D12" s="305" t="s">
        <v>974</v>
      </c>
      <c r="E12" s="306"/>
      <c r="F12" s="27"/>
    </row>
    <row r="13" spans="1:7" x14ac:dyDescent="0.25">
      <c r="A13" s="34"/>
      <c r="B13" s="35" t="s">
        <v>967</v>
      </c>
      <c r="C13" s="27"/>
      <c r="D13" s="305" t="s">
        <v>986</v>
      </c>
      <c r="E13" s="306"/>
      <c r="F13" s="27"/>
    </row>
    <row r="14" spans="1:7" x14ac:dyDescent="0.25">
      <c r="A14" s="29" t="s">
        <v>34</v>
      </c>
      <c r="B14" s="27">
        <f>IF(TB_FS_select="Y", VLOOKUP(B20, 'TB PED Data'!D50:E109, 2, 0), TB_PT_select)</f>
        <v>63</v>
      </c>
      <c r="C14" s="27" t="s">
        <v>35</v>
      </c>
      <c r="D14" s="35" t="s">
        <v>36</v>
      </c>
      <c r="E14" s="33"/>
      <c r="F14" s="27"/>
    </row>
    <row r="15" spans="1:7" x14ac:dyDescent="0.25">
      <c r="A15" s="360"/>
      <c r="B15" s="361"/>
      <c r="C15" s="361"/>
      <c r="D15" s="361"/>
      <c r="E15" s="362"/>
      <c r="F15" s="27"/>
    </row>
    <row r="16" spans="1:7" x14ac:dyDescent="0.25">
      <c r="A16" s="37" t="s">
        <v>37</v>
      </c>
      <c r="B16" s="27"/>
      <c r="C16" s="27"/>
      <c r="D16" s="38" t="s">
        <v>38</v>
      </c>
      <c r="E16" s="33"/>
      <c r="F16" s="27"/>
    </row>
    <row r="17" spans="1:7" ht="15" x14ac:dyDescent="0.25">
      <c r="A17" s="29" t="s">
        <v>39</v>
      </c>
      <c r="B17" s="197">
        <v>512</v>
      </c>
      <c r="C17" s="27"/>
      <c r="D17" s="178" t="s">
        <v>41</v>
      </c>
      <c r="E17" s="40" t="str">
        <f>IF(OR(TB_PIPEID&lt;=120, AND(TB_MIS_Bidirectional="Yes", TB_MIS_PipeID&lt;400)), "4 holes", IF(TB_PIPEID&gt;=1200, "8 holes", "6 holes"))</f>
        <v>6 holes</v>
      </c>
      <c r="F17" s="27"/>
    </row>
    <row r="18" spans="1:7" ht="15" x14ac:dyDescent="0.25">
      <c r="A18" s="29" t="s">
        <v>42</v>
      </c>
      <c r="B18" s="271">
        <v>387.3</v>
      </c>
      <c r="C18" s="27"/>
      <c r="D18" s="178" t="s">
        <v>43</v>
      </c>
      <c r="E18" s="40">
        <f>VLOOKUP(B17, 'TB Model Data'!A14:B47, 2, 0)+VLOOKUP(TB_MIS_CoolingFins,'TB Calculation Data'!$C$138:$D$139,2,FALSE)+IF(TB_NRT_select="Y", VLOOKUP(TB_MIS_THREADEDFLANGE, 'TB Calculation Data'!C146:D147, 2, FALSE), 0)+IF(TB_FLANGET&gt;=60, _xlfn.CEILING.MATH(TB_FLANGET-60, 20), 0)</f>
        <v>120</v>
      </c>
      <c r="F18" s="27"/>
      <c r="G18" s="28"/>
    </row>
    <row r="19" spans="1:7" ht="15" x14ac:dyDescent="0.25">
      <c r="A19" s="29" t="s">
        <v>44</v>
      </c>
      <c r="B19" s="271">
        <v>9.5500000000000007</v>
      </c>
      <c r="C19" s="27"/>
      <c r="D19" s="178" t="s">
        <v>45</v>
      </c>
      <c r="E19" s="40">
        <f>VLOOKUP(B17, 'TB Model Data'!A14:D47, 3, 0)</f>
        <v>3</v>
      </c>
      <c r="G19" s="28"/>
    </row>
    <row r="20" spans="1:7" ht="15" x14ac:dyDescent="0.25">
      <c r="A20" s="29" t="s">
        <v>46</v>
      </c>
      <c r="B20" s="271" t="s">
        <v>633</v>
      </c>
      <c r="C20" s="27"/>
      <c r="D20" s="178" t="s">
        <v>405</v>
      </c>
      <c r="E20" s="40">
        <f>IF(TB_FS_select="Y", VLOOKUP(B21, 'TB Calculation Data'!E126:F129, 2, 0), 0)</f>
        <v>1.5</v>
      </c>
      <c r="G20" s="28"/>
    </row>
    <row r="21" spans="1:7" ht="15" x14ac:dyDescent="0.25">
      <c r="A21" s="29" t="s">
        <v>49</v>
      </c>
      <c r="B21" s="271" t="s">
        <v>238</v>
      </c>
      <c r="C21" s="27"/>
      <c r="D21" s="178" t="s">
        <v>50</v>
      </c>
      <c r="E21" s="40">
        <f>IF(TB_FS_select="Y", IF('TB Calculation Data'!B156="Yes", 'TB Calculation Data'!C156, VLOOKUP(B20, 'TB Calculation Data'!B5:C93, 2, 0)), 0)</f>
        <v>127</v>
      </c>
      <c r="G21" s="28"/>
    </row>
    <row r="22" spans="1:7" ht="15" x14ac:dyDescent="0.25">
      <c r="A22" s="29" t="s">
        <v>518</v>
      </c>
      <c r="B22" s="271" t="s">
        <v>260</v>
      </c>
      <c r="C22" s="27"/>
      <c r="D22" s="178" t="s">
        <v>519</v>
      </c>
      <c r="E22" s="40">
        <f>IF(TB_MIS_IsoValve="user supplied", TB_CalcData_IsoValLen_Value_mm, IF('TB Calculation Data'!B157="Yes", 'TB Calculation Data'!C157, VLOOKUP(B22, 'TB Calculation Data'!C97:D113, 2, 0)))</f>
        <v>0</v>
      </c>
      <c r="G22" s="28"/>
    </row>
    <row r="23" spans="1:7" ht="15" x14ac:dyDescent="0.25">
      <c r="A23" s="29" t="s">
        <v>520</v>
      </c>
      <c r="B23" s="271" t="s">
        <v>204</v>
      </c>
      <c r="C23" s="27"/>
      <c r="D23" s="178" t="s">
        <v>53</v>
      </c>
      <c r="E23" s="40">
        <f>IF(TB_FS_select="Y", VLOOKUP(B20, 'TB Calculation Data'!B5:D93, 3, 0), 0)</f>
        <v>27</v>
      </c>
      <c r="F23" s="27"/>
      <c r="G23" s="28"/>
    </row>
    <row r="24" spans="1:7" ht="15" x14ac:dyDescent="0.25">
      <c r="A24" s="29" t="s">
        <v>521</v>
      </c>
      <c r="B24" s="271" t="s">
        <v>533</v>
      </c>
      <c r="C24" s="27" t="str">
        <f>IF(TB_MIS_EndSupport='TB Calculation Data'!D120,"(sp = internal)",IF(TB_MIS_EndSupport='TB Calculation Data'!D121,"std=external"," "))</f>
        <v xml:space="preserve"> </v>
      </c>
      <c r="D24" s="178" t="s">
        <v>54</v>
      </c>
      <c r="E24" s="40">
        <f>IF(TB_ES_select="Y", VLOOKUP(B24, 'TB Calculation Data'!D118:E121, 2, 0), 0) + IF(B23="Yes", 'TB Calculation Data'!#REF!, 0)</f>
        <v>60</v>
      </c>
      <c r="G24" s="28"/>
    </row>
    <row r="25" spans="1:7" ht="15" x14ac:dyDescent="0.25">
      <c r="A25" s="29" t="s">
        <v>522</v>
      </c>
      <c r="B25" s="274" t="s">
        <v>204</v>
      </c>
      <c r="C25" s="27"/>
      <c r="D25" s="35" t="s">
        <v>523</v>
      </c>
      <c r="E25" s="40">
        <f>IF(VLOOKUP(B17, 'TB Model Data'!A14:J47, 10, 0)="N", 0, IF(B25="Yes", VLOOKUP(B25, 'TB Calculation Data'!C134:D135, 2, 0), 0))</f>
        <v>0</v>
      </c>
      <c r="G25" s="28"/>
    </row>
    <row r="26" spans="1:7" ht="15" x14ac:dyDescent="0.25">
      <c r="A26" s="29" t="s">
        <v>961</v>
      </c>
      <c r="B26" s="278" t="s">
        <v>204</v>
      </c>
      <c r="C26" s="27"/>
      <c r="D26" s="35"/>
      <c r="E26" s="40"/>
      <c r="G26" s="28"/>
    </row>
    <row r="27" spans="1:7" ht="15" x14ac:dyDescent="0.25">
      <c r="A27" s="267" t="s">
        <v>954</v>
      </c>
      <c r="B27" s="285" t="s">
        <v>204</v>
      </c>
      <c r="C27" s="27"/>
      <c r="D27" s="35"/>
      <c r="E27" s="40"/>
      <c r="G27" s="28"/>
    </row>
    <row r="28" spans="1:7" ht="15" x14ac:dyDescent="0.25">
      <c r="A28" s="276" t="s">
        <v>1005</v>
      </c>
      <c r="B28" s="273" t="s">
        <v>204</v>
      </c>
      <c r="C28" s="180"/>
      <c r="D28" s="181"/>
      <c r="E28" s="56"/>
      <c r="G28" s="28"/>
    </row>
    <row r="29" spans="1:7" x14ac:dyDescent="0.25">
      <c r="A29" s="34"/>
      <c r="B29" s="27"/>
      <c r="C29" s="27"/>
      <c r="D29" s="27"/>
      <c r="E29" s="33"/>
      <c r="G29" s="28"/>
    </row>
    <row r="30" spans="1:7" ht="15" x14ac:dyDescent="0.25">
      <c r="A30" s="50" t="s">
        <v>55</v>
      </c>
      <c r="B30" s="48"/>
      <c r="C30" s="48"/>
      <c r="D30" s="51" t="s">
        <v>56</v>
      </c>
      <c r="E30" s="40"/>
      <c r="G30" s="28"/>
    </row>
    <row r="31" spans="1:7" ht="15" x14ac:dyDescent="0.25">
      <c r="A31" s="47" t="s">
        <v>57</v>
      </c>
      <c r="B31" s="48">
        <f>IF(TB_MIS_EndSupport="Partial Insert",(IF(TB_HT_select="N",IF(TB_ES_select="N",TB_PIPEID+TB_WALLT+TB_NL+TB_FS+TB_GT+TB_ISOVALVE-TB_EC,TB_PIPEID+TB_WALLT+TB_NL+TB_FS+TB_GT+TB_ISOVALVE-TB_EC+(TB_WALLT+TB_ES_LENGTH+TB_GT_two)),(TB_PC*2)+TB_MIS_WallThickness+TB_NL-TB_EC))-G41,(IF(TB_HT_select="N",IF(TB_ES_select="N",TB_PIPEID+TB_WALLT+TB_NL+TB_FS+TB_GT+TB_ISOVALVE-TB_EC,TB_PIPEID+TB_WALLT+TB_NL+TB_FS+TB_GT+TB_ISOVALVE-TB_EC+(TB_WALLT+TB_ES_LENGTH+TB_GT_two)),(TB_PC*2)+TB_MIS_WallThickness+TB_NL-TB_EC+IF(NOT(B35="N/A"), -B35, 0))))</f>
        <v>711.9</v>
      </c>
      <c r="C31" s="48"/>
      <c r="D31" s="48" t="s">
        <v>58</v>
      </c>
      <c r="E31" s="49">
        <f>IF(TB_HT_select="N",IF(TB_FS_select="Y",TB_NL+TB_GT+TB_FS+TB_WALLT,"N/A"),"N/A")</f>
        <v>258.05</v>
      </c>
      <c r="G31" s="28"/>
    </row>
    <row r="32" spans="1:7" ht="15" x14ac:dyDescent="0.25">
      <c r="A32" s="47" t="s">
        <v>59</v>
      </c>
      <c r="B32" s="275">
        <f>IF(TB_MIS_Bidirectional="Yes", "N/A", TB_A_Length-TB_I_Dim+TB_EC+IF(TB_Series_select=3,20,0)+IF(TB_MIS_ModelType="H611", B35+10, 0))</f>
        <v>454.7</v>
      </c>
      <c r="C32" s="48"/>
      <c r="D32" s="48" t="s">
        <v>60</v>
      </c>
      <c r="E32" s="49">
        <f>IF(TB_HT_select="N",IF(TB_ES_select="Y",TB_ES_LENGTH+TB_GT_two+TB_WALLT,"N/A"),"N/A")</f>
        <v>69.55</v>
      </c>
      <c r="G32" s="28"/>
    </row>
    <row r="33" spans="1:9" ht="15" x14ac:dyDescent="0.25">
      <c r="A33" s="47" t="s">
        <v>61</v>
      </c>
      <c r="B33" s="275">
        <f>IF(OR(TB_NRT_select="Y", TB_MIS_Bidirectional="Yes"),"N/A",IF(OR(TB_Series_select=3,TB_Series_select=6),"N/A",TB_J_Length+10))</f>
        <v>464.7</v>
      </c>
      <c r="C33" s="48"/>
      <c r="D33" s="48" t="s">
        <v>62</v>
      </c>
      <c r="E33" s="49">
        <f>IF(TB_HT_select="N",IF(TB_FS_select="Y",TB_A_Length-TB_NL,"N/A"),"N/A")</f>
        <v>591.9</v>
      </c>
      <c r="G33" s="28"/>
    </row>
    <row r="34" spans="1:9" ht="15" x14ac:dyDescent="0.25">
      <c r="A34" s="47" t="s">
        <v>959</v>
      </c>
      <c r="B34" s="275" t="str">
        <f>IF(TB_MIS_Bidirectional="No", "N/A", TB_A_Length+1.5-TB_B_Dim+IF(TB_MIS_EndSupport="Not Required", 0, 20))</f>
        <v>N/A</v>
      </c>
      <c r="C34" s="48"/>
      <c r="D34" s="48"/>
      <c r="E34" s="49"/>
      <c r="G34" s="28"/>
    </row>
    <row r="35" spans="1:9" ht="15" x14ac:dyDescent="0.25">
      <c r="A35" s="286" t="s">
        <v>1018</v>
      </c>
      <c r="B35" s="287" t="str">
        <f>IF(TB_MIS_ModelType="H611", TB_MIS_PipeID+TB_MIS_WallThickness+30, "N/A")</f>
        <v>N/A</v>
      </c>
      <c r="C35" s="288" t="str">
        <f>IF(NOT(B35="N/A"), "Cut 300 mm of pipe for machining purposes.", "")</f>
        <v/>
      </c>
      <c r="D35" s="48"/>
      <c r="E35" s="49"/>
      <c r="G35" s="28"/>
    </row>
    <row r="36" spans="1:9" ht="15" x14ac:dyDescent="0.25">
      <c r="A36" s="47"/>
      <c r="B36" s="48"/>
      <c r="C36" s="48"/>
      <c r="D36" s="48"/>
      <c r="E36" s="40"/>
      <c r="G36" s="28"/>
    </row>
    <row r="37" spans="1:9" ht="15" x14ac:dyDescent="0.25">
      <c r="A37" s="50" t="s">
        <v>63</v>
      </c>
      <c r="B37" s="48"/>
      <c r="C37" s="48"/>
      <c r="D37" s="358" t="s">
        <v>960</v>
      </c>
      <c r="E37" s="359"/>
      <c r="G37" s="28"/>
    </row>
    <row r="38" spans="1:9" ht="15" x14ac:dyDescent="0.25">
      <c r="A38" s="47" t="s">
        <v>65</v>
      </c>
      <c r="B38" s="52" t="str">
        <f>IF(TB_NRT_select="Y",TB_Fin_TW+10,"N/A")</f>
        <v>N/A</v>
      </c>
      <c r="C38" s="48"/>
      <c r="D38" s="48" t="s">
        <v>66</v>
      </c>
      <c r="E38" s="49">
        <f>IF(TB_MIS_EndSupport="Partial Insert","N/A",(TB_PIPEID*'TB Model Data'!B$9)+IF(TB_ES_select="Y",TB_WALLT+TB_ES_LENGTH+TB_GT_two,0))</f>
        <v>81.943600000000004</v>
      </c>
      <c r="G38" s="28"/>
    </row>
    <row r="39" spans="1:9" ht="15" x14ac:dyDescent="0.25">
      <c r="A39" s="47" t="s">
        <v>67</v>
      </c>
      <c r="B39" s="52" t="str">
        <f>IF(TB_NRT_select="Y",(TB_A_Length-TB_AverageNRT-216),"N/A")</f>
        <v>N/A</v>
      </c>
      <c r="C39" s="48"/>
      <c r="D39" s="48" t="s">
        <v>68</v>
      </c>
      <c r="E39" s="49">
        <f>IF(TB_MIS_EndSupport="Partial Insert","N/A",(TB_PIPEID*'TB Model Data'!C$9)+IF(TB_ES_select="Y",TB_WALLT+TB_ES_LENGTH+TB_GT_two,0))</f>
        <v>121.8355</v>
      </c>
      <c r="G39" s="28"/>
    </row>
    <row r="40" spans="1:9" ht="15" x14ac:dyDescent="0.25">
      <c r="A40" s="47" t="s">
        <v>69</v>
      </c>
      <c r="B40" s="52" t="str">
        <f>IF(TB_NRT_select="Y",TB_Fin_TW+135,"N/A")</f>
        <v>N/A</v>
      </c>
      <c r="C40" s="48"/>
      <c r="D40" s="48" t="s">
        <v>70</v>
      </c>
      <c r="E40" s="49">
        <f>IF(TB_MIS_EndSupport="Partial Insert","N/A",(TB_PIPEID*'TB Model Data'!D$9)+IF(TB_ES_select="Y",TB_WALLT+TB_ES_LENGTH+TB_GT_two,0))</f>
        <v>193.48599999999999</v>
      </c>
    </row>
    <row r="41" spans="1:9" ht="15" x14ac:dyDescent="0.25">
      <c r="A41" s="53"/>
      <c r="B41" s="48"/>
      <c r="C41" s="48"/>
      <c r="D41" s="48" t="s">
        <v>406</v>
      </c>
      <c r="E41" s="49">
        <f>IF(TB_MIS_EndSupport="Partial Insert","N/A",(TB_PIPEID*'TB Model Data'!E$9)+IF(TB_ES_select="Y",TB_WALLT+TB_ES_LENGTH+TB_GT_two,0))</f>
        <v>332.91400000000004</v>
      </c>
      <c r="G41" s="27">
        <f>TB_MIS_PipeID-G42</f>
        <v>320.75</v>
      </c>
    </row>
    <row r="42" spans="1:9" ht="15" x14ac:dyDescent="0.25">
      <c r="A42" s="50" t="s">
        <v>524</v>
      </c>
      <c r="B42" s="48"/>
      <c r="C42" s="48"/>
      <c r="D42" s="48" t="s">
        <v>72</v>
      </c>
      <c r="E42" s="49">
        <f>IF(TB_MIS_EndSupport="Partial Insert",IF('TB Model Data'!F$9=0,"N/A",(TB_PIPEID*'TB Model Data'!F$9)+IF(TB_ES_select="Y",TB_WALLT+TB_ES_LENGTH+TB_GT_two,0)-EC)-G42+25,IF('TB Model Data'!F$9=0,"N/A",(TB_PIPEID*'TB Model Data'!F$9)+IF(TB_ES_select="Y",TB_WALLT+TB_ES_LENGTH+TB_GT_two,0)-TB_EC))</f>
        <v>401.56450000000001</v>
      </c>
      <c r="G42" s="27">
        <f>(TB_PIPEID*'TB Model Data'!Q$9)+IF(TB_ES_select="Y",TB_WALLT+TB_ES_LENGTH+TB_GT_two,0)-TB_EC</f>
        <v>66.55</v>
      </c>
    </row>
    <row r="43" spans="1:9" ht="15" x14ac:dyDescent="0.25">
      <c r="A43" s="47" t="s">
        <v>525</v>
      </c>
      <c r="B43" s="48" t="str">
        <f>IF(TB_HT_select="N","N/A",VLOOKUP(B17,'TB Model Data'!A30:H47,8,0))</f>
        <v>N/A</v>
      </c>
      <c r="C43" s="48"/>
      <c r="D43" s="48" t="s">
        <v>73</v>
      </c>
      <c r="E43" s="49">
        <f>IF(TB_MIS_EndSupport="Partial Insert",IF('TB Model Data'!G$9=0,"N/A",(TB_PIPEID*'TB Model Data'!G$9)+IF(TB_ES_select="Y",TB_WALLT+TB_ES_LENGTH+TB_GT_two,0)-TB_EC)-G42+25,IF('TB Model Data'!G$9=0,"N/A",(TB_PIPEID*'TB Model Data'!G$9)+IF(TB_ES_select="Y",TB_WALLT+TB_ES_LENGTH+TB_GT_two,0)-TB_EC))</f>
        <v>441.45640000000003</v>
      </c>
    </row>
    <row r="44" spans="1:9" ht="15" x14ac:dyDescent="0.25">
      <c r="A44" s="47" t="s">
        <v>526</v>
      </c>
      <c r="B44" s="48" t="str">
        <f>IF(TB_HT_select="N","N/A",IF(TB_HT_select="T",(TB_MIS_PipeID+IF(TB_W_Dim="N/A",0,TB_W_Dim)+VLOOKUP(TB_MIS_ModelType,'TB Model Data'!A30:H47,5,0)),(TB_GT+TB_ISOVALVE+TB_GT+TB_FS+TB_WALLT+TB_PIPEID+(VLOOKUP(B17,'TB Model Data'!A30:H47,5,0)+TB_GR_Length+IF(TB_ES_select="Y",TB_WALLT+TB_ES_LENGTH+TB_GT_two,0)))))</f>
        <v>N/A</v>
      </c>
      <c r="C44" s="48"/>
      <c r="D44" s="48" t="s">
        <v>74</v>
      </c>
      <c r="E44" s="49" t="str">
        <f>IF(TB_MIS_EndSupport="Partial Insert",IF('TB Model Data'!H$9=0,"N/A",(TB_PIPEID*'TB Model Data'!H$9)+IF(TB_ES_select="Y",TB_WALLT+TB_ES_LENGTH+TB_GT_two,0)-EC)-G42+25,IF('TB Model Data'!H$9=0,"N/A",(TB_PIPEID*'TB Model Data'!H$9)+IF(TB_ES_select="Y",TB_WALLT+TB_ES_LENGTH+TB_GT_two,0)-TB_EC))</f>
        <v>N/A</v>
      </c>
    </row>
    <row r="45" spans="1:9" ht="15" x14ac:dyDescent="0.25">
      <c r="A45" s="47" t="s">
        <v>527</v>
      </c>
      <c r="B45" s="48" t="str">
        <f>IF(TB_HT_select="N","N/A",VLOOKUP(B17,'TB Model Data'!A30:H47,6,0))</f>
        <v>N/A</v>
      </c>
      <c r="C45" s="48" t="s">
        <v>528</v>
      </c>
      <c r="D45" s="48" t="s">
        <v>75</v>
      </c>
      <c r="E45" s="49" t="str">
        <f>IF(TB_MIS_EndSupport="Partial Insert",IF('TB Model Data'!I$9=0,"N/A",(TB_PIPEID*'TB Model Data'!I$9)+IF(TB_ES_select="Y",TB_WALLT+TB_ES_LENGTH+TB_GT_two,0)-EC)-G42+25,IF('TB Model Data'!I$9=0,"N/A",(TB_PIPEID*'TB Model Data'!I$9)+IF(TB_ES_select="Y",TB_WALLT+TB_ES_LENGTH+TB_GT_two,0)-TB_EC))</f>
        <v>N/A</v>
      </c>
      <c r="H45" s="27"/>
      <c r="I45" s="27"/>
    </row>
    <row r="46" spans="1:9" ht="15" x14ac:dyDescent="0.25">
      <c r="A46" s="47" t="s">
        <v>529</v>
      </c>
      <c r="B46" s="48" t="str">
        <f>IF(TB_HT_select="N","N/A",(VLOOKUP(B17,'TB Model Data'!A30:H47,7,0)+IF(TB_MIS_GearRetract="Yes",80,0)))</f>
        <v>N/A</v>
      </c>
      <c r="C46" s="48" t="s">
        <v>528</v>
      </c>
      <c r="D46" s="48" t="s">
        <v>76</v>
      </c>
      <c r="E46" s="49">
        <f>IF(TB_MIS_Bidirectional="Yes", "N/A", IF(TB_MIS_EndSupport="Partial Insert",((TB_H_Dim+TB_N_Dim)/2),(TB_PIPEID*'TB Model Data'!A$9)+IF(TB_ES_select="Y",TB_WALLT+TB_ES_LENGTH+TB_GT_two,0)-TB_EC))</f>
        <v>260.2</v>
      </c>
    </row>
    <row r="47" spans="1:9" ht="15" x14ac:dyDescent="0.25">
      <c r="A47" s="54"/>
      <c r="B47" s="55"/>
      <c r="C47" s="55"/>
      <c r="D47" s="55"/>
      <c r="E47" s="56"/>
    </row>
    <row r="48" spans="1:9" x14ac:dyDescent="0.25">
      <c r="A48" s="27"/>
      <c r="B48" s="27"/>
      <c r="C48" s="27"/>
      <c r="D48" s="27"/>
      <c r="E48" s="27"/>
      <c r="F48" s="27"/>
      <c r="G48" s="28"/>
    </row>
    <row r="49" spans="1:8" customFormat="1" ht="15" hidden="1" x14ac:dyDescent="0.25">
      <c r="A49" s="37" t="s">
        <v>37</v>
      </c>
      <c r="B49" s="27"/>
      <c r="C49" s="27"/>
      <c r="D49" s="13"/>
      <c r="E49" s="182"/>
      <c r="H49" s="13"/>
    </row>
    <row r="50" spans="1:8" customFormat="1" ht="15" hidden="1" x14ac:dyDescent="0.25">
      <c r="A50" s="29" t="s">
        <v>39</v>
      </c>
      <c r="B50" s="3">
        <v>121</v>
      </c>
      <c r="C50" s="27"/>
      <c r="D50" s="13"/>
      <c r="E50" s="182"/>
      <c r="F50" s="183"/>
      <c r="H50" s="13"/>
    </row>
    <row r="51" spans="1:8" customFormat="1" ht="15" hidden="1" x14ac:dyDescent="0.25">
      <c r="A51" s="29" t="s">
        <v>530</v>
      </c>
      <c r="B51" s="3" t="s">
        <v>759</v>
      </c>
      <c r="C51" s="27"/>
      <c r="D51" s="13"/>
      <c r="E51" s="182"/>
      <c r="H51" s="13"/>
    </row>
    <row r="52" spans="1:8" customFormat="1" ht="15" hidden="1" x14ac:dyDescent="0.25">
      <c r="A52" s="29" t="s">
        <v>42</v>
      </c>
      <c r="B52" s="3">
        <v>40.9</v>
      </c>
      <c r="C52" s="27"/>
      <c r="D52" s="13"/>
      <c r="E52" s="182"/>
      <c r="H52" s="13"/>
    </row>
    <row r="53" spans="1:8" customFormat="1" ht="15" hidden="1" x14ac:dyDescent="0.25">
      <c r="A53" s="29" t="s">
        <v>44</v>
      </c>
      <c r="B53" s="3">
        <v>3.68</v>
      </c>
      <c r="C53" s="27"/>
      <c r="D53" s="13"/>
      <c r="E53" s="182"/>
      <c r="H53" s="13"/>
    </row>
    <row r="54" spans="1:8" customFormat="1" ht="15" hidden="1" x14ac:dyDescent="0.25">
      <c r="A54" s="29" t="s">
        <v>532</v>
      </c>
      <c r="B54" s="3" t="s">
        <v>533</v>
      </c>
      <c r="C54" s="27"/>
      <c r="D54" s="178"/>
      <c r="E54" s="40"/>
      <c r="H54" s="13"/>
    </row>
    <row r="55" spans="1:8" customFormat="1" ht="15" hidden="1" x14ac:dyDescent="0.25">
      <c r="A55" s="29" t="s">
        <v>46</v>
      </c>
      <c r="B55" s="3" t="s">
        <v>260</v>
      </c>
      <c r="C55" s="27"/>
      <c r="D55" s="178"/>
      <c r="E55" s="40"/>
      <c r="H55" s="13"/>
    </row>
    <row r="56" spans="1:8" customFormat="1" ht="15" hidden="1" x14ac:dyDescent="0.25">
      <c r="A56" s="34"/>
      <c r="B56" s="27"/>
      <c r="C56" s="27"/>
      <c r="D56" s="27"/>
      <c r="E56" s="33"/>
      <c r="H56" s="13"/>
    </row>
    <row r="57" spans="1:8" customFormat="1" ht="15" hidden="1" x14ac:dyDescent="0.25">
      <c r="A57" s="37" t="s">
        <v>38</v>
      </c>
      <c r="B57" s="27"/>
      <c r="C57" s="27"/>
      <c r="D57" s="27"/>
      <c r="E57" s="33"/>
      <c r="H57" s="13"/>
    </row>
    <row r="58" spans="1:8" customFormat="1" ht="15" hidden="1" x14ac:dyDescent="0.25">
      <c r="A58" s="29" t="s">
        <v>41</v>
      </c>
      <c r="B58" s="48">
        <f>VLOOKUP(B51,TB_Dims,9,0)</f>
        <v>4</v>
      </c>
      <c r="C58" s="27"/>
      <c r="D58" s="27"/>
      <c r="E58" s="33"/>
      <c r="H58" s="13"/>
    </row>
    <row r="59" spans="1:8" customFormat="1" ht="15" hidden="1" x14ac:dyDescent="0.25">
      <c r="A59" s="29" t="s">
        <v>534</v>
      </c>
      <c r="B59" s="48" t="str">
        <f>VLOOKUP(B51,TB_Dims,10,0)</f>
        <v>1/32"</v>
      </c>
      <c r="C59" s="27"/>
      <c r="D59" s="27"/>
      <c r="E59" s="33"/>
      <c r="H59" s="13"/>
    </row>
    <row r="60" spans="1:8" customFormat="1" ht="15" hidden="1" x14ac:dyDescent="0.25">
      <c r="A60" s="29" t="s">
        <v>535</v>
      </c>
      <c r="B60" s="48" t="str">
        <f>VLOOKUP(B51,TB_Dims,8,0)</f>
        <v>1/4"</v>
      </c>
      <c r="C60" s="27"/>
      <c r="D60" s="27"/>
      <c r="E60" s="33"/>
      <c r="H60" s="13"/>
    </row>
    <row r="61" spans="1:8" customFormat="1" ht="15" hidden="1" x14ac:dyDescent="0.25">
      <c r="A61" s="29" t="s">
        <v>53</v>
      </c>
      <c r="B61" s="48" t="str">
        <f>IF(B55="Not Required","N/A",VLOOKUP(B55,'TB Model Data 100'!A54:L78,6,FALSE))</f>
        <v>N/A</v>
      </c>
      <c r="C61" s="27" t="s">
        <v>152</v>
      </c>
      <c r="D61" s="27"/>
      <c r="E61" s="33"/>
      <c r="H61" s="13"/>
    </row>
    <row r="62" spans="1:8" customFormat="1" ht="15" hidden="1" x14ac:dyDescent="0.25">
      <c r="A62" s="34"/>
      <c r="B62" s="27"/>
      <c r="C62" s="27"/>
      <c r="D62" s="27"/>
      <c r="E62" s="33"/>
      <c r="H62" s="13"/>
    </row>
    <row r="63" spans="1:8" customFormat="1" ht="15" hidden="1" x14ac:dyDescent="0.25">
      <c r="A63" s="34"/>
      <c r="B63" s="27"/>
      <c r="C63" s="27"/>
      <c r="D63" s="27"/>
      <c r="E63" s="33"/>
      <c r="H63" s="13"/>
    </row>
    <row r="64" spans="1:8" customFormat="1" ht="15" hidden="1" x14ac:dyDescent="0.25">
      <c r="A64" s="50" t="s">
        <v>55</v>
      </c>
      <c r="B64" s="48"/>
      <c r="C64" s="48"/>
      <c r="D64" s="13"/>
      <c r="E64" s="182"/>
      <c r="H64" s="13"/>
    </row>
    <row r="65" spans="1:8" customFormat="1" ht="15" hidden="1" x14ac:dyDescent="0.25">
      <c r="A65" s="47" t="s">
        <v>57</v>
      </c>
      <c r="B65" s="48">
        <f>VLOOKUP(B51,TB_Dims,4,0)</f>
        <v>300</v>
      </c>
      <c r="C65" s="48"/>
      <c r="D65" s="13"/>
      <c r="E65" s="182"/>
      <c r="H65" s="13"/>
    </row>
    <row r="66" spans="1:8" customFormat="1" ht="15" hidden="1" x14ac:dyDescent="0.25">
      <c r="A66" s="47"/>
      <c r="B66" s="48"/>
      <c r="C66" s="48"/>
      <c r="D66" s="13"/>
      <c r="E66" s="182"/>
      <c r="H66" s="13"/>
    </row>
    <row r="67" spans="1:8" customFormat="1" ht="15" hidden="1" x14ac:dyDescent="0.25">
      <c r="A67" s="50" t="s">
        <v>56</v>
      </c>
      <c r="B67" s="48"/>
      <c r="C67" s="48"/>
      <c r="D67" s="48"/>
      <c r="E67" s="40"/>
      <c r="H67" s="13"/>
    </row>
    <row r="68" spans="1:8" customFormat="1" ht="15" hidden="1" x14ac:dyDescent="0.25">
      <c r="A68" s="184" t="s">
        <v>66</v>
      </c>
      <c r="B68" s="52">
        <f>VLOOKUP(B51,TB_Dims,5,0)</f>
        <v>175</v>
      </c>
      <c r="C68" s="48"/>
      <c r="D68" s="13"/>
      <c r="E68" s="182"/>
      <c r="H68" s="13"/>
    </row>
    <row r="69" spans="1:8" customFormat="1" ht="15" hidden="1" x14ac:dyDescent="0.25">
      <c r="A69" s="184" t="s">
        <v>68</v>
      </c>
      <c r="B69" s="185">
        <f>VLOOKUP(B51,TB_Dims,6,0)</f>
        <v>100</v>
      </c>
      <c r="C69" s="48"/>
      <c r="D69" s="13"/>
      <c r="E69" s="182"/>
      <c r="H69" s="13"/>
    </row>
    <row r="70" spans="1:8" customFormat="1" ht="15" hidden="1" x14ac:dyDescent="0.25">
      <c r="A70" s="47"/>
      <c r="B70" s="52"/>
      <c r="C70" s="48"/>
      <c r="D70" s="52"/>
      <c r="E70" s="182"/>
      <c r="H70" s="13"/>
    </row>
    <row r="71" spans="1:8" customFormat="1" ht="15" hidden="1" x14ac:dyDescent="0.25">
      <c r="A71" s="50" t="s">
        <v>64</v>
      </c>
      <c r="B71" s="48"/>
      <c r="C71" s="48"/>
      <c r="D71" s="52"/>
      <c r="E71" s="182"/>
      <c r="H71" s="13"/>
    </row>
    <row r="72" spans="1:8" customFormat="1" ht="15" hidden="1" x14ac:dyDescent="0.25">
      <c r="A72" s="184" t="s">
        <v>536</v>
      </c>
      <c r="B72" s="52">
        <f>IF(B58=2,"N/A",((B52*0.125)+B53))</f>
        <v>8.7925000000000004</v>
      </c>
      <c r="C72" s="48"/>
      <c r="D72" s="52"/>
      <c r="E72" s="182"/>
      <c r="H72" s="13"/>
    </row>
    <row r="73" spans="1:8" customFormat="1" ht="15" hidden="1" x14ac:dyDescent="0.25">
      <c r="A73" s="184" t="s">
        <v>537</v>
      </c>
      <c r="B73" s="52">
        <f>(B52*0.3)+B53</f>
        <v>15.95</v>
      </c>
      <c r="C73" s="48"/>
      <c r="D73" s="52"/>
      <c r="E73" s="182"/>
      <c r="H73" s="13"/>
    </row>
    <row r="74" spans="1:8" customFormat="1" ht="15" hidden="1" x14ac:dyDescent="0.25">
      <c r="A74" s="184" t="s">
        <v>538</v>
      </c>
      <c r="B74" s="52">
        <f>(B52*0.7)+B53</f>
        <v>32.309999999999995</v>
      </c>
      <c r="C74" s="48"/>
      <c r="D74" s="13"/>
      <c r="E74" s="182"/>
      <c r="H74" s="13"/>
    </row>
    <row r="75" spans="1:8" customFormat="1" ht="15" hidden="1" x14ac:dyDescent="0.25">
      <c r="A75" s="184" t="s">
        <v>539</v>
      </c>
      <c r="B75" s="52">
        <f>IF(B58=2,"N/A",((B52*0.875)+B53))</f>
        <v>39.467500000000001</v>
      </c>
      <c r="C75" s="48"/>
      <c r="D75" s="13"/>
      <c r="E75" s="182"/>
      <c r="H75" s="13"/>
    </row>
    <row r="76" spans="1:8" customFormat="1" ht="15" hidden="1" x14ac:dyDescent="0.25">
      <c r="A76" s="184" t="s">
        <v>73</v>
      </c>
      <c r="B76" s="52">
        <f>VLOOKUP(B51,TB_Dims,7,0)</f>
        <v>48.26</v>
      </c>
      <c r="C76" s="48"/>
      <c r="D76" s="13"/>
      <c r="E76" s="182"/>
      <c r="H76" s="13"/>
    </row>
    <row r="77" spans="1:8" customFormat="1" ht="15" hidden="1" x14ac:dyDescent="0.25">
      <c r="A77" s="54"/>
      <c r="B77" s="55"/>
      <c r="C77" s="55"/>
      <c r="D77" s="55"/>
      <c r="E77" s="56"/>
      <c r="H77" s="13"/>
    </row>
  </sheetData>
  <mergeCells count="7">
    <mergeCell ref="D37:E37"/>
    <mergeCell ref="B7:E7"/>
    <mergeCell ref="B9:E9"/>
    <mergeCell ref="B10:E10"/>
    <mergeCell ref="A15:E15"/>
    <mergeCell ref="D12:E12"/>
    <mergeCell ref="D13:E13"/>
  </mergeCells>
  <conditionalFormatting sqref="A34:B34">
    <cfRule type="expression" dxfId="3" priority="1">
      <formula>$B$27="Yes"</formula>
    </cfRule>
  </conditionalFormatting>
  <dataValidations disablePrompts="1" count="11">
    <dataValidation type="list" allowBlank="1" showInputMessage="1" showErrorMessage="1" sqref="B23" xr:uid="{00000000-0002-0000-0D00-000000000000}">
      <formula1>"Yes,No"</formula1>
    </dataValidation>
    <dataValidation type="list" allowBlank="1" showInputMessage="1" showErrorMessage="1" sqref="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xr:uid="{00000000-0002-0000-0D00-000001000000}">
      <formula1>TB_Pipe_NB</formula1>
    </dataValidation>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2000000}">
      <formula1>TB_Model</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3000000}">
      <formula1>TB_Conn_type</formula1>
    </dataValidation>
    <dataValidation type="list" allowBlank="1" showInputMessage="1" showErrorMessage="1" sqref="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xr:uid="{00000000-0002-0000-0D00-000004000000}">
      <formula1>TB_Flange_list</formula1>
    </dataValidation>
    <dataValidation type="list" allowBlank="1" showInputMessage="1" showErrorMessage="1" sqref="B22" xr:uid="{00000000-0002-0000-0D00-000005000000}">
      <formula1>TB_ISOValve_list</formula1>
    </dataValidation>
    <dataValidation type="list" allowBlank="1" showInputMessage="1" showErrorMessage="1" sqref="B21" xr:uid="{00000000-0002-0000-0D00-000006000000}">
      <formula1>TB_Gasket_list</formula1>
    </dataValidation>
    <dataValidation type="list" allowBlank="1" showInputMessage="1" showErrorMessage="1" sqref="B20" xr:uid="{00000000-0002-0000-0D00-000007000000}">
      <formula1>TB_FS_list</formula1>
    </dataValidation>
    <dataValidation type="list" allowBlank="1" showInputMessage="1" showErrorMessage="1" sqref="B24" xr:uid="{00000000-0002-0000-0D00-000008000000}">
      <formula1>TB_ES_list</formula1>
    </dataValidation>
    <dataValidation type="list" allowBlank="1" showInputMessage="1" showErrorMessage="1" sqref="B17" xr:uid="{00000000-0002-0000-0D00-000009000000}">
      <formula1>TB_Model_list</formula1>
    </dataValidation>
    <dataValidation type="list" allowBlank="1" showInputMessage="1" showErrorMessage="1" sqref="B25:B28"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&amp;L&amp;"ABB Logo,Plain"&amp;26&amp;KFF0000ABB&amp;C&amp;"Calibri,Regular"&amp;22Torbar MIS Sheet&amp;R&amp;D</oddHeader>
    <oddFooter>&amp;RPage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X30"/>
  <sheetViews>
    <sheetView topLeftCell="A2" zoomScaleNormal="100" workbookViewId="0">
      <selection activeCell="F4" sqref="F4"/>
    </sheetView>
  </sheetViews>
  <sheetFormatPr defaultColWidth="9.140625" defaultRowHeight="12" x14ac:dyDescent="0.25"/>
  <cols>
    <col min="1" max="1" width="4.5703125" style="21" customWidth="1"/>
    <col min="2" max="2" width="7.42578125" style="21" customWidth="1"/>
    <col min="3" max="3" width="12.42578125" style="21" customWidth="1"/>
    <col min="4" max="4" width="11.140625" style="21" customWidth="1"/>
    <col min="5" max="5" width="17" style="21" customWidth="1"/>
    <col min="6" max="6" width="8.140625" style="21" bestFit="1" customWidth="1"/>
    <col min="7" max="7" width="5.5703125" style="21" bestFit="1" customWidth="1"/>
    <col min="8" max="8" width="5.140625" style="21" bestFit="1" customWidth="1"/>
    <col min="9" max="9" width="7.7109375" style="21" bestFit="1" customWidth="1"/>
    <col min="10" max="10" width="15.28515625" style="21" customWidth="1"/>
    <col min="11" max="11" width="5.5703125" style="21" bestFit="1" customWidth="1"/>
    <col min="12" max="12" width="5.140625" style="21" bestFit="1" customWidth="1"/>
    <col min="13" max="13" width="5.5703125" style="21" bestFit="1" customWidth="1"/>
    <col min="14" max="14" width="8.28515625" style="21" customWidth="1"/>
    <col min="15" max="15" width="5.5703125" style="21" bestFit="1" customWidth="1"/>
    <col min="16" max="16" width="8.140625" style="21" customWidth="1"/>
    <col min="17" max="17" width="5.5703125" style="21" bestFit="1" customWidth="1"/>
    <col min="18" max="18" width="6.5703125" style="21" customWidth="1"/>
    <col min="19" max="19" width="4.42578125" style="21" bestFit="1" customWidth="1"/>
    <col min="20" max="20" width="8.28515625" style="21" customWidth="1"/>
    <col min="21" max="21" width="8.140625" style="21" hidden="1" customWidth="1"/>
    <col min="22" max="22" width="8.140625" style="21" customWidth="1"/>
    <col min="23" max="23" width="5.140625" style="21" hidden="1" customWidth="1"/>
    <col min="24" max="24" width="14.5703125" style="21" customWidth="1"/>
    <col min="25" max="16384" width="9.140625" style="21"/>
  </cols>
  <sheetData>
    <row r="1" spans="1:24" hidden="1" x14ac:dyDescent="0.25">
      <c r="A1" s="364" t="s">
        <v>14</v>
      </c>
      <c r="B1" s="364"/>
      <c r="C1" s="364"/>
      <c r="D1" s="364"/>
      <c r="E1" s="364"/>
      <c r="F1" s="364"/>
      <c r="G1" s="364"/>
      <c r="H1" s="364"/>
      <c r="I1" s="364"/>
      <c r="J1" s="364"/>
      <c r="K1" s="364"/>
      <c r="L1" s="364"/>
      <c r="M1" s="364"/>
      <c r="N1" s="364"/>
      <c r="O1" s="364"/>
      <c r="P1" s="364"/>
      <c r="Q1" s="364"/>
      <c r="R1" s="364"/>
      <c r="S1" s="364"/>
      <c r="T1" s="364"/>
      <c r="U1" s="364"/>
      <c r="V1" s="364"/>
      <c r="W1" s="364"/>
      <c r="X1" s="364"/>
    </row>
    <row r="2" spans="1:24" ht="27" customHeight="1" x14ac:dyDescent="0.25">
      <c r="A2" s="363" t="s">
        <v>13</v>
      </c>
      <c r="B2" s="363" t="s">
        <v>18</v>
      </c>
      <c r="C2" s="363" t="s">
        <v>15</v>
      </c>
      <c r="D2" s="363" t="s">
        <v>19</v>
      </c>
      <c r="E2" s="363" t="s">
        <v>17</v>
      </c>
      <c r="F2" s="363" t="s">
        <v>16</v>
      </c>
      <c r="G2" s="363" t="s">
        <v>22</v>
      </c>
      <c r="H2" s="363"/>
      <c r="I2" s="363" t="s">
        <v>540</v>
      </c>
      <c r="J2" s="363" t="s">
        <v>515</v>
      </c>
      <c r="K2" s="363" t="s">
        <v>9</v>
      </c>
      <c r="L2" s="363"/>
      <c r="M2" s="363" t="s">
        <v>541</v>
      </c>
      <c r="N2" s="363"/>
      <c r="O2" s="363" t="s">
        <v>10</v>
      </c>
      <c r="P2" s="363"/>
      <c r="Q2" s="363" t="s">
        <v>542</v>
      </c>
      <c r="R2" s="363"/>
      <c r="S2" s="363" t="s">
        <v>11</v>
      </c>
      <c r="T2" s="363" t="s">
        <v>20</v>
      </c>
      <c r="U2" s="363"/>
      <c r="V2" s="363" t="s">
        <v>21</v>
      </c>
      <c r="W2" s="363"/>
      <c r="X2" s="363" t="s">
        <v>212</v>
      </c>
    </row>
    <row r="3" spans="1:24" x14ac:dyDescent="0.25">
      <c r="A3" s="363"/>
      <c r="B3" s="363"/>
      <c r="C3" s="363"/>
      <c r="D3" s="363"/>
      <c r="E3" s="363"/>
      <c r="F3" s="363"/>
      <c r="G3" s="22" t="s">
        <v>24</v>
      </c>
      <c r="H3" s="22" t="s">
        <v>25</v>
      </c>
      <c r="I3" s="363"/>
      <c r="J3" s="363"/>
      <c r="K3" s="22" t="s">
        <v>24</v>
      </c>
      <c r="L3" s="22" t="s">
        <v>25</v>
      </c>
      <c r="M3" s="22" t="s">
        <v>24</v>
      </c>
      <c r="N3" s="22" t="s">
        <v>25</v>
      </c>
      <c r="O3" s="22" t="s">
        <v>24</v>
      </c>
      <c r="P3" s="22" t="s">
        <v>25</v>
      </c>
      <c r="Q3" s="22" t="s">
        <v>24</v>
      </c>
      <c r="R3" s="22" t="s">
        <v>25</v>
      </c>
      <c r="S3" s="363"/>
      <c r="T3" s="22" t="s">
        <v>24</v>
      </c>
      <c r="U3" s="22" t="s">
        <v>25</v>
      </c>
      <c r="V3" s="22" t="s">
        <v>24</v>
      </c>
      <c r="W3" s="22" t="s">
        <v>25</v>
      </c>
      <c r="X3" s="363"/>
    </row>
    <row r="4" spans="1:24" x14ac:dyDescent="0.25">
      <c r="A4" s="20"/>
      <c r="B4" s="20"/>
      <c r="C4" s="20"/>
      <c r="D4" s="20"/>
      <c r="E4" s="20"/>
      <c r="F4" s="20"/>
      <c r="G4" s="20"/>
      <c r="H4" s="20"/>
      <c r="I4" s="20"/>
      <c r="J4" s="20"/>
      <c r="K4" s="20"/>
      <c r="L4" s="20"/>
      <c r="M4" s="20"/>
      <c r="N4" s="20"/>
      <c r="O4" s="20"/>
      <c r="P4" s="20"/>
      <c r="Q4" s="20"/>
      <c r="R4" s="20"/>
      <c r="S4" s="20"/>
      <c r="T4" s="20"/>
      <c r="U4" s="20"/>
      <c r="V4" s="20"/>
      <c r="W4" s="20"/>
      <c r="X4" s="20"/>
    </row>
    <row r="5" spans="1:24" x14ac:dyDescent="0.25">
      <c r="A5" s="20"/>
      <c r="B5" s="20"/>
      <c r="C5" s="20"/>
      <c r="D5" s="20"/>
      <c r="E5" s="20"/>
      <c r="F5" s="20"/>
      <c r="G5" s="20"/>
      <c r="H5" s="20"/>
      <c r="I5" s="20"/>
      <c r="J5" s="20"/>
      <c r="K5" s="20"/>
      <c r="L5" s="20"/>
      <c r="M5" s="20"/>
      <c r="N5" s="20"/>
      <c r="O5" s="20"/>
      <c r="P5" s="20"/>
      <c r="Q5" s="20"/>
      <c r="R5" s="20"/>
      <c r="S5" s="20"/>
      <c r="T5" s="20"/>
      <c r="U5" s="20"/>
      <c r="V5" s="20"/>
      <c r="W5" s="20"/>
      <c r="X5" s="20"/>
    </row>
    <row r="6" spans="1:24" x14ac:dyDescent="0.25">
      <c r="A6" s="20"/>
      <c r="B6" s="20"/>
      <c r="C6" s="20"/>
      <c r="D6" s="20"/>
      <c r="E6" s="20"/>
      <c r="F6" s="20"/>
      <c r="G6" s="20"/>
      <c r="H6" s="20"/>
      <c r="I6" s="20"/>
      <c r="J6" s="20"/>
      <c r="K6" s="20"/>
      <c r="L6" s="20"/>
      <c r="M6" s="20"/>
      <c r="N6" s="20"/>
      <c r="O6" s="20"/>
      <c r="P6" s="20"/>
      <c r="Q6" s="20"/>
      <c r="R6" s="20"/>
      <c r="S6" s="20"/>
      <c r="T6" s="20"/>
      <c r="U6" s="20"/>
      <c r="V6" s="20"/>
      <c r="W6" s="20"/>
      <c r="X6" s="20"/>
    </row>
    <row r="7" spans="1:24" x14ac:dyDescent="0.25">
      <c r="A7" s="20"/>
      <c r="B7" s="20"/>
      <c r="C7" s="20"/>
      <c r="D7" s="20"/>
      <c r="E7" s="20"/>
      <c r="F7" s="20"/>
      <c r="G7" s="20"/>
      <c r="H7" s="20"/>
      <c r="I7" s="20"/>
      <c r="J7" s="20"/>
      <c r="K7" s="20"/>
      <c r="L7" s="20"/>
      <c r="M7" s="20"/>
      <c r="N7" s="20"/>
      <c r="O7" s="20"/>
      <c r="P7" s="20"/>
      <c r="Q7" s="20"/>
      <c r="R7" s="20"/>
      <c r="S7" s="20"/>
      <c r="T7" s="20"/>
      <c r="U7" s="20"/>
      <c r="V7" s="20"/>
      <c r="W7" s="20"/>
      <c r="X7" s="20"/>
    </row>
    <row r="8" spans="1:24" x14ac:dyDescent="0.25">
      <c r="A8" s="20"/>
      <c r="B8" s="20"/>
      <c r="C8" s="20"/>
      <c r="D8" s="20"/>
      <c r="E8" s="20"/>
      <c r="F8" s="20"/>
      <c r="G8" s="20"/>
      <c r="H8" s="20"/>
      <c r="I8" s="20"/>
      <c r="J8" s="20"/>
      <c r="K8" s="20"/>
      <c r="L8" s="20"/>
      <c r="M8" s="20"/>
      <c r="N8" s="20"/>
      <c r="O8" s="20"/>
      <c r="P8" s="20"/>
      <c r="Q8" s="20"/>
      <c r="R8" s="20"/>
      <c r="S8" s="20"/>
      <c r="T8" s="20"/>
      <c r="U8" s="20"/>
      <c r="V8" s="20"/>
      <c r="W8" s="20"/>
      <c r="X8" s="20"/>
    </row>
    <row r="9" spans="1:24" x14ac:dyDescent="0.25">
      <c r="A9" s="20"/>
      <c r="B9" s="20"/>
      <c r="C9" s="20"/>
      <c r="D9" s="20"/>
      <c r="E9" s="20"/>
      <c r="F9" s="20"/>
      <c r="G9" s="20"/>
      <c r="H9" s="20"/>
      <c r="I9" s="20"/>
      <c r="J9" s="20"/>
      <c r="K9" s="20"/>
      <c r="L9" s="20"/>
      <c r="M9" s="20"/>
      <c r="N9" s="20"/>
      <c r="O9" s="20"/>
      <c r="P9" s="20"/>
      <c r="Q9" s="20"/>
      <c r="R9" s="20"/>
      <c r="S9" s="20"/>
      <c r="T9" s="20"/>
      <c r="U9" s="20"/>
      <c r="V9" s="20"/>
      <c r="W9" s="20"/>
      <c r="X9" s="20"/>
    </row>
    <row r="10" spans="1:24" x14ac:dyDescent="0.25">
      <c r="A10" s="20"/>
      <c r="B10" s="20"/>
      <c r="C10" s="20"/>
      <c r="D10" s="20"/>
      <c r="E10" s="20"/>
      <c r="F10" s="20"/>
      <c r="G10" s="20"/>
      <c r="H10" s="20"/>
      <c r="I10" s="20"/>
      <c r="J10" s="20"/>
      <c r="K10" s="20"/>
      <c r="L10" s="20"/>
      <c r="M10" s="20"/>
      <c r="N10" s="20"/>
      <c r="O10" s="20"/>
      <c r="P10" s="20"/>
      <c r="Q10" s="20"/>
      <c r="R10" s="20"/>
      <c r="S10" s="20"/>
      <c r="T10" s="20"/>
      <c r="U10" s="20"/>
      <c r="V10" s="20"/>
      <c r="W10" s="20"/>
      <c r="X10" s="20"/>
    </row>
    <row r="11" spans="1:24" x14ac:dyDescent="0.25">
      <c r="A11" s="20"/>
      <c r="B11" s="20"/>
      <c r="C11" s="20"/>
      <c r="D11" s="20"/>
      <c r="E11" s="20"/>
      <c r="F11" s="20"/>
      <c r="G11" s="20"/>
      <c r="H11" s="20"/>
      <c r="I11" s="20"/>
      <c r="J11" s="20"/>
      <c r="K11" s="20"/>
      <c r="L11" s="20"/>
      <c r="M11" s="20"/>
      <c r="N11" s="20"/>
      <c r="O11" s="20"/>
      <c r="P11" s="20"/>
      <c r="Q11" s="20"/>
      <c r="R11" s="20"/>
      <c r="S11" s="20"/>
      <c r="T11" s="20"/>
      <c r="U11" s="20"/>
      <c r="V11" s="20"/>
      <c r="W11" s="20"/>
      <c r="X11" s="20"/>
    </row>
    <row r="12" spans="1:24" x14ac:dyDescent="0.25">
      <c r="A12" s="20"/>
      <c r="B12" s="20"/>
      <c r="C12" s="20"/>
      <c r="D12" s="20"/>
      <c r="E12" s="20"/>
      <c r="F12" s="20"/>
      <c r="G12" s="20"/>
      <c r="H12" s="20"/>
      <c r="I12" s="20"/>
      <c r="J12" s="20"/>
      <c r="K12" s="20"/>
      <c r="L12" s="20"/>
      <c r="M12" s="20"/>
      <c r="N12" s="20"/>
      <c r="O12" s="20"/>
      <c r="P12" s="20"/>
      <c r="Q12" s="20"/>
      <c r="R12" s="20"/>
      <c r="S12" s="20"/>
      <c r="T12" s="20"/>
      <c r="U12" s="20"/>
      <c r="V12" s="20"/>
      <c r="W12" s="20"/>
      <c r="X12" s="20"/>
    </row>
    <row r="13" spans="1:24" x14ac:dyDescent="0.25">
      <c r="A13" s="20"/>
      <c r="B13" s="20"/>
      <c r="C13" s="20"/>
      <c r="D13" s="20"/>
      <c r="E13" s="20"/>
      <c r="F13" s="20"/>
      <c r="G13" s="20"/>
      <c r="H13" s="20"/>
      <c r="I13" s="20"/>
      <c r="J13" s="20"/>
      <c r="K13" s="20"/>
      <c r="L13" s="20"/>
      <c r="M13" s="20"/>
      <c r="N13" s="20"/>
      <c r="O13" s="20"/>
      <c r="P13" s="20"/>
      <c r="Q13" s="20"/>
      <c r="R13" s="20"/>
      <c r="S13" s="20"/>
      <c r="T13" s="20"/>
      <c r="U13" s="20"/>
      <c r="V13" s="20"/>
      <c r="W13" s="20"/>
      <c r="X13" s="20"/>
    </row>
    <row r="14" spans="1:24" x14ac:dyDescent="0.25">
      <c r="A14" s="20"/>
      <c r="B14" s="20"/>
      <c r="C14" s="20"/>
      <c r="D14" s="20"/>
      <c r="E14" s="20"/>
      <c r="F14" s="20"/>
      <c r="G14" s="20"/>
      <c r="H14" s="20"/>
      <c r="I14" s="20"/>
      <c r="J14" s="20"/>
      <c r="K14" s="20"/>
      <c r="L14" s="20"/>
      <c r="M14" s="20"/>
      <c r="N14" s="20"/>
      <c r="O14" s="20"/>
      <c r="P14" s="20"/>
      <c r="Q14" s="20"/>
      <c r="R14" s="20"/>
      <c r="S14" s="20"/>
      <c r="T14" s="20"/>
      <c r="U14" s="20"/>
      <c r="V14" s="20"/>
      <c r="W14" s="20"/>
      <c r="X14" s="20"/>
    </row>
    <row r="15" spans="1:24" x14ac:dyDescent="0.25">
      <c r="A15" s="20"/>
      <c r="B15" s="20"/>
      <c r="C15" s="20"/>
      <c r="D15" s="20"/>
      <c r="E15" s="20"/>
      <c r="F15" s="20"/>
      <c r="G15" s="20"/>
      <c r="H15" s="20"/>
      <c r="I15" s="20"/>
      <c r="J15" s="20"/>
      <c r="K15" s="20"/>
      <c r="L15" s="20"/>
      <c r="M15" s="20"/>
      <c r="N15" s="20"/>
      <c r="O15" s="20"/>
      <c r="P15" s="20"/>
      <c r="Q15" s="20"/>
      <c r="R15" s="20"/>
      <c r="S15" s="20"/>
      <c r="T15" s="20"/>
      <c r="U15" s="20"/>
      <c r="V15" s="20"/>
      <c r="W15" s="20"/>
      <c r="X15" s="20"/>
    </row>
    <row r="16" spans="1:24" x14ac:dyDescent="0.25">
      <c r="A16" s="20"/>
      <c r="B16" s="20"/>
      <c r="C16" s="20"/>
      <c r="D16" s="20"/>
      <c r="E16" s="20"/>
      <c r="F16" s="20"/>
      <c r="G16" s="20"/>
      <c r="H16" s="20"/>
      <c r="I16" s="20"/>
      <c r="J16" s="20"/>
      <c r="K16" s="20"/>
      <c r="L16" s="20"/>
      <c r="M16" s="20"/>
      <c r="N16" s="20"/>
      <c r="O16" s="20"/>
      <c r="P16" s="20"/>
      <c r="Q16" s="20"/>
      <c r="R16" s="20"/>
      <c r="S16" s="20"/>
      <c r="T16" s="20"/>
      <c r="U16" s="20"/>
      <c r="V16" s="20"/>
      <c r="W16" s="20"/>
      <c r="X16" s="20"/>
    </row>
    <row r="17" spans="1:24" x14ac:dyDescent="0.25">
      <c r="A17" s="20"/>
      <c r="B17" s="20"/>
      <c r="C17" s="20"/>
      <c r="D17" s="20"/>
      <c r="E17" s="20"/>
      <c r="F17" s="20"/>
      <c r="G17" s="20"/>
      <c r="H17" s="20"/>
      <c r="I17" s="20"/>
      <c r="J17" s="20"/>
      <c r="K17" s="20"/>
      <c r="L17" s="20"/>
      <c r="M17" s="20"/>
      <c r="N17" s="20"/>
      <c r="O17" s="20"/>
      <c r="P17" s="20"/>
      <c r="Q17" s="20"/>
      <c r="R17" s="20"/>
      <c r="S17" s="20"/>
      <c r="T17" s="20"/>
      <c r="U17" s="20"/>
      <c r="V17" s="20"/>
      <c r="W17" s="20"/>
      <c r="X17" s="20"/>
    </row>
    <row r="18" spans="1:24" x14ac:dyDescent="0.25">
      <c r="A18" s="20"/>
      <c r="B18" s="20"/>
      <c r="C18" s="20"/>
      <c r="D18" s="20"/>
      <c r="E18" s="20"/>
      <c r="F18" s="20"/>
      <c r="G18" s="20"/>
      <c r="H18" s="20"/>
      <c r="I18" s="20"/>
      <c r="J18" s="20"/>
      <c r="K18" s="20"/>
      <c r="L18" s="20"/>
      <c r="M18" s="20"/>
      <c r="N18" s="20"/>
      <c r="O18" s="20"/>
      <c r="P18" s="20"/>
      <c r="Q18" s="20"/>
      <c r="R18" s="20"/>
      <c r="S18" s="20"/>
      <c r="T18" s="20"/>
      <c r="U18" s="20"/>
      <c r="V18" s="20"/>
      <c r="W18" s="20"/>
      <c r="X18" s="20"/>
    </row>
    <row r="19" spans="1:24" x14ac:dyDescent="0.25">
      <c r="A19" s="20"/>
      <c r="B19" s="20"/>
      <c r="C19" s="20"/>
      <c r="D19" s="20"/>
      <c r="E19" s="20"/>
      <c r="F19" s="20"/>
      <c r="G19" s="20"/>
      <c r="H19" s="20"/>
      <c r="I19" s="20"/>
      <c r="J19" s="20"/>
      <c r="K19" s="20"/>
      <c r="L19" s="20"/>
      <c r="M19" s="20"/>
      <c r="N19" s="20"/>
      <c r="O19" s="20"/>
      <c r="P19" s="20"/>
      <c r="Q19" s="20"/>
      <c r="R19" s="20"/>
      <c r="S19" s="20"/>
      <c r="T19" s="20"/>
      <c r="U19" s="20"/>
      <c r="V19" s="20"/>
      <c r="W19" s="20"/>
      <c r="X19" s="20"/>
    </row>
    <row r="20" spans="1:24" x14ac:dyDescent="0.25">
      <c r="A20" s="20"/>
      <c r="B20" s="20"/>
      <c r="C20" s="20"/>
      <c r="D20" s="20"/>
      <c r="E20" s="20"/>
      <c r="F20" s="20"/>
      <c r="G20" s="20"/>
      <c r="H20" s="20"/>
      <c r="I20" s="20"/>
      <c r="J20" s="20"/>
      <c r="K20" s="20"/>
      <c r="L20" s="20"/>
      <c r="M20" s="20"/>
      <c r="N20" s="20"/>
      <c r="O20" s="20"/>
      <c r="P20" s="20"/>
      <c r="Q20" s="20"/>
      <c r="R20" s="20"/>
      <c r="S20" s="20"/>
      <c r="T20" s="20"/>
      <c r="U20" s="20"/>
      <c r="V20" s="20"/>
      <c r="W20" s="20"/>
      <c r="X20" s="20"/>
    </row>
    <row r="21" spans="1:24" x14ac:dyDescent="0.25">
      <c r="A21" s="20"/>
      <c r="B21" s="20"/>
      <c r="C21" s="20"/>
      <c r="D21" s="20"/>
      <c r="E21" s="20"/>
      <c r="F21" s="20"/>
      <c r="G21" s="20"/>
      <c r="H21" s="20"/>
      <c r="I21" s="20"/>
      <c r="J21" s="20"/>
      <c r="K21" s="20"/>
      <c r="L21" s="20"/>
      <c r="M21" s="20"/>
      <c r="N21" s="20"/>
      <c r="O21" s="20"/>
      <c r="P21" s="20"/>
      <c r="Q21" s="20"/>
      <c r="R21" s="20"/>
      <c r="S21" s="20"/>
      <c r="T21" s="20"/>
      <c r="U21" s="20"/>
      <c r="V21" s="20"/>
      <c r="W21" s="20"/>
      <c r="X21" s="20"/>
    </row>
    <row r="22" spans="1:24" x14ac:dyDescent="0.25">
      <c r="A22" s="20"/>
      <c r="B22" s="20"/>
      <c r="C22" s="20"/>
      <c r="D22" s="20"/>
      <c r="E22" s="20"/>
      <c r="F22" s="20"/>
      <c r="G22" s="20"/>
      <c r="H22" s="20"/>
      <c r="I22" s="20"/>
      <c r="J22" s="20"/>
      <c r="K22" s="20"/>
      <c r="L22" s="20"/>
      <c r="M22" s="20"/>
      <c r="N22" s="20"/>
      <c r="O22" s="20"/>
      <c r="P22" s="20"/>
      <c r="Q22" s="20"/>
      <c r="R22" s="20"/>
      <c r="S22" s="20"/>
      <c r="T22" s="20"/>
      <c r="U22" s="20"/>
      <c r="V22" s="20"/>
      <c r="W22" s="20"/>
      <c r="X22" s="20"/>
    </row>
    <row r="23" spans="1:24" x14ac:dyDescent="0.25">
      <c r="A23" s="20"/>
      <c r="B23" s="20"/>
      <c r="C23" s="20"/>
      <c r="D23" s="20"/>
      <c r="E23" s="20"/>
      <c r="F23" s="20"/>
      <c r="G23" s="20"/>
      <c r="H23" s="20"/>
      <c r="I23" s="20"/>
      <c r="J23" s="20"/>
      <c r="K23" s="20"/>
      <c r="L23" s="20"/>
      <c r="M23" s="20"/>
      <c r="N23" s="20"/>
      <c r="O23" s="20"/>
      <c r="P23" s="20"/>
      <c r="Q23" s="20"/>
      <c r="R23" s="20"/>
      <c r="S23" s="20"/>
      <c r="T23" s="20"/>
      <c r="U23" s="20"/>
      <c r="V23" s="20"/>
      <c r="W23" s="20"/>
      <c r="X23" s="20"/>
    </row>
    <row r="24" spans="1:24" x14ac:dyDescent="0.25">
      <c r="A24" s="20"/>
      <c r="B24" s="20"/>
      <c r="C24" s="20"/>
      <c r="D24" s="20"/>
      <c r="E24" s="20"/>
      <c r="F24" s="20"/>
      <c r="G24" s="20"/>
      <c r="H24" s="20"/>
      <c r="I24" s="20"/>
      <c r="J24" s="20"/>
      <c r="K24" s="20"/>
      <c r="L24" s="20"/>
      <c r="M24" s="20"/>
      <c r="N24" s="20"/>
      <c r="O24" s="20"/>
      <c r="P24" s="20"/>
      <c r="Q24" s="20"/>
      <c r="R24" s="20"/>
      <c r="S24" s="20"/>
      <c r="T24" s="20"/>
      <c r="U24" s="20"/>
      <c r="V24" s="20"/>
      <c r="W24" s="20"/>
      <c r="X24" s="20"/>
    </row>
    <row r="25" spans="1:24" x14ac:dyDescent="0.25">
      <c r="A25" s="20"/>
      <c r="B25" s="20"/>
      <c r="C25" s="20"/>
      <c r="D25" s="20"/>
      <c r="E25" s="20"/>
      <c r="F25" s="20"/>
      <c r="G25" s="20"/>
      <c r="H25" s="20"/>
      <c r="I25" s="20"/>
      <c r="J25" s="20"/>
      <c r="K25" s="20"/>
      <c r="L25" s="20"/>
      <c r="M25" s="20"/>
      <c r="N25" s="20"/>
      <c r="O25" s="20"/>
      <c r="P25" s="20"/>
      <c r="Q25" s="20"/>
      <c r="R25" s="20"/>
      <c r="S25" s="20"/>
      <c r="T25" s="20"/>
      <c r="U25" s="20"/>
      <c r="V25" s="20"/>
      <c r="W25" s="20"/>
      <c r="X25" s="20"/>
    </row>
    <row r="26" spans="1:24" x14ac:dyDescent="0.25">
      <c r="A26" s="20"/>
      <c r="B26" s="20"/>
      <c r="C26" s="20"/>
      <c r="D26" s="20"/>
      <c r="E26" s="20"/>
      <c r="F26" s="20"/>
      <c r="G26" s="20"/>
      <c r="H26" s="20"/>
      <c r="I26" s="20"/>
      <c r="J26" s="20"/>
      <c r="K26" s="20"/>
      <c r="L26" s="20"/>
      <c r="M26" s="20"/>
      <c r="N26" s="20"/>
      <c r="O26" s="20"/>
      <c r="P26" s="20"/>
      <c r="Q26" s="20"/>
      <c r="R26" s="20"/>
      <c r="S26" s="20"/>
      <c r="T26" s="20"/>
      <c r="U26" s="20"/>
      <c r="V26" s="20"/>
      <c r="W26" s="20"/>
      <c r="X26" s="20"/>
    </row>
    <row r="27" spans="1:24" x14ac:dyDescent="0.25">
      <c r="A27" s="20"/>
      <c r="B27" s="20"/>
      <c r="C27" s="20"/>
      <c r="D27" s="20"/>
      <c r="E27" s="20"/>
      <c r="F27" s="20"/>
      <c r="G27" s="20"/>
      <c r="H27" s="20"/>
      <c r="I27" s="20"/>
      <c r="J27" s="20"/>
      <c r="K27" s="20"/>
      <c r="L27" s="20"/>
      <c r="M27" s="20"/>
      <c r="N27" s="20"/>
      <c r="O27" s="20"/>
      <c r="P27" s="20"/>
      <c r="Q27" s="20"/>
      <c r="R27" s="20"/>
      <c r="S27" s="20"/>
      <c r="T27" s="20"/>
      <c r="U27" s="20"/>
      <c r="V27" s="20"/>
      <c r="W27" s="20"/>
      <c r="X27" s="20"/>
    </row>
    <row r="28" spans="1:24" x14ac:dyDescent="0.25">
      <c r="A28" s="20"/>
      <c r="B28" s="20"/>
      <c r="C28" s="20"/>
      <c r="D28" s="20"/>
      <c r="E28" s="20"/>
      <c r="F28" s="20"/>
      <c r="G28" s="20"/>
      <c r="H28" s="20"/>
      <c r="I28" s="20"/>
      <c r="J28" s="20"/>
      <c r="K28" s="20"/>
      <c r="L28" s="20"/>
      <c r="M28" s="20"/>
      <c r="N28" s="20"/>
      <c r="O28" s="20"/>
      <c r="P28" s="20"/>
      <c r="Q28" s="20"/>
      <c r="R28" s="20"/>
      <c r="S28" s="20"/>
      <c r="T28" s="20"/>
      <c r="U28" s="20"/>
      <c r="V28" s="20"/>
      <c r="W28" s="20"/>
      <c r="X28" s="20"/>
    </row>
    <row r="29" spans="1:24" x14ac:dyDescent="0.25">
      <c r="A29" s="20"/>
      <c r="B29" s="20"/>
      <c r="C29" s="20"/>
      <c r="D29" s="20"/>
      <c r="E29" s="20"/>
      <c r="F29" s="20"/>
      <c r="G29" s="20"/>
      <c r="H29" s="20"/>
      <c r="I29" s="20"/>
      <c r="J29" s="20"/>
      <c r="K29" s="20"/>
      <c r="L29" s="20"/>
      <c r="M29" s="20"/>
      <c r="N29" s="20"/>
      <c r="O29" s="20"/>
      <c r="P29" s="20"/>
      <c r="Q29" s="20"/>
      <c r="R29" s="20"/>
      <c r="S29" s="20"/>
      <c r="T29" s="20"/>
      <c r="U29" s="20"/>
      <c r="V29" s="20"/>
      <c r="W29" s="20"/>
      <c r="X29" s="20"/>
    </row>
    <row r="30" spans="1:24" x14ac:dyDescent="0.25">
      <c r="A30" s="20"/>
      <c r="B30" s="20"/>
      <c r="C30" s="20"/>
      <c r="D30" s="20"/>
      <c r="E30" s="20"/>
      <c r="F30" s="20"/>
      <c r="G30" s="20"/>
      <c r="H30" s="20"/>
      <c r="I30" s="20"/>
      <c r="J30" s="20"/>
      <c r="K30" s="20"/>
      <c r="L30" s="20"/>
      <c r="M30" s="20"/>
      <c r="N30" s="20"/>
      <c r="O30" s="20"/>
      <c r="P30" s="20"/>
      <c r="Q30" s="20"/>
      <c r="R30" s="20"/>
      <c r="S30" s="20"/>
      <c r="T30" s="20"/>
      <c r="U30" s="20"/>
      <c r="V30" s="20"/>
      <c r="W30" s="20"/>
      <c r="X30" s="20"/>
    </row>
  </sheetData>
  <mergeCells count="18">
    <mergeCell ref="X2:X3"/>
    <mergeCell ref="K2:L2"/>
    <mergeCell ref="M2:N2"/>
    <mergeCell ref="O2:P2"/>
    <mergeCell ref="Q2:R2"/>
    <mergeCell ref="S2:S3"/>
    <mergeCell ref="A1:X1"/>
    <mergeCell ref="A2:A3"/>
    <mergeCell ref="B2:B3"/>
    <mergeCell ref="C2:C3"/>
    <mergeCell ref="D2:D3"/>
    <mergeCell ref="E2:E3"/>
    <mergeCell ref="F2:F3"/>
    <mergeCell ref="G2:H2"/>
    <mergeCell ref="I2:I3"/>
    <mergeCell ref="J2:J3"/>
    <mergeCell ref="T2:U2"/>
    <mergeCell ref="V2:W2"/>
  </mergeCells>
  <pageMargins left="0.70866141732283472" right="0.70866141732283472" top="0.74803149606299213" bottom="0.74803149606299213" header="0.31496062992125984" footer="0.31496062992125984"/>
  <pageSetup paperSize="9" scale="72" fitToHeight="0" orientation="landscape" r:id="rId1"/>
  <headerFooter>
    <oddHeader>&amp;L&amp;"ABB Logo,Plain"&amp;26&amp;KFF0000ABB&amp;R&amp;D</oddHeader>
    <oddFooter>&amp;RPage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09"/>
  <sheetViews>
    <sheetView workbookViewId="0">
      <selection activeCell="E25" sqref="E25"/>
    </sheetView>
  </sheetViews>
  <sheetFormatPr defaultColWidth="9.140625" defaultRowHeight="12.75" x14ac:dyDescent="0.2"/>
  <cols>
    <col min="1" max="1" width="9.42578125" style="77" bestFit="1" customWidth="1"/>
    <col min="2" max="2" width="27.140625" style="77" bestFit="1" customWidth="1"/>
    <col min="3" max="3" width="25.85546875" style="77" bestFit="1" customWidth="1"/>
    <col min="4" max="4" width="18.42578125" style="77" bestFit="1" customWidth="1"/>
    <col min="5" max="5" width="20.42578125" style="77" bestFit="1" customWidth="1"/>
    <col min="6" max="6" width="15.42578125" style="77" bestFit="1" customWidth="1"/>
    <col min="7" max="7" width="18.5703125" style="77" bestFit="1" customWidth="1"/>
    <col min="8" max="8" width="18.5703125" style="77" customWidth="1"/>
    <col min="9" max="10" width="18.5703125" style="77" bestFit="1" customWidth="1"/>
    <col min="11" max="11" width="15.28515625" style="77" bestFit="1" customWidth="1"/>
    <col min="12" max="16384" width="9.140625" style="77"/>
  </cols>
  <sheetData>
    <row r="1" spans="1:10" x14ac:dyDescent="0.2">
      <c r="A1" s="225" t="s">
        <v>885</v>
      </c>
    </row>
    <row r="2" spans="1:10" x14ac:dyDescent="0.2">
      <c r="A2" s="225"/>
    </row>
    <row r="3" spans="1:10" x14ac:dyDescent="0.2">
      <c r="A3" s="225"/>
      <c r="B3" s="77" t="s">
        <v>896</v>
      </c>
      <c r="C3" s="256" t="s">
        <v>1072</v>
      </c>
    </row>
    <row r="4" spans="1:10" x14ac:dyDescent="0.2">
      <c r="A4" s="225"/>
      <c r="B4" s="77" t="s">
        <v>897</v>
      </c>
      <c r="C4" s="256" t="s">
        <v>632</v>
      </c>
    </row>
    <row r="5" spans="1:10" x14ac:dyDescent="0.2">
      <c r="G5" s="168"/>
      <c r="H5" s="168"/>
    </row>
    <row r="6" spans="1:10" x14ac:dyDescent="0.2">
      <c r="A6" s="225" t="s">
        <v>886</v>
      </c>
      <c r="B6" s="225" t="s">
        <v>887</v>
      </c>
      <c r="C6" s="225"/>
      <c r="G6" s="225" t="s">
        <v>888</v>
      </c>
      <c r="H6" s="168" t="s">
        <v>543</v>
      </c>
      <c r="I6" s="168" t="s">
        <v>544</v>
      </c>
    </row>
    <row r="7" spans="1:10" x14ac:dyDescent="0.2">
      <c r="A7" s="27" t="s">
        <v>545</v>
      </c>
      <c r="B7" s="247" t="s">
        <v>546</v>
      </c>
      <c r="C7" s="247" t="s">
        <v>1021</v>
      </c>
      <c r="D7" s="247" t="s">
        <v>1024</v>
      </c>
      <c r="E7" s="247" t="s">
        <v>548</v>
      </c>
      <c r="F7" s="247" t="s">
        <v>901</v>
      </c>
      <c r="G7" s="187" t="s">
        <v>210</v>
      </c>
      <c r="H7" s="187" t="s">
        <v>211</v>
      </c>
      <c r="I7" s="187" t="s">
        <v>211</v>
      </c>
      <c r="J7" s="187" t="s">
        <v>212</v>
      </c>
    </row>
    <row r="8" spans="1:10" x14ac:dyDescent="0.2">
      <c r="A8" s="27">
        <v>121</v>
      </c>
      <c r="B8" s="272" t="s">
        <v>551</v>
      </c>
      <c r="C8" s="272" t="s">
        <v>547</v>
      </c>
      <c r="D8" s="272"/>
      <c r="E8" s="222" t="s">
        <v>404</v>
      </c>
      <c r="F8" s="222"/>
      <c r="G8" s="208" t="s">
        <v>549</v>
      </c>
      <c r="H8" s="208" t="s">
        <v>550</v>
      </c>
      <c r="I8" s="187"/>
      <c r="J8" s="208" t="s">
        <v>117</v>
      </c>
    </row>
    <row r="9" spans="1:10" x14ac:dyDescent="0.2">
      <c r="A9" s="27">
        <v>122</v>
      </c>
      <c r="B9" s="272" t="s">
        <v>551</v>
      </c>
      <c r="C9" s="272" t="s">
        <v>551</v>
      </c>
      <c r="D9" s="272"/>
      <c r="E9" s="222" t="s">
        <v>404</v>
      </c>
      <c r="F9" s="222"/>
      <c r="G9" s="208" t="s">
        <v>549</v>
      </c>
      <c r="H9" s="208" t="s">
        <v>552</v>
      </c>
      <c r="I9" s="187"/>
      <c r="J9" s="208" t="s">
        <v>117</v>
      </c>
    </row>
    <row r="10" spans="1:10" x14ac:dyDescent="0.2">
      <c r="A10" s="27">
        <v>123</v>
      </c>
      <c r="B10" s="272" t="s">
        <v>551</v>
      </c>
      <c r="C10" s="272" t="s">
        <v>553</v>
      </c>
      <c r="D10" s="272"/>
      <c r="E10" s="222" t="s">
        <v>404</v>
      </c>
      <c r="F10" s="222"/>
      <c r="G10" s="208" t="s">
        <v>549</v>
      </c>
      <c r="H10" s="208" t="s">
        <v>552</v>
      </c>
      <c r="I10" s="187"/>
      <c r="J10" s="187" t="s">
        <v>554</v>
      </c>
    </row>
    <row r="11" spans="1:10" x14ac:dyDescent="0.2">
      <c r="A11" s="27">
        <v>301</v>
      </c>
      <c r="B11" s="222" t="s">
        <v>555</v>
      </c>
      <c r="C11" s="222"/>
      <c r="D11" s="222" t="s">
        <v>556</v>
      </c>
      <c r="E11" s="222" t="s">
        <v>551</v>
      </c>
      <c r="F11" s="222"/>
      <c r="G11" s="208" t="s">
        <v>549</v>
      </c>
      <c r="H11" s="208" t="s">
        <v>552</v>
      </c>
      <c r="I11" s="208"/>
      <c r="J11" s="208" t="s">
        <v>117</v>
      </c>
    </row>
    <row r="12" spans="1:10" x14ac:dyDescent="0.2">
      <c r="A12" s="27">
        <v>302</v>
      </c>
      <c r="B12" s="222" t="s">
        <v>555</v>
      </c>
      <c r="C12" s="222"/>
      <c r="D12" s="222" t="s">
        <v>443</v>
      </c>
      <c r="E12" s="222" t="s">
        <v>557</v>
      </c>
      <c r="F12" s="222"/>
      <c r="G12" s="208" t="s">
        <v>549</v>
      </c>
      <c r="H12" s="208" t="s">
        <v>552</v>
      </c>
      <c r="I12" s="208"/>
      <c r="J12" s="208" t="s">
        <v>117</v>
      </c>
    </row>
    <row r="13" spans="1:10" x14ac:dyDescent="0.2">
      <c r="A13" s="27">
        <v>401</v>
      </c>
      <c r="B13" s="222" t="s">
        <v>558</v>
      </c>
      <c r="C13" s="222"/>
      <c r="D13" s="222" t="s">
        <v>556</v>
      </c>
      <c r="E13" s="222" t="s">
        <v>551</v>
      </c>
      <c r="F13" s="222" t="s">
        <v>892</v>
      </c>
      <c r="G13" s="208" t="s">
        <v>549</v>
      </c>
      <c r="H13" s="208" t="s">
        <v>552</v>
      </c>
      <c r="I13" s="208"/>
      <c r="J13" s="208" t="s">
        <v>117</v>
      </c>
    </row>
    <row r="14" spans="1:10" x14ac:dyDescent="0.2">
      <c r="A14" s="27">
        <v>402</v>
      </c>
      <c r="B14" s="222" t="s">
        <v>558</v>
      </c>
      <c r="C14" s="222"/>
      <c r="D14" s="222" t="s">
        <v>443</v>
      </c>
      <c r="E14" s="222" t="s">
        <v>557</v>
      </c>
      <c r="F14" s="222" t="s">
        <v>892</v>
      </c>
      <c r="G14" s="208" t="s">
        <v>549</v>
      </c>
      <c r="H14" s="208" t="s">
        <v>552</v>
      </c>
      <c r="I14" s="208"/>
      <c r="J14" s="208" t="s">
        <v>117</v>
      </c>
    </row>
    <row r="15" spans="1:10" x14ac:dyDescent="0.2">
      <c r="A15" s="27">
        <v>311</v>
      </c>
      <c r="B15" s="222" t="s">
        <v>555</v>
      </c>
      <c r="C15" s="222"/>
      <c r="D15" s="222" t="s">
        <v>556</v>
      </c>
      <c r="E15" s="222" t="s">
        <v>869</v>
      </c>
      <c r="F15" s="222"/>
      <c r="G15" s="367" t="s">
        <v>559</v>
      </c>
      <c r="H15" s="367"/>
      <c r="I15" s="367"/>
      <c r="J15" s="367"/>
    </row>
    <row r="16" spans="1:10" x14ac:dyDescent="0.2">
      <c r="A16" s="27">
        <v>312</v>
      </c>
      <c r="B16" s="222" t="s">
        <v>555</v>
      </c>
      <c r="C16" s="222"/>
      <c r="D16" s="222" t="s">
        <v>443</v>
      </c>
      <c r="E16" s="222" t="s">
        <v>870</v>
      </c>
      <c r="F16" s="222"/>
      <c r="G16" s="367"/>
      <c r="H16" s="367"/>
      <c r="I16" s="367"/>
      <c r="J16" s="367"/>
    </row>
    <row r="17" spans="1:10" x14ac:dyDescent="0.2">
      <c r="A17" s="27">
        <v>411</v>
      </c>
      <c r="B17" s="222" t="s">
        <v>558</v>
      </c>
      <c r="C17" s="222"/>
      <c r="D17" s="222" t="s">
        <v>556</v>
      </c>
      <c r="E17" s="222" t="s">
        <v>869</v>
      </c>
      <c r="F17" s="222" t="s">
        <v>892</v>
      </c>
      <c r="G17" s="367"/>
      <c r="H17" s="367"/>
      <c r="I17" s="367"/>
      <c r="J17" s="367"/>
    </row>
    <row r="18" spans="1:10" x14ac:dyDescent="0.2">
      <c r="A18" s="27">
        <v>412</v>
      </c>
      <c r="B18" s="222" t="s">
        <v>558</v>
      </c>
      <c r="C18" s="222"/>
      <c r="D18" s="222" t="s">
        <v>443</v>
      </c>
      <c r="E18" s="223" t="s">
        <v>875</v>
      </c>
      <c r="F18" s="222" t="s">
        <v>892</v>
      </c>
      <c r="G18" s="367"/>
      <c r="H18" s="367"/>
      <c r="I18" s="367"/>
      <c r="J18" s="367"/>
    </row>
    <row r="19" spans="1:10" x14ac:dyDescent="0.2">
      <c r="A19" s="27">
        <v>511</v>
      </c>
      <c r="B19" s="223" t="s">
        <v>560</v>
      </c>
      <c r="C19" s="223"/>
      <c r="D19" s="223" t="s">
        <v>556</v>
      </c>
      <c r="E19" s="223" t="s">
        <v>869</v>
      </c>
      <c r="F19" s="222" t="s">
        <v>892</v>
      </c>
      <c r="G19" s="367"/>
      <c r="H19" s="367"/>
      <c r="I19" s="367"/>
      <c r="J19" s="367"/>
    </row>
    <row r="20" spans="1:10" x14ac:dyDescent="0.2">
      <c r="A20" s="27">
        <v>512</v>
      </c>
      <c r="B20" s="223" t="s">
        <v>560</v>
      </c>
      <c r="C20" s="223"/>
      <c r="D20" s="223" t="s">
        <v>443</v>
      </c>
      <c r="E20" s="223" t="s">
        <v>875</v>
      </c>
      <c r="F20" s="222" t="s">
        <v>892</v>
      </c>
      <c r="G20" s="367"/>
      <c r="H20" s="367"/>
      <c r="I20" s="367"/>
      <c r="J20" s="367"/>
    </row>
    <row r="21" spans="1:10" x14ac:dyDescent="0.2">
      <c r="A21" s="27" t="s">
        <v>456</v>
      </c>
      <c r="B21" s="222" t="s">
        <v>558</v>
      </c>
      <c r="C21" s="222"/>
      <c r="D21" s="222" t="s">
        <v>556</v>
      </c>
      <c r="E21" s="222" t="s">
        <v>551</v>
      </c>
      <c r="F21" s="223" t="s">
        <v>878</v>
      </c>
      <c r="G21" s="208" t="s">
        <v>549</v>
      </c>
      <c r="H21" s="208" t="s">
        <v>552</v>
      </c>
      <c r="I21" s="208"/>
      <c r="J21" s="208" t="s">
        <v>117</v>
      </c>
    </row>
    <row r="22" spans="1:10" x14ac:dyDescent="0.2">
      <c r="A22" s="27" t="s">
        <v>458</v>
      </c>
      <c r="B22" s="222" t="s">
        <v>558</v>
      </c>
      <c r="C22" s="222"/>
      <c r="D22" s="222" t="s">
        <v>443</v>
      </c>
      <c r="E22" s="222" t="s">
        <v>557</v>
      </c>
      <c r="F22" s="223" t="s">
        <v>878</v>
      </c>
      <c r="G22" s="208" t="s">
        <v>549</v>
      </c>
      <c r="H22" s="208" t="s">
        <v>552</v>
      </c>
      <c r="I22" s="208"/>
      <c r="J22" s="208" t="s">
        <v>117</v>
      </c>
    </row>
    <row r="23" spans="1:10" x14ac:dyDescent="0.2">
      <c r="A23" s="27" t="s">
        <v>194</v>
      </c>
      <c r="B23" s="222" t="s">
        <v>558</v>
      </c>
      <c r="C23" s="222"/>
      <c r="D23" s="222" t="s">
        <v>556</v>
      </c>
      <c r="E23" s="222" t="s">
        <v>869</v>
      </c>
      <c r="F23" s="223" t="s">
        <v>878</v>
      </c>
      <c r="G23" s="365" t="s">
        <v>561</v>
      </c>
      <c r="H23" s="367" t="s">
        <v>559</v>
      </c>
      <c r="I23" s="367"/>
      <c r="J23" s="367"/>
    </row>
    <row r="24" spans="1:10" x14ac:dyDescent="0.2">
      <c r="A24" s="27" t="s">
        <v>196</v>
      </c>
      <c r="B24" s="222" t="s">
        <v>558</v>
      </c>
      <c r="C24" s="222"/>
      <c r="D24" s="222" t="s">
        <v>443</v>
      </c>
      <c r="E24" s="223" t="s">
        <v>875</v>
      </c>
      <c r="F24" s="223" t="s">
        <v>878</v>
      </c>
      <c r="G24" s="365"/>
      <c r="H24" s="367"/>
      <c r="I24" s="367"/>
      <c r="J24" s="367"/>
    </row>
    <row r="25" spans="1:10" x14ac:dyDescent="0.2">
      <c r="A25" s="27" t="s">
        <v>199</v>
      </c>
      <c r="B25" s="223" t="s">
        <v>560</v>
      </c>
      <c r="C25" s="223"/>
      <c r="D25" s="223" t="s">
        <v>556</v>
      </c>
      <c r="E25" s="223" t="s">
        <v>869</v>
      </c>
      <c r="F25" s="223" t="s">
        <v>878</v>
      </c>
      <c r="G25" s="365"/>
      <c r="H25" s="367"/>
      <c r="I25" s="367"/>
      <c r="J25" s="367"/>
    </row>
    <row r="26" spans="1:10" x14ac:dyDescent="0.2">
      <c r="A26" s="27" t="s">
        <v>562</v>
      </c>
      <c r="B26" s="223" t="s">
        <v>560</v>
      </c>
      <c r="C26" s="223"/>
      <c r="D26" s="223" t="s">
        <v>443</v>
      </c>
      <c r="E26" s="223" t="s">
        <v>875</v>
      </c>
      <c r="F26" s="223" t="s">
        <v>878</v>
      </c>
      <c r="G26" s="365"/>
      <c r="H26" s="367"/>
      <c r="I26" s="367"/>
      <c r="J26" s="367"/>
    </row>
    <row r="27" spans="1:10" x14ac:dyDescent="0.2">
      <c r="A27" s="27" t="s">
        <v>563</v>
      </c>
      <c r="B27" s="224" t="s">
        <v>564</v>
      </c>
      <c r="C27" s="224"/>
      <c r="D27" s="224" t="s">
        <v>556</v>
      </c>
      <c r="E27" s="224" t="s">
        <v>551</v>
      </c>
      <c r="F27" s="222"/>
      <c r="G27" s="208" t="s">
        <v>565</v>
      </c>
      <c r="H27" s="208" t="s">
        <v>550</v>
      </c>
      <c r="I27" s="208" t="s">
        <v>552</v>
      </c>
      <c r="J27" s="208" t="s">
        <v>117</v>
      </c>
    </row>
    <row r="28" spans="1:10" x14ac:dyDescent="0.2">
      <c r="A28" s="27" t="s">
        <v>566</v>
      </c>
      <c r="B28" s="224" t="s">
        <v>567</v>
      </c>
      <c r="C28" s="224"/>
      <c r="D28" s="224" t="s">
        <v>556</v>
      </c>
      <c r="E28" s="224" t="s">
        <v>869</v>
      </c>
      <c r="F28" s="222"/>
      <c r="G28" s="367"/>
      <c r="H28" s="367"/>
      <c r="I28" s="367"/>
      <c r="J28" s="367"/>
    </row>
    <row r="29" spans="1:10" x14ac:dyDescent="0.2">
      <c r="A29" s="27" t="s">
        <v>568</v>
      </c>
      <c r="B29" s="223" t="s">
        <v>569</v>
      </c>
      <c r="C29" s="223"/>
      <c r="D29" s="223" t="s">
        <v>556</v>
      </c>
      <c r="E29" s="223" t="s">
        <v>551</v>
      </c>
      <c r="F29" s="222" t="s">
        <v>892</v>
      </c>
      <c r="G29" s="208" t="s">
        <v>565</v>
      </c>
      <c r="H29" s="208" t="s">
        <v>550</v>
      </c>
      <c r="I29" s="208" t="s">
        <v>552</v>
      </c>
      <c r="J29" s="208" t="s">
        <v>117</v>
      </c>
    </row>
    <row r="30" spans="1:10" x14ac:dyDescent="0.2">
      <c r="A30" s="27" t="s">
        <v>570</v>
      </c>
      <c r="B30" s="223" t="s">
        <v>569</v>
      </c>
      <c r="C30" s="223"/>
      <c r="D30" s="223" t="s">
        <v>443</v>
      </c>
      <c r="E30" s="223" t="s">
        <v>557</v>
      </c>
      <c r="F30" s="222" t="s">
        <v>892</v>
      </c>
      <c r="G30" s="208" t="s">
        <v>565</v>
      </c>
      <c r="H30" s="208" t="s">
        <v>550</v>
      </c>
      <c r="I30" s="208" t="s">
        <v>552</v>
      </c>
      <c r="J30" s="208" t="s">
        <v>117</v>
      </c>
    </row>
    <row r="31" spans="1:10" x14ac:dyDescent="0.2">
      <c r="A31" s="27" t="s">
        <v>571</v>
      </c>
      <c r="B31" s="223" t="s">
        <v>572</v>
      </c>
      <c r="C31" s="223"/>
      <c r="D31" s="223" t="s">
        <v>556</v>
      </c>
      <c r="E31" s="223" t="s">
        <v>551</v>
      </c>
      <c r="F31" s="222" t="s">
        <v>892</v>
      </c>
      <c r="G31" s="208" t="s">
        <v>573</v>
      </c>
      <c r="H31" s="208" t="s">
        <v>550</v>
      </c>
      <c r="I31" s="208" t="s">
        <v>552</v>
      </c>
      <c r="J31" s="208" t="s">
        <v>117</v>
      </c>
    </row>
    <row r="32" spans="1:10" x14ac:dyDescent="0.2">
      <c r="A32" s="27" t="s">
        <v>574</v>
      </c>
      <c r="B32" s="223" t="s">
        <v>572</v>
      </c>
      <c r="C32" s="223"/>
      <c r="D32" s="223" t="s">
        <v>443</v>
      </c>
      <c r="E32" s="223" t="s">
        <v>557</v>
      </c>
      <c r="F32" s="222" t="s">
        <v>892</v>
      </c>
      <c r="G32" s="208" t="s">
        <v>573</v>
      </c>
      <c r="H32" s="208" t="s">
        <v>550</v>
      </c>
      <c r="I32" s="208" t="s">
        <v>552</v>
      </c>
      <c r="J32" s="208" t="s">
        <v>117</v>
      </c>
    </row>
    <row r="33" spans="1:11" x14ac:dyDescent="0.2">
      <c r="A33" s="27" t="s">
        <v>575</v>
      </c>
      <c r="B33" s="223" t="s">
        <v>572</v>
      </c>
      <c r="C33" s="223"/>
      <c r="D33" s="223" t="s">
        <v>556</v>
      </c>
      <c r="E33" s="223" t="s">
        <v>869</v>
      </c>
      <c r="F33" s="222" t="s">
        <v>892</v>
      </c>
      <c r="G33" s="367" t="s">
        <v>559</v>
      </c>
      <c r="H33" s="367"/>
      <c r="I33" s="367"/>
      <c r="J33" s="367"/>
    </row>
    <row r="34" spans="1:11" x14ac:dyDescent="0.2">
      <c r="A34" s="27" t="s">
        <v>576</v>
      </c>
      <c r="B34" s="223" t="s">
        <v>572</v>
      </c>
      <c r="C34" s="223"/>
      <c r="D34" s="223" t="s">
        <v>443</v>
      </c>
      <c r="E34" s="223" t="s">
        <v>875</v>
      </c>
      <c r="F34" s="222" t="s">
        <v>892</v>
      </c>
      <c r="G34" s="367"/>
      <c r="H34" s="367"/>
      <c r="I34" s="367"/>
      <c r="J34" s="367"/>
    </row>
    <row r="35" spans="1:11" x14ac:dyDescent="0.2">
      <c r="A35" s="27" t="s">
        <v>577</v>
      </c>
      <c r="B35" s="223" t="s">
        <v>578</v>
      </c>
      <c r="C35" s="223"/>
      <c r="D35" s="223" t="s">
        <v>556</v>
      </c>
      <c r="E35" s="223" t="s">
        <v>869</v>
      </c>
      <c r="F35" s="222" t="s">
        <v>892</v>
      </c>
      <c r="G35" s="367"/>
      <c r="H35" s="367"/>
      <c r="I35" s="367"/>
      <c r="J35" s="367"/>
    </row>
    <row r="36" spans="1:11" x14ac:dyDescent="0.2">
      <c r="A36" s="27" t="s">
        <v>579</v>
      </c>
      <c r="B36" s="223" t="s">
        <v>578</v>
      </c>
      <c r="C36" s="223"/>
      <c r="D36" s="223" t="s">
        <v>443</v>
      </c>
      <c r="E36" s="223" t="s">
        <v>875</v>
      </c>
      <c r="F36" s="222" t="s">
        <v>892</v>
      </c>
      <c r="G36" s="367"/>
      <c r="H36" s="367"/>
      <c r="I36" s="367"/>
      <c r="J36" s="367"/>
    </row>
    <row r="37" spans="1:11" x14ac:dyDescent="0.2">
      <c r="A37" s="27" t="s">
        <v>580</v>
      </c>
      <c r="B37" s="223" t="s">
        <v>569</v>
      </c>
      <c r="C37" s="223"/>
      <c r="D37" s="223" t="s">
        <v>556</v>
      </c>
      <c r="E37" s="223" t="s">
        <v>551</v>
      </c>
      <c r="F37" s="223" t="s">
        <v>878</v>
      </c>
      <c r="G37" s="208" t="s">
        <v>565</v>
      </c>
      <c r="H37" s="208" t="s">
        <v>550</v>
      </c>
      <c r="I37" s="208" t="s">
        <v>552</v>
      </c>
      <c r="J37" s="208" t="s">
        <v>117</v>
      </c>
    </row>
    <row r="38" spans="1:11" x14ac:dyDescent="0.2">
      <c r="A38" s="27" t="s">
        <v>581</v>
      </c>
      <c r="B38" s="223" t="s">
        <v>569</v>
      </c>
      <c r="C38" s="223"/>
      <c r="D38" s="223" t="s">
        <v>443</v>
      </c>
      <c r="E38" s="223" t="s">
        <v>557</v>
      </c>
      <c r="F38" s="223" t="s">
        <v>878</v>
      </c>
      <c r="G38" s="208" t="s">
        <v>565</v>
      </c>
      <c r="H38" s="208" t="s">
        <v>550</v>
      </c>
      <c r="I38" s="208" t="s">
        <v>552</v>
      </c>
      <c r="J38" s="208" t="s">
        <v>117</v>
      </c>
    </row>
    <row r="39" spans="1:11" x14ac:dyDescent="0.2">
      <c r="A39" s="27" t="s">
        <v>582</v>
      </c>
      <c r="B39" s="223" t="s">
        <v>572</v>
      </c>
      <c r="C39" s="223"/>
      <c r="D39" s="223" t="s">
        <v>556</v>
      </c>
      <c r="E39" s="223" t="s">
        <v>551</v>
      </c>
      <c r="F39" s="223" t="s">
        <v>878</v>
      </c>
      <c r="G39" s="208" t="s">
        <v>573</v>
      </c>
      <c r="H39" s="208" t="s">
        <v>550</v>
      </c>
      <c r="I39" s="208" t="s">
        <v>552</v>
      </c>
      <c r="J39" s="208" t="s">
        <v>117</v>
      </c>
    </row>
    <row r="40" spans="1:11" x14ac:dyDescent="0.2">
      <c r="A40" s="27" t="s">
        <v>583</v>
      </c>
      <c r="B40" s="223" t="s">
        <v>572</v>
      </c>
      <c r="C40" s="223"/>
      <c r="D40" s="223" t="s">
        <v>443</v>
      </c>
      <c r="E40" s="223" t="s">
        <v>557</v>
      </c>
      <c r="F40" s="223" t="s">
        <v>878</v>
      </c>
      <c r="G40" s="208" t="s">
        <v>573</v>
      </c>
      <c r="H40" s="208" t="s">
        <v>550</v>
      </c>
      <c r="I40" s="208" t="s">
        <v>552</v>
      </c>
      <c r="J40" s="208" t="s">
        <v>117</v>
      </c>
    </row>
    <row r="41" spans="1:11" x14ac:dyDescent="0.2">
      <c r="A41" s="27" t="s">
        <v>584</v>
      </c>
      <c r="B41" s="223" t="s">
        <v>572</v>
      </c>
      <c r="C41" s="223"/>
      <c r="D41" s="223" t="s">
        <v>556</v>
      </c>
      <c r="E41" s="223" t="s">
        <v>869</v>
      </c>
      <c r="F41" s="223" t="s">
        <v>878</v>
      </c>
      <c r="G41" s="365" t="s">
        <v>561</v>
      </c>
      <c r="H41" s="366" t="s">
        <v>559</v>
      </c>
      <c r="I41" s="343"/>
      <c r="J41" s="343"/>
    </row>
    <row r="42" spans="1:11" x14ac:dyDescent="0.2">
      <c r="A42" s="27" t="s">
        <v>585</v>
      </c>
      <c r="B42" s="223" t="s">
        <v>572</v>
      </c>
      <c r="C42" s="223"/>
      <c r="D42" s="223" t="s">
        <v>443</v>
      </c>
      <c r="E42" s="223" t="s">
        <v>875</v>
      </c>
      <c r="F42" s="223" t="s">
        <v>878</v>
      </c>
      <c r="G42" s="365"/>
      <c r="H42" s="343"/>
      <c r="I42" s="343"/>
      <c r="J42" s="343"/>
    </row>
    <row r="43" spans="1:11" x14ac:dyDescent="0.2">
      <c r="A43" s="27" t="s">
        <v>586</v>
      </c>
      <c r="B43" s="223" t="s">
        <v>578</v>
      </c>
      <c r="C43" s="223"/>
      <c r="D43" s="223" t="s">
        <v>556</v>
      </c>
      <c r="E43" s="223" t="s">
        <v>869</v>
      </c>
      <c r="F43" s="223" t="s">
        <v>878</v>
      </c>
      <c r="G43" s="365"/>
      <c r="H43" s="343"/>
      <c r="I43" s="343"/>
      <c r="J43" s="343"/>
    </row>
    <row r="44" spans="1:11" x14ac:dyDescent="0.2">
      <c r="A44" s="27" t="s">
        <v>587</v>
      </c>
      <c r="B44" s="223" t="s">
        <v>578</v>
      </c>
      <c r="C44" s="223"/>
      <c r="D44" s="223" t="s">
        <v>443</v>
      </c>
      <c r="E44" s="223" t="s">
        <v>875</v>
      </c>
      <c r="F44" s="223" t="s">
        <v>878</v>
      </c>
      <c r="G44" s="365"/>
      <c r="H44" s="343"/>
      <c r="I44" s="343"/>
      <c r="J44" s="343"/>
    </row>
    <row r="45" spans="1:11" ht="15" x14ac:dyDescent="0.25">
      <c r="A45" s="27"/>
      <c r="B45"/>
      <c r="C45"/>
      <c r="D45"/>
      <c r="E45"/>
      <c r="F45" s="220"/>
      <c r="G45" s="219"/>
      <c r="H45" s="219"/>
      <c r="I45" s="219"/>
    </row>
    <row r="46" spans="1:11" ht="15" x14ac:dyDescent="0.25">
      <c r="B46"/>
      <c r="C46"/>
      <c r="D46"/>
      <c r="E46"/>
    </row>
    <row r="47" spans="1:11" x14ac:dyDescent="0.2">
      <c r="A47" s="225" t="s">
        <v>886</v>
      </c>
      <c r="B47" s="225" t="s">
        <v>887</v>
      </c>
      <c r="D47" s="225" t="s">
        <v>888</v>
      </c>
      <c r="G47" s="41" t="s">
        <v>588</v>
      </c>
      <c r="H47" s="41"/>
      <c r="I47" s="41"/>
      <c r="J47" s="41"/>
      <c r="K47" s="41"/>
    </row>
    <row r="48" spans="1:11" x14ac:dyDescent="0.2">
      <c r="A48" s="226" t="s">
        <v>589</v>
      </c>
      <c r="B48" s="248" t="s">
        <v>902</v>
      </c>
      <c r="C48" s="248" t="s">
        <v>903</v>
      </c>
      <c r="D48" s="187" t="s">
        <v>46</v>
      </c>
      <c r="E48" s="187" t="s">
        <v>209</v>
      </c>
      <c r="F48" s="187" t="s">
        <v>210</v>
      </c>
      <c r="G48" s="187" t="s">
        <v>211</v>
      </c>
      <c r="H48" s="187" t="s">
        <v>212</v>
      </c>
    </row>
    <row r="49" spans="1:9" x14ac:dyDescent="0.2">
      <c r="A49" s="228" t="s">
        <v>259</v>
      </c>
      <c r="B49" s="229" t="s">
        <v>880</v>
      </c>
      <c r="C49" s="229"/>
      <c r="D49" s="188" t="s">
        <v>260</v>
      </c>
    </row>
    <row r="50" spans="1:9" x14ac:dyDescent="0.2">
      <c r="A50" s="226" t="s">
        <v>590</v>
      </c>
      <c r="B50" s="227" t="s">
        <v>871</v>
      </c>
      <c r="C50" s="227" t="s">
        <v>427</v>
      </c>
      <c r="D50" s="188" t="s">
        <v>591</v>
      </c>
      <c r="E50" s="189">
        <v>24</v>
      </c>
      <c r="F50" s="189" t="s">
        <v>592</v>
      </c>
      <c r="G50" s="189" t="s">
        <v>593</v>
      </c>
      <c r="H50" s="189" t="s">
        <v>217</v>
      </c>
      <c r="I50" s="169"/>
    </row>
    <row r="51" spans="1:9" x14ac:dyDescent="0.2">
      <c r="A51" s="226" t="s">
        <v>594</v>
      </c>
      <c r="B51" s="227" t="s">
        <v>871</v>
      </c>
      <c r="C51" s="227" t="s">
        <v>461</v>
      </c>
      <c r="D51" s="188" t="s">
        <v>595</v>
      </c>
      <c r="E51" s="189">
        <v>63</v>
      </c>
      <c r="F51" s="189" t="s">
        <v>596</v>
      </c>
      <c r="G51" s="189" t="s">
        <v>593</v>
      </c>
      <c r="H51" s="189" t="s">
        <v>217</v>
      </c>
      <c r="I51" s="169"/>
    </row>
    <row r="52" spans="1:9" x14ac:dyDescent="0.2">
      <c r="A52" s="226" t="s">
        <v>597</v>
      </c>
      <c r="B52" s="227" t="s">
        <v>871</v>
      </c>
      <c r="C52" s="227" t="s">
        <v>476</v>
      </c>
      <c r="D52" s="188" t="s">
        <v>598</v>
      </c>
      <c r="E52" s="189">
        <v>124</v>
      </c>
      <c r="F52" s="189" t="s">
        <v>599</v>
      </c>
      <c r="G52" s="189" t="s">
        <v>593</v>
      </c>
      <c r="H52" s="189" t="s">
        <v>217</v>
      </c>
      <c r="I52" s="169"/>
    </row>
    <row r="53" spans="1:9" x14ac:dyDescent="0.2">
      <c r="A53" s="226" t="s">
        <v>600</v>
      </c>
      <c r="B53" s="227" t="s">
        <v>871</v>
      </c>
      <c r="C53" s="227" t="s">
        <v>601</v>
      </c>
      <c r="D53" s="188" t="s">
        <v>602</v>
      </c>
      <c r="E53" s="189">
        <v>300</v>
      </c>
      <c r="F53" s="189" t="s">
        <v>603</v>
      </c>
      <c r="G53" s="189" t="s">
        <v>593</v>
      </c>
      <c r="H53" s="189" t="s">
        <v>217</v>
      </c>
      <c r="I53" s="169"/>
    </row>
    <row r="54" spans="1:9" x14ac:dyDescent="0.2">
      <c r="A54" s="226" t="s">
        <v>604</v>
      </c>
      <c r="B54" s="227" t="s">
        <v>871</v>
      </c>
      <c r="C54" s="227" t="s">
        <v>434</v>
      </c>
      <c r="D54" s="188" t="s">
        <v>605</v>
      </c>
      <c r="E54" s="189">
        <v>300</v>
      </c>
      <c r="F54" s="189" t="s">
        <v>603</v>
      </c>
      <c r="G54" s="189" t="s">
        <v>593</v>
      </c>
      <c r="H54" s="189" t="s">
        <v>217</v>
      </c>
      <c r="I54" s="169"/>
    </row>
    <row r="55" spans="1:9" x14ac:dyDescent="0.2">
      <c r="A55" s="226" t="s">
        <v>606</v>
      </c>
      <c r="B55" s="227" t="s">
        <v>871</v>
      </c>
      <c r="C55" s="227" t="s">
        <v>607</v>
      </c>
      <c r="D55" s="188" t="s">
        <v>608</v>
      </c>
      <c r="E55" s="189">
        <v>300</v>
      </c>
      <c r="F55" s="189" t="s">
        <v>603</v>
      </c>
      <c r="G55" s="189" t="s">
        <v>593</v>
      </c>
      <c r="H55" s="189" t="s">
        <v>217</v>
      </c>
    </row>
    <row r="56" spans="1:9" x14ac:dyDescent="0.2">
      <c r="A56" s="226" t="s">
        <v>609</v>
      </c>
      <c r="B56" s="227" t="s">
        <v>872</v>
      </c>
      <c r="C56" s="227" t="s">
        <v>427</v>
      </c>
      <c r="D56" s="188" t="s">
        <v>216</v>
      </c>
      <c r="E56" s="189">
        <v>24</v>
      </c>
      <c r="F56" s="189" t="s">
        <v>592</v>
      </c>
      <c r="G56" s="189" t="s">
        <v>593</v>
      </c>
      <c r="H56" s="189" t="s">
        <v>217</v>
      </c>
    </row>
    <row r="57" spans="1:9" x14ac:dyDescent="0.2">
      <c r="A57" s="226" t="s">
        <v>610</v>
      </c>
      <c r="B57" s="227" t="s">
        <v>872</v>
      </c>
      <c r="C57" s="227" t="s">
        <v>461</v>
      </c>
      <c r="D57" s="188" t="s">
        <v>611</v>
      </c>
      <c r="E57" s="189">
        <v>63</v>
      </c>
      <c r="F57" s="189" t="s">
        <v>596</v>
      </c>
      <c r="G57" s="189" t="s">
        <v>593</v>
      </c>
      <c r="H57" s="189" t="s">
        <v>217</v>
      </c>
    </row>
    <row r="58" spans="1:9" x14ac:dyDescent="0.2">
      <c r="A58" s="226" t="s">
        <v>612</v>
      </c>
      <c r="B58" s="227" t="s">
        <v>872</v>
      </c>
      <c r="C58" s="227" t="s">
        <v>476</v>
      </c>
      <c r="D58" s="188" t="s">
        <v>613</v>
      </c>
      <c r="E58" s="189">
        <v>124</v>
      </c>
      <c r="F58" s="189" t="s">
        <v>599</v>
      </c>
      <c r="G58" s="189" t="s">
        <v>593</v>
      </c>
      <c r="H58" s="189" t="s">
        <v>217</v>
      </c>
    </row>
    <row r="59" spans="1:9" x14ac:dyDescent="0.2">
      <c r="A59" s="226" t="s">
        <v>614</v>
      </c>
      <c r="B59" s="227" t="s">
        <v>872</v>
      </c>
      <c r="C59" s="227" t="s">
        <v>601</v>
      </c>
      <c r="D59" s="188" t="s">
        <v>615</v>
      </c>
      <c r="E59" s="189">
        <v>300</v>
      </c>
      <c r="F59" s="189" t="s">
        <v>603</v>
      </c>
      <c r="G59" s="189" t="s">
        <v>593</v>
      </c>
      <c r="H59" s="189" t="s">
        <v>217</v>
      </c>
    </row>
    <row r="60" spans="1:9" x14ac:dyDescent="0.2">
      <c r="A60" s="226" t="s">
        <v>616</v>
      </c>
      <c r="B60" s="227" t="s">
        <v>872</v>
      </c>
      <c r="C60" s="227" t="s">
        <v>434</v>
      </c>
      <c r="D60" s="188" t="s">
        <v>617</v>
      </c>
      <c r="E60" s="189">
        <v>300</v>
      </c>
      <c r="F60" s="189" t="s">
        <v>603</v>
      </c>
      <c r="G60" s="189" t="s">
        <v>593</v>
      </c>
      <c r="H60" s="189" t="s">
        <v>217</v>
      </c>
    </row>
    <row r="61" spans="1:9" x14ac:dyDescent="0.2">
      <c r="A61" s="226" t="s">
        <v>618</v>
      </c>
      <c r="B61" s="227" t="s">
        <v>872</v>
      </c>
      <c r="C61" s="227" t="s">
        <v>607</v>
      </c>
      <c r="D61" s="188" t="s">
        <v>619</v>
      </c>
      <c r="E61" s="189">
        <v>300</v>
      </c>
      <c r="F61" s="189" t="s">
        <v>603</v>
      </c>
      <c r="G61" s="189" t="s">
        <v>593</v>
      </c>
      <c r="H61" s="189" t="s">
        <v>217</v>
      </c>
    </row>
    <row r="62" spans="1:9" x14ac:dyDescent="0.2">
      <c r="A62" s="226" t="s">
        <v>620</v>
      </c>
      <c r="B62" s="227" t="s">
        <v>873</v>
      </c>
      <c r="C62" s="227" t="s">
        <v>427</v>
      </c>
      <c r="D62" s="188" t="s">
        <v>220</v>
      </c>
      <c r="E62" s="189">
        <v>24</v>
      </c>
      <c r="F62" s="189" t="s">
        <v>592</v>
      </c>
      <c r="G62" s="189" t="s">
        <v>593</v>
      </c>
      <c r="H62" s="189" t="s">
        <v>217</v>
      </c>
    </row>
    <row r="63" spans="1:9" x14ac:dyDescent="0.2">
      <c r="A63" s="226" t="s">
        <v>621</v>
      </c>
      <c r="B63" s="227" t="s">
        <v>873</v>
      </c>
      <c r="C63" s="227" t="s">
        <v>461</v>
      </c>
      <c r="D63" s="188" t="s">
        <v>622</v>
      </c>
      <c r="E63" s="189">
        <v>63</v>
      </c>
      <c r="F63" s="189" t="s">
        <v>596</v>
      </c>
      <c r="G63" s="189" t="s">
        <v>593</v>
      </c>
      <c r="H63" s="189" t="s">
        <v>217</v>
      </c>
    </row>
    <row r="64" spans="1:9" x14ac:dyDescent="0.2">
      <c r="A64" s="226" t="s">
        <v>623</v>
      </c>
      <c r="B64" s="227" t="s">
        <v>873</v>
      </c>
      <c r="C64" s="227" t="s">
        <v>476</v>
      </c>
      <c r="D64" s="188" t="s">
        <v>624</v>
      </c>
      <c r="E64" s="189">
        <v>124</v>
      </c>
      <c r="F64" s="189" t="s">
        <v>599</v>
      </c>
      <c r="G64" s="189" t="s">
        <v>593</v>
      </c>
      <c r="H64" s="189" t="s">
        <v>217</v>
      </c>
    </row>
    <row r="65" spans="1:8" x14ac:dyDescent="0.2">
      <c r="A65" s="226" t="s">
        <v>625</v>
      </c>
      <c r="B65" s="227" t="s">
        <v>873</v>
      </c>
      <c r="C65" s="227" t="s">
        <v>601</v>
      </c>
      <c r="D65" s="188" t="s">
        <v>626</v>
      </c>
      <c r="E65" s="189">
        <v>300</v>
      </c>
      <c r="F65" s="189" t="s">
        <v>603</v>
      </c>
      <c r="G65" s="189" t="s">
        <v>593</v>
      </c>
      <c r="H65" s="189" t="s">
        <v>217</v>
      </c>
    </row>
    <row r="66" spans="1:8" x14ac:dyDescent="0.2">
      <c r="A66" s="226" t="s">
        <v>627</v>
      </c>
      <c r="B66" s="227" t="s">
        <v>873</v>
      </c>
      <c r="C66" s="227" t="s">
        <v>434</v>
      </c>
      <c r="D66" s="188" t="s">
        <v>628</v>
      </c>
      <c r="E66" s="189">
        <v>300</v>
      </c>
      <c r="F66" s="189" t="s">
        <v>603</v>
      </c>
      <c r="G66" s="189" t="s">
        <v>593</v>
      </c>
      <c r="H66" s="189" t="s">
        <v>217</v>
      </c>
    </row>
    <row r="67" spans="1:8" x14ac:dyDescent="0.2">
      <c r="A67" s="226" t="s">
        <v>629</v>
      </c>
      <c r="B67" s="227" t="s">
        <v>873</v>
      </c>
      <c r="C67" s="227" t="s">
        <v>607</v>
      </c>
      <c r="D67" s="188" t="s">
        <v>630</v>
      </c>
      <c r="E67" s="189">
        <v>300</v>
      </c>
      <c r="F67" s="189" t="s">
        <v>603</v>
      </c>
      <c r="G67" s="189" t="s">
        <v>593</v>
      </c>
      <c r="H67" s="189" t="s">
        <v>217</v>
      </c>
    </row>
    <row r="68" spans="1:8" x14ac:dyDescent="0.2">
      <c r="A68" s="226" t="s">
        <v>631</v>
      </c>
      <c r="B68" s="227" t="s">
        <v>874</v>
      </c>
      <c r="C68" s="227" t="s">
        <v>427</v>
      </c>
      <c r="D68" s="188" t="s">
        <v>222</v>
      </c>
      <c r="E68" s="189">
        <v>24</v>
      </c>
      <c r="F68" s="189" t="s">
        <v>592</v>
      </c>
      <c r="G68" s="189" t="s">
        <v>593</v>
      </c>
      <c r="H68" s="189" t="s">
        <v>217</v>
      </c>
    </row>
    <row r="69" spans="1:8" x14ac:dyDescent="0.2">
      <c r="A69" s="226" t="s">
        <v>632</v>
      </c>
      <c r="B69" s="227" t="s">
        <v>874</v>
      </c>
      <c r="C69" s="227" t="s">
        <v>461</v>
      </c>
      <c r="D69" s="188" t="s">
        <v>633</v>
      </c>
      <c r="E69" s="189">
        <v>63</v>
      </c>
      <c r="F69" s="189" t="s">
        <v>596</v>
      </c>
      <c r="G69" s="189" t="s">
        <v>593</v>
      </c>
      <c r="H69" s="189" t="s">
        <v>217</v>
      </c>
    </row>
    <row r="70" spans="1:8" x14ac:dyDescent="0.2">
      <c r="A70" s="226" t="s">
        <v>634</v>
      </c>
      <c r="B70" s="227" t="s">
        <v>874</v>
      </c>
      <c r="C70" s="227" t="s">
        <v>476</v>
      </c>
      <c r="D70" s="188" t="s">
        <v>635</v>
      </c>
      <c r="E70" s="189">
        <v>124</v>
      </c>
      <c r="F70" s="189" t="s">
        <v>599</v>
      </c>
      <c r="G70" s="189" t="s">
        <v>593</v>
      </c>
      <c r="H70" s="189" t="s">
        <v>217</v>
      </c>
    </row>
    <row r="71" spans="1:8" x14ac:dyDescent="0.2">
      <c r="A71" s="226" t="s">
        <v>636</v>
      </c>
      <c r="B71" s="227" t="s">
        <v>874</v>
      </c>
      <c r="C71" s="227" t="s">
        <v>601</v>
      </c>
      <c r="D71" s="188" t="s">
        <v>637</v>
      </c>
      <c r="E71" s="189">
        <v>300</v>
      </c>
      <c r="F71" s="189" t="s">
        <v>603</v>
      </c>
      <c r="G71" s="189" t="s">
        <v>593</v>
      </c>
      <c r="H71" s="189" t="s">
        <v>217</v>
      </c>
    </row>
    <row r="72" spans="1:8" x14ac:dyDescent="0.2">
      <c r="A72" s="226" t="s">
        <v>638</v>
      </c>
      <c r="B72" s="227" t="s">
        <v>874</v>
      </c>
      <c r="C72" s="227" t="s">
        <v>434</v>
      </c>
      <c r="D72" s="188" t="s">
        <v>639</v>
      </c>
      <c r="E72" s="189">
        <v>300</v>
      </c>
      <c r="F72" s="189" t="s">
        <v>603</v>
      </c>
      <c r="G72" s="189" t="s">
        <v>593</v>
      </c>
      <c r="H72" s="189" t="s">
        <v>217</v>
      </c>
    </row>
    <row r="73" spans="1:8" x14ac:dyDescent="0.2">
      <c r="A73" s="226" t="s">
        <v>640</v>
      </c>
      <c r="B73" s="227" t="s">
        <v>874</v>
      </c>
      <c r="C73" s="227" t="s">
        <v>607</v>
      </c>
      <c r="D73" s="188" t="s">
        <v>641</v>
      </c>
      <c r="E73" s="189">
        <v>300</v>
      </c>
      <c r="F73" s="189" t="s">
        <v>603</v>
      </c>
      <c r="G73" s="189" t="s">
        <v>593</v>
      </c>
      <c r="H73" s="189" t="s">
        <v>217</v>
      </c>
    </row>
    <row r="74" spans="1:8" x14ac:dyDescent="0.2">
      <c r="A74" s="226" t="s">
        <v>642</v>
      </c>
      <c r="B74" s="227" t="s">
        <v>876</v>
      </c>
      <c r="C74" s="227" t="s">
        <v>427</v>
      </c>
      <c r="D74" s="188" t="s">
        <v>224</v>
      </c>
      <c r="E74" s="189">
        <v>24</v>
      </c>
      <c r="F74" s="189" t="s">
        <v>592</v>
      </c>
      <c r="G74" s="189" t="s">
        <v>593</v>
      </c>
      <c r="H74" s="189" t="s">
        <v>217</v>
      </c>
    </row>
    <row r="75" spans="1:8" x14ac:dyDescent="0.2">
      <c r="A75" s="226" t="s">
        <v>643</v>
      </c>
      <c r="B75" s="227" t="s">
        <v>876</v>
      </c>
      <c r="C75" s="227" t="s">
        <v>461</v>
      </c>
      <c r="D75" s="188" t="s">
        <v>644</v>
      </c>
      <c r="E75" s="189">
        <v>63</v>
      </c>
      <c r="F75" s="189" t="s">
        <v>596</v>
      </c>
      <c r="G75" s="189" t="s">
        <v>593</v>
      </c>
      <c r="H75" s="189" t="s">
        <v>217</v>
      </c>
    </row>
    <row r="76" spans="1:8" x14ac:dyDescent="0.2">
      <c r="A76" s="226" t="s">
        <v>645</v>
      </c>
      <c r="B76" s="227" t="s">
        <v>877</v>
      </c>
      <c r="C76" s="227" t="s">
        <v>427</v>
      </c>
      <c r="D76" s="188" t="s">
        <v>226</v>
      </c>
      <c r="E76" s="189">
        <v>24</v>
      </c>
      <c r="F76" s="189" t="s">
        <v>592</v>
      </c>
      <c r="G76" s="189" t="s">
        <v>593</v>
      </c>
      <c r="H76" s="189" t="s">
        <v>217</v>
      </c>
    </row>
    <row r="77" spans="1:8" x14ac:dyDescent="0.2">
      <c r="A77" s="226" t="s">
        <v>646</v>
      </c>
      <c r="B77" s="227" t="s">
        <v>877</v>
      </c>
      <c r="C77" s="227" t="s">
        <v>461</v>
      </c>
      <c r="D77" s="188" t="s">
        <v>647</v>
      </c>
      <c r="E77" s="189">
        <v>63</v>
      </c>
      <c r="F77" s="189" t="s">
        <v>596</v>
      </c>
      <c r="G77" s="189" t="s">
        <v>593</v>
      </c>
      <c r="H77" s="189" t="s">
        <v>217</v>
      </c>
    </row>
    <row r="78" spans="1:8" x14ac:dyDescent="0.2">
      <c r="A78" s="226" t="s">
        <v>648</v>
      </c>
      <c r="B78" s="227" t="s">
        <v>881</v>
      </c>
      <c r="C78" s="227" t="s">
        <v>462</v>
      </c>
      <c r="D78" s="188" t="s">
        <v>649</v>
      </c>
      <c r="E78" s="189">
        <v>15</v>
      </c>
      <c r="F78" s="189" t="s">
        <v>650</v>
      </c>
      <c r="G78" s="189" t="s">
        <v>228</v>
      </c>
      <c r="H78" s="190" t="s">
        <v>229</v>
      </c>
    </row>
    <row r="79" spans="1:8" x14ac:dyDescent="0.2">
      <c r="A79" s="226" t="s">
        <v>651</v>
      </c>
      <c r="B79" s="227" t="s">
        <v>881</v>
      </c>
      <c r="C79" s="227" t="s">
        <v>440</v>
      </c>
      <c r="D79" s="188" t="s">
        <v>652</v>
      </c>
      <c r="E79" s="189">
        <v>24</v>
      </c>
      <c r="F79" s="189" t="s">
        <v>653</v>
      </c>
      <c r="G79" s="189" t="s">
        <v>228</v>
      </c>
      <c r="H79" s="190" t="s">
        <v>229</v>
      </c>
    </row>
    <row r="80" spans="1:8" x14ac:dyDescent="0.2">
      <c r="A80" s="226" t="s">
        <v>654</v>
      </c>
      <c r="B80" s="227" t="s">
        <v>881</v>
      </c>
      <c r="C80" s="227" t="s">
        <v>463</v>
      </c>
      <c r="D80" s="188" t="s">
        <v>655</v>
      </c>
      <c r="E80" s="189">
        <v>38</v>
      </c>
      <c r="F80" s="189" t="s">
        <v>656</v>
      </c>
      <c r="G80" s="189" t="s">
        <v>228</v>
      </c>
      <c r="H80" s="207" t="s">
        <v>229</v>
      </c>
    </row>
    <row r="81" spans="1:8" x14ac:dyDescent="0.2">
      <c r="A81" s="226" t="s">
        <v>657</v>
      </c>
      <c r="B81" s="227" t="s">
        <v>881</v>
      </c>
      <c r="C81" s="227" t="s">
        <v>475</v>
      </c>
      <c r="D81" s="188" t="s">
        <v>658</v>
      </c>
      <c r="E81" s="189">
        <v>60</v>
      </c>
      <c r="F81" s="189" t="s">
        <v>659</v>
      </c>
      <c r="G81" s="189" t="s">
        <v>228</v>
      </c>
      <c r="H81" s="207" t="s">
        <v>229</v>
      </c>
    </row>
    <row r="82" spans="1:8" x14ac:dyDescent="0.2">
      <c r="A82" s="226" t="s">
        <v>660</v>
      </c>
      <c r="B82" s="227" t="s">
        <v>881</v>
      </c>
      <c r="C82" s="227" t="s">
        <v>441</v>
      </c>
      <c r="D82" s="188" t="s">
        <v>661</v>
      </c>
      <c r="E82" s="189">
        <v>96</v>
      </c>
      <c r="F82" s="189" t="s">
        <v>662</v>
      </c>
      <c r="G82" s="189" t="s">
        <v>228</v>
      </c>
      <c r="H82" s="207" t="s">
        <v>229</v>
      </c>
    </row>
    <row r="83" spans="1:8" x14ac:dyDescent="0.2">
      <c r="A83" s="226" t="s">
        <v>663</v>
      </c>
      <c r="B83" s="227" t="s">
        <v>881</v>
      </c>
      <c r="C83" s="227" t="s">
        <v>477</v>
      </c>
      <c r="D83" s="188" t="s">
        <v>664</v>
      </c>
      <c r="E83" s="189">
        <v>150</v>
      </c>
      <c r="F83" s="189" t="s">
        <v>665</v>
      </c>
      <c r="G83" s="189" t="s">
        <v>228</v>
      </c>
      <c r="H83" s="190" t="s">
        <v>229</v>
      </c>
    </row>
    <row r="84" spans="1:8" x14ac:dyDescent="0.2">
      <c r="A84" s="226" t="s">
        <v>666</v>
      </c>
      <c r="B84" s="227" t="s">
        <v>881</v>
      </c>
      <c r="C84" s="227" t="s">
        <v>667</v>
      </c>
      <c r="D84" s="188" t="s">
        <v>668</v>
      </c>
      <c r="E84" s="189">
        <v>240</v>
      </c>
      <c r="F84" s="189" t="s">
        <v>669</v>
      </c>
      <c r="G84" s="189" t="s">
        <v>228</v>
      </c>
      <c r="H84" s="190" t="s">
        <v>229</v>
      </c>
    </row>
    <row r="85" spans="1:8" x14ac:dyDescent="0.2">
      <c r="A85" s="226" t="s">
        <v>670</v>
      </c>
      <c r="B85" s="227" t="s">
        <v>881</v>
      </c>
      <c r="C85" s="227" t="s">
        <v>442</v>
      </c>
      <c r="D85" s="188" t="s">
        <v>671</v>
      </c>
      <c r="E85" s="189">
        <v>390</v>
      </c>
      <c r="F85" s="189" t="s">
        <v>672</v>
      </c>
      <c r="G85" s="189" t="s">
        <v>228</v>
      </c>
      <c r="H85" s="207" t="s">
        <v>229</v>
      </c>
    </row>
    <row r="86" spans="1:8" x14ac:dyDescent="0.2">
      <c r="A86" s="226" t="s">
        <v>673</v>
      </c>
      <c r="B86" s="227" t="s">
        <v>882</v>
      </c>
      <c r="C86" s="227" t="s">
        <v>462</v>
      </c>
      <c r="D86" s="188" t="s">
        <v>674</v>
      </c>
      <c r="E86" s="189">
        <v>15</v>
      </c>
      <c r="F86" s="189" t="s">
        <v>650</v>
      </c>
      <c r="G86" s="189" t="s">
        <v>228</v>
      </c>
      <c r="H86" s="207" t="s">
        <v>229</v>
      </c>
    </row>
    <row r="87" spans="1:8" x14ac:dyDescent="0.2">
      <c r="A87" s="226" t="s">
        <v>675</v>
      </c>
      <c r="B87" s="227" t="s">
        <v>882</v>
      </c>
      <c r="C87" s="227" t="s">
        <v>440</v>
      </c>
      <c r="D87" s="188" t="s">
        <v>676</v>
      </c>
      <c r="E87" s="189">
        <v>24</v>
      </c>
      <c r="F87" s="189" t="s">
        <v>653</v>
      </c>
      <c r="G87" s="189" t="s">
        <v>228</v>
      </c>
      <c r="H87" s="207" t="s">
        <v>229</v>
      </c>
    </row>
    <row r="88" spans="1:8" x14ac:dyDescent="0.2">
      <c r="A88" s="226" t="s">
        <v>677</v>
      </c>
      <c r="B88" s="227" t="s">
        <v>882</v>
      </c>
      <c r="C88" s="227" t="s">
        <v>463</v>
      </c>
      <c r="D88" s="188" t="s">
        <v>678</v>
      </c>
      <c r="E88" s="189">
        <v>38</v>
      </c>
      <c r="F88" s="189" t="s">
        <v>656</v>
      </c>
      <c r="G88" s="189" t="s">
        <v>228</v>
      </c>
      <c r="H88" s="190" t="s">
        <v>229</v>
      </c>
    </row>
    <row r="89" spans="1:8" x14ac:dyDescent="0.2">
      <c r="A89" s="226" t="s">
        <v>679</v>
      </c>
      <c r="B89" s="227" t="s">
        <v>882</v>
      </c>
      <c r="C89" s="227" t="s">
        <v>475</v>
      </c>
      <c r="D89" s="188" t="s">
        <v>680</v>
      </c>
      <c r="E89" s="189">
        <v>60</v>
      </c>
      <c r="F89" s="189" t="s">
        <v>659</v>
      </c>
      <c r="G89" s="189" t="s">
        <v>228</v>
      </c>
      <c r="H89" s="190" t="s">
        <v>229</v>
      </c>
    </row>
    <row r="90" spans="1:8" x14ac:dyDescent="0.2">
      <c r="A90" s="226" t="s">
        <v>681</v>
      </c>
      <c r="B90" s="227" t="s">
        <v>882</v>
      </c>
      <c r="C90" s="227" t="s">
        <v>441</v>
      </c>
      <c r="D90" s="188" t="s">
        <v>682</v>
      </c>
      <c r="E90" s="189">
        <v>96</v>
      </c>
      <c r="F90" s="189" t="s">
        <v>662</v>
      </c>
      <c r="G90" s="189" t="s">
        <v>228</v>
      </c>
      <c r="H90" s="207" t="s">
        <v>229</v>
      </c>
    </row>
    <row r="91" spans="1:8" x14ac:dyDescent="0.2">
      <c r="A91" s="226" t="s">
        <v>683</v>
      </c>
      <c r="B91" s="227" t="s">
        <v>882</v>
      </c>
      <c r="C91" s="227" t="s">
        <v>477</v>
      </c>
      <c r="D91" s="188" t="s">
        <v>684</v>
      </c>
      <c r="E91" s="189">
        <v>150</v>
      </c>
      <c r="F91" s="189" t="s">
        <v>665</v>
      </c>
      <c r="G91" s="189" t="s">
        <v>228</v>
      </c>
      <c r="H91" s="207" t="s">
        <v>229</v>
      </c>
    </row>
    <row r="92" spans="1:8" x14ac:dyDescent="0.2">
      <c r="A92" s="226" t="s">
        <v>685</v>
      </c>
      <c r="B92" s="227" t="s">
        <v>882</v>
      </c>
      <c r="C92" s="227" t="s">
        <v>667</v>
      </c>
      <c r="D92" s="188" t="s">
        <v>686</v>
      </c>
      <c r="E92" s="189">
        <v>240</v>
      </c>
      <c r="F92" s="189" t="s">
        <v>669</v>
      </c>
      <c r="G92" s="189" t="s">
        <v>228</v>
      </c>
      <c r="H92" s="207" t="s">
        <v>229</v>
      </c>
    </row>
    <row r="93" spans="1:8" x14ac:dyDescent="0.2">
      <c r="A93" s="226" t="s">
        <v>687</v>
      </c>
      <c r="B93" s="227" t="s">
        <v>882</v>
      </c>
      <c r="C93" s="227" t="s">
        <v>442</v>
      </c>
      <c r="D93" s="188" t="s">
        <v>688</v>
      </c>
      <c r="E93" s="189">
        <v>390</v>
      </c>
      <c r="F93" s="189" t="s">
        <v>672</v>
      </c>
      <c r="G93" s="189" t="s">
        <v>228</v>
      </c>
      <c r="H93" s="190" t="s">
        <v>229</v>
      </c>
    </row>
    <row r="94" spans="1:8" x14ac:dyDescent="0.2">
      <c r="A94" s="226" t="s">
        <v>689</v>
      </c>
      <c r="B94" s="227" t="s">
        <v>883</v>
      </c>
      <c r="C94" s="227" t="s">
        <v>462</v>
      </c>
      <c r="D94" s="188" t="s">
        <v>690</v>
      </c>
      <c r="E94" s="189">
        <v>15</v>
      </c>
      <c r="F94" s="189" t="s">
        <v>650</v>
      </c>
      <c r="G94" s="189" t="s">
        <v>228</v>
      </c>
      <c r="H94" s="190" t="s">
        <v>229</v>
      </c>
    </row>
    <row r="95" spans="1:8" x14ac:dyDescent="0.2">
      <c r="A95" s="226" t="s">
        <v>691</v>
      </c>
      <c r="B95" s="227" t="s">
        <v>883</v>
      </c>
      <c r="C95" s="227" t="s">
        <v>440</v>
      </c>
      <c r="D95" s="188" t="s">
        <v>692</v>
      </c>
      <c r="E95" s="189">
        <v>24</v>
      </c>
      <c r="F95" s="189" t="s">
        <v>653</v>
      </c>
      <c r="G95" s="189" t="s">
        <v>228</v>
      </c>
      <c r="H95" s="207" t="s">
        <v>229</v>
      </c>
    </row>
    <row r="96" spans="1:8" x14ac:dyDescent="0.2">
      <c r="A96" s="226" t="s">
        <v>693</v>
      </c>
      <c r="B96" s="227" t="s">
        <v>883</v>
      </c>
      <c r="C96" s="227" t="s">
        <v>463</v>
      </c>
      <c r="D96" s="188" t="s">
        <v>694</v>
      </c>
      <c r="E96" s="189">
        <v>38</v>
      </c>
      <c r="F96" s="189" t="s">
        <v>656</v>
      </c>
      <c r="G96" s="189" t="s">
        <v>228</v>
      </c>
      <c r="H96" s="207" t="s">
        <v>229</v>
      </c>
    </row>
    <row r="97" spans="1:8" x14ac:dyDescent="0.2">
      <c r="A97" s="226" t="s">
        <v>695</v>
      </c>
      <c r="B97" s="227" t="s">
        <v>883</v>
      </c>
      <c r="C97" s="227" t="s">
        <v>475</v>
      </c>
      <c r="D97" s="188" t="s">
        <v>696</v>
      </c>
      <c r="E97" s="189">
        <v>60</v>
      </c>
      <c r="F97" s="189" t="s">
        <v>659</v>
      </c>
      <c r="G97" s="189" t="s">
        <v>228</v>
      </c>
      <c r="H97" s="207" t="s">
        <v>229</v>
      </c>
    </row>
    <row r="98" spans="1:8" x14ac:dyDescent="0.2">
      <c r="A98" s="226" t="s">
        <v>697</v>
      </c>
      <c r="B98" s="227" t="s">
        <v>883</v>
      </c>
      <c r="C98" s="227" t="s">
        <v>441</v>
      </c>
      <c r="D98" s="188" t="s">
        <v>698</v>
      </c>
      <c r="E98" s="189">
        <v>96</v>
      </c>
      <c r="F98" s="189" t="s">
        <v>662</v>
      </c>
      <c r="G98" s="189" t="s">
        <v>228</v>
      </c>
      <c r="H98" s="190" t="s">
        <v>229</v>
      </c>
    </row>
    <row r="99" spans="1:8" x14ac:dyDescent="0.2">
      <c r="A99" s="226" t="s">
        <v>699</v>
      </c>
      <c r="B99" s="227" t="s">
        <v>883</v>
      </c>
      <c r="C99" s="227" t="s">
        <v>477</v>
      </c>
      <c r="D99" s="188" t="s">
        <v>700</v>
      </c>
      <c r="E99" s="189">
        <v>150</v>
      </c>
      <c r="F99" s="189" t="s">
        <v>665</v>
      </c>
      <c r="G99" s="189" t="s">
        <v>228</v>
      </c>
      <c r="H99" s="190" t="s">
        <v>229</v>
      </c>
    </row>
    <row r="100" spans="1:8" x14ac:dyDescent="0.2">
      <c r="A100" s="226" t="s">
        <v>701</v>
      </c>
      <c r="B100" s="227" t="s">
        <v>883</v>
      </c>
      <c r="C100" s="227" t="s">
        <v>667</v>
      </c>
      <c r="D100" s="188" t="s">
        <v>702</v>
      </c>
      <c r="E100" s="189">
        <v>240</v>
      </c>
      <c r="F100" s="189" t="s">
        <v>669</v>
      </c>
      <c r="G100" s="189" t="s">
        <v>228</v>
      </c>
      <c r="H100" s="207" t="s">
        <v>229</v>
      </c>
    </row>
    <row r="101" spans="1:8" x14ac:dyDescent="0.2">
      <c r="A101" s="226" t="s">
        <v>703</v>
      </c>
      <c r="B101" s="227" t="s">
        <v>883</v>
      </c>
      <c r="C101" s="227" t="s">
        <v>442</v>
      </c>
      <c r="D101" s="188" t="s">
        <v>704</v>
      </c>
      <c r="E101" s="189">
        <v>390</v>
      </c>
      <c r="F101" s="189" t="s">
        <v>672</v>
      </c>
      <c r="G101" s="189" t="s">
        <v>228</v>
      </c>
      <c r="H101" s="207" t="s">
        <v>229</v>
      </c>
    </row>
    <row r="102" spans="1:8" x14ac:dyDescent="0.2">
      <c r="A102" s="226" t="s">
        <v>705</v>
      </c>
      <c r="B102" s="227" t="s">
        <v>884</v>
      </c>
      <c r="C102" s="227" t="s">
        <v>462</v>
      </c>
      <c r="D102" s="188" t="s">
        <v>706</v>
      </c>
      <c r="E102" s="189">
        <v>15</v>
      </c>
      <c r="F102" s="189" t="s">
        <v>650</v>
      </c>
      <c r="G102" s="189" t="s">
        <v>228</v>
      </c>
      <c r="H102" s="207" t="s">
        <v>229</v>
      </c>
    </row>
    <row r="103" spans="1:8" x14ac:dyDescent="0.2">
      <c r="A103" s="226" t="s">
        <v>707</v>
      </c>
      <c r="B103" s="227" t="s">
        <v>884</v>
      </c>
      <c r="C103" s="227" t="s">
        <v>440</v>
      </c>
      <c r="D103" s="188" t="s">
        <v>708</v>
      </c>
      <c r="E103" s="189">
        <v>24</v>
      </c>
      <c r="F103" s="189" t="s">
        <v>653</v>
      </c>
      <c r="G103" s="189" t="s">
        <v>228</v>
      </c>
      <c r="H103" s="190" t="s">
        <v>229</v>
      </c>
    </row>
    <row r="104" spans="1:8" x14ac:dyDescent="0.2">
      <c r="A104" s="226" t="s">
        <v>709</v>
      </c>
      <c r="B104" s="227" t="s">
        <v>884</v>
      </c>
      <c r="C104" s="227" t="s">
        <v>463</v>
      </c>
      <c r="D104" s="188" t="s">
        <v>710</v>
      </c>
      <c r="E104" s="189">
        <v>38</v>
      </c>
      <c r="F104" s="189" t="s">
        <v>656</v>
      </c>
      <c r="G104" s="189" t="s">
        <v>228</v>
      </c>
      <c r="H104" s="190" t="s">
        <v>229</v>
      </c>
    </row>
    <row r="105" spans="1:8" x14ac:dyDescent="0.2">
      <c r="A105" s="226" t="s">
        <v>711</v>
      </c>
      <c r="B105" s="227" t="s">
        <v>884</v>
      </c>
      <c r="C105" s="227" t="s">
        <v>475</v>
      </c>
      <c r="D105" s="188" t="s">
        <v>712</v>
      </c>
      <c r="E105" s="189">
        <v>60</v>
      </c>
      <c r="F105" s="189" t="s">
        <v>659</v>
      </c>
      <c r="G105" s="189" t="s">
        <v>228</v>
      </c>
      <c r="H105" s="207" t="s">
        <v>229</v>
      </c>
    </row>
    <row r="106" spans="1:8" x14ac:dyDescent="0.2">
      <c r="A106" s="226" t="s">
        <v>713</v>
      </c>
      <c r="B106" s="227" t="s">
        <v>884</v>
      </c>
      <c r="C106" s="227" t="s">
        <v>441</v>
      </c>
      <c r="D106" s="188" t="s">
        <v>714</v>
      </c>
      <c r="E106" s="189">
        <v>96</v>
      </c>
      <c r="F106" s="189" t="s">
        <v>662</v>
      </c>
      <c r="G106" s="189" t="s">
        <v>228</v>
      </c>
      <c r="H106" s="207" t="s">
        <v>229</v>
      </c>
    </row>
    <row r="107" spans="1:8" x14ac:dyDescent="0.2">
      <c r="A107" s="226" t="s">
        <v>715</v>
      </c>
      <c r="B107" s="227" t="s">
        <v>884</v>
      </c>
      <c r="C107" s="227" t="s">
        <v>477</v>
      </c>
      <c r="D107" s="188" t="s">
        <v>716</v>
      </c>
      <c r="E107" s="189">
        <v>150</v>
      </c>
      <c r="F107" s="189" t="s">
        <v>665</v>
      </c>
      <c r="G107" s="189" t="s">
        <v>228</v>
      </c>
      <c r="H107" s="207" t="s">
        <v>229</v>
      </c>
    </row>
    <row r="108" spans="1:8" x14ac:dyDescent="0.2">
      <c r="A108" s="226" t="s">
        <v>717</v>
      </c>
      <c r="B108" s="227" t="s">
        <v>884</v>
      </c>
      <c r="C108" s="227" t="s">
        <v>667</v>
      </c>
      <c r="D108" s="188" t="s">
        <v>718</v>
      </c>
      <c r="E108" s="189">
        <v>240</v>
      </c>
      <c r="F108" s="189" t="s">
        <v>669</v>
      </c>
      <c r="G108" s="189" t="s">
        <v>228</v>
      </c>
      <c r="H108" s="190" t="s">
        <v>229</v>
      </c>
    </row>
    <row r="109" spans="1:8" x14ac:dyDescent="0.2">
      <c r="A109" s="226" t="s">
        <v>719</v>
      </c>
      <c r="B109" s="227" t="s">
        <v>884</v>
      </c>
      <c r="C109" s="227" t="s">
        <v>442</v>
      </c>
      <c r="D109" s="188" t="s">
        <v>720</v>
      </c>
      <c r="E109" s="189">
        <v>390</v>
      </c>
      <c r="F109" s="189" t="s">
        <v>672</v>
      </c>
      <c r="G109" s="189" t="s">
        <v>228</v>
      </c>
      <c r="H109" s="190" t="s">
        <v>229</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3"/>
  <sheetViews>
    <sheetView workbookViewId="0">
      <selection activeCell="D25" sqref="D25"/>
    </sheetView>
  </sheetViews>
  <sheetFormatPr defaultColWidth="9.140625" defaultRowHeight="12.75" x14ac:dyDescent="0.2"/>
  <cols>
    <col min="1" max="1" width="26.28515625" style="75" customWidth="1"/>
    <col min="2" max="2" width="18.140625" style="75" bestFit="1" customWidth="1"/>
    <col min="3" max="3" width="25.85546875" style="75" bestFit="1" customWidth="1"/>
    <col min="4" max="4" width="20.85546875" style="75" customWidth="1"/>
    <col min="5" max="11" width="13.28515625" style="75" customWidth="1"/>
    <col min="12" max="12" width="15.42578125" style="75" bestFit="1" customWidth="1"/>
    <col min="13" max="13" width="18.5703125" style="75" bestFit="1" customWidth="1"/>
    <col min="14" max="14" width="13.28515625" style="75" customWidth="1"/>
    <col min="15" max="16384" width="9.140625" style="75"/>
  </cols>
  <sheetData>
    <row r="1" spans="1:10" ht="15" x14ac:dyDescent="0.25">
      <c r="A1" s="246" t="s">
        <v>895</v>
      </c>
    </row>
    <row r="3" spans="1:10" x14ac:dyDescent="0.2">
      <c r="A3" s="191" t="s">
        <v>162</v>
      </c>
      <c r="B3" s="25" t="s">
        <v>66</v>
      </c>
      <c r="C3" s="25" t="s">
        <v>68</v>
      </c>
      <c r="D3" s="25" t="s">
        <v>70</v>
      </c>
      <c r="E3" s="25" t="s">
        <v>71</v>
      </c>
      <c r="F3" s="25" t="s">
        <v>72</v>
      </c>
      <c r="G3" s="25" t="s">
        <v>73</v>
      </c>
      <c r="H3" s="25" t="s">
        <v>74</v>
      </c>
      <c r="I3" s="36" t="s">
        <v>75</v>
      </c>
      <c r="J3" s="27"/>
    </row>
    <row r="4" spans="1:10" x14ac:dyDescent="0.2">
      <c r="A4" s="34" t="s">
        <v>164</v>
      </c>
      <c r="B4" s="41">
        <v>0.13500000000000001</v>
      </c>
      <c r="C4" s="41">
        <v>0.32</v>
      </c>
      <c r="D4" s="41">
        <v>0.68</v>
      </c>
      <c r="E4" s="41">
        <v>0.86499999999999999</v>
      </c>
      <c r="F4" s="27">
        <v>0</v>
      </c>
      <c r="G4" s="27">
        <v>0</v>
      </c>
      <c r="H4" s="27">
        <v>0</v>
      </c>
      <c r="I4" s="33">
        <v>0</v>
      </c>
      <c r="J4" s="27"/>
    </row>
    <row r="5" spans="1:10" x14ac:dyDescent="0.2">
      <c r="A5" s="34" t="s">
        <v>166</v>
      </c>
      <c r="B5" s="27">
        <v>3.2000000000000001E-2</v>
      </c>
      <c r="C5" s="27">
        <v>0.13500000000000001</v>
      </c>
      <c r="D5" s="27">
        <v>0.32</v>
      </c>
      <c r="E5" s="27">
        <v>0.68</v>
      </c>
      <c r="F5" s="27">
        <v>0.86499999999999999</v>
      </c>
      <c r="G5" s="27">
        <v>0.96799999999999997</v>
      </c>
      <c r="H5" s="27">
        <v>0</v>
      </c>
      <c r="I5" s="33">
        <v>0</v>
      </c>
      <c r="J5" s="27"/>
    </row>
    <row r="6" spans="1:10" x14ac:dyDescent="0.2">
      <c r="A6" s="34" t="s">
        <v>168</v>
      </c>
      <c r="B6" s="27">
        <v>3.4000000000000002E-2</v>
      </c>
      <c r="C6" s="27">
        <v>9.1999999999999998E-2</v>
      </c>
      <c r="D6" s="27">
        <v>0.25</v>
      </c>
      <c r="E6" s="27">
        <v>0.36749999999999999</v>
      </c>
      <c r="F6" s="27">
        <v>0.63249999999999995</v>
      </c>
      <c r="G6" s="27">
        <v>0.75</v>
      </c>
      <c r="H6" s="27">
        <v>0.90800000000000003</v>
      </c>
      <c r="I6" s="33">
        <v>0.96599999999999997</v>
      </c>
      <c r="J6" s="27"/>
    </row>
    <row r="7" spans="1:10" x14ac:dyDescent="0.2">
      <c r="A7" s="34"/>
      <c r="B7" s="27"/>
      <c r="C7" s="27"/>
      <c r="D7" s="27"/>
      <c r="E7" s="27"/>
      <c r="F7" s="27"/>
      <c r="G7" s="27"/>
      <c r="H7" s="27"/>
      <c r="I7" s="33"/>
      <c r="J7" s="28"/>
    </row>
    <row r="8" spans="1:10" x14ac:dyDescent="0.2">
      <c r="A8" s="34" t="s">
        <v>76</v>
      </c>
      <c r="B8" s="27" t="s">
        <v>66</v>
      </c>
      <c r="C8" s="27" t="s">
        <v>68</v>
      </c>
      <c r="D8" s="27" t="s">
        <v>70</v>
      </c>
      <c r="E8" s="27" t="s">
        <v>71</v>
      </c>
      <c r="F8" s="27" t="s">
        <v>72</v>
      </c>
      <c r="G8" s="27" t="s">
        <v>73</v>
      </c>
      <c r="H8" s="27" t="s">
        <v>74</v>
      </c>
      <c r="I8" s="33" t="s">
        <v>75</v>
      </c>
      <c r="J8" s="28"/>
    </row>
    <row r="9" spans="1:10" x14ac:dyDescent="0.2">
      <c r="A9" s="192">
        <v>0.5</v>
      </c>
      <c r="B9" s="180">
        <f>VLOOKUP('TB MIS Sheet'!$E$17,$A$4:$I$6,2,0)</f>
        <v>3.2000000000000001E-2</v>
      </c>
      <c r="C9" s="180">
        <f>VLOOKUP('TB MIS Sheet'!$E$17,$A$4:$I$6,3,0)</f>
        <v>0.13500000000000001</v>
      </c>
      <c r="D9" s="180">
        <f>VLOOKUP('TB MIS Sheet'!$E$17,$A$4:$I$6,4,0)</f>
        <v>0.32</v>
      </c>
      <c r="E9" s="180">
        <f>VLOOKUP('TB MIS Sheet'!$E$17,$A$4:$I$6,5,0)</f>
        <v>0.68</v>
      </c>
      <c r="F9" s="180">
        <f>VLOOKUP('TB MIS Sheet'!$E$17,$A$4:$I$6,6,0)</f>
        <v>0.86499999999999999</v>
      </c>
      <c r="G9" s="180">
        <f>VLOOKUP('TB MIS Sheet'!$E$17,$A$4:$I$6,7,0)</f>
        <v>0.96799999999999997</v>
      </c>
      <c r="H9" s="180">
        <f>VLOOKUP('TB MIS Sheet'!$E$17,$A$4:$I$6,8,0)</f>
        <v>0</v>
      </c>
      <c r="I9" s="193">
        <f>VLOOKUP('TB MIS Sheet'!$E$17,$A$4:$I$6,9,0)</f>
        <v>0</v>
      </c>
      <c r="J9" s="28"/>
    </row>
    <row r="10" spans="1:10" x14ac:dyDescent="0.2">
      <c r="A10" s="27"/>
      <c r="B10" s="27"/>
      <c r="C10" s="27"/>
      <c r="D10" s="27"/>
      <c r="E10" s="27"/>
      <c r="F10" s="27"/>
      <c r="G10" s="27"/>
      <c r="H10" s="27"/>
      <c r="I10" s="27"/>
      <c r="J10" s="27"/>
    </row>
    <row r="11" spans="1:10" x14ac:dyDescent="0.2">
      <c r="A11" s="27"/>
      <c r="B11" s="27"/>
      <c r="C11" s="27"/>
      <c r="D11" s="27"/>
      <c r="E11" s="27"/>
      <c r="F11" s="27"/>
      <c r="G11" s="27"/>
      <c r="H11" s="27"/>
      <c r="I11" s="27"/>
      <c r="J11" s="27"/>
    </row>
    <row r="12" spans="1:10" x14ac:dyDescent="0.2">
      <c r="A12" s="27"/>
      <c r="B12" s="27"/>
      <c r="C12" s="27"/>
      <c r="D12" s="27"/>
      <c r="E12" s="27"/>
      <c r="F12" s="27"/>
      <c r="G12" s="27"/>
      <c r="H12" s="27"/>
      <c r="I12" s="27"/>
      <c r="J12" s="27"/>
    </row>
    <row r="13" spans="1:10" x14ac:dyDescent="0.2">
      <c r="A13" s="191" t="s">
        <v>545</v>
      </c>
      <c r="B13" s="25" t="s">
        <v>43</v>
      </c>
      <c r="C13" s="25" t="s">
        <v>45</v>
      </c>
      <c r="D13" s="25" t="s">
        <v>174</v>
      </c>
      <c r="E13" s="25" t="s">
        <v>721</v>
      </c>
      <c r="F13" s="151" t="s">
        <v>527</v>
      </c>
      <c r="G13" s="151" t="s">
        <v>722</v>
      </c>
      <c r="H13" s="151" t="s">
        <v>723</v>
      </c>
      <c r="I13" s="268" t="s">
        <v>950</v>
      </c>
    </row>
    <row r="14" spans="1:10" x14ac:dyDescent="0.2">
      <c r="A14" s="34">
        <v>301</v>
      </c>
      <c r="B14" s="27">
        <v>100</v>
      </c>
      <c r="C14" s="27">
        <v>1.5</v>
      </c>
      <c r="D14" s="27">
        <v>0</v>
      </c>
      <c r="E14" s="77"/>
      <c r="F14" s="77"/>
      <c r="G14" s="77"/>
      <c r="H14" s="77"/>
      <c r="I14" s="269">
        <f>B14+TB_WALLT+TB_PIPEID-C14</f>
        <v>495.35</v>
      </c>
    </row>
    <row r="15" spans="1:10" x14ac:dyDescent="0.2">
      <c r="A15" s="34">
        <v>302</v>
      </c>
      <c r="B15" s="27">
        <v>100</v>
      </c>
      <c r="C15" s="27">
        <v>1.5</v>
      </c>
      <c r="D15" s="41">
        <v>15</v>
      </c>
      <c r="E15" s="77"/>
      <c r="F15" s="77"/>
      <c r="G15" s="77"/>
      <c r="H15" s="77"/>
      <c r="I15" s="269">
        <f>B15+TB_WALLT+TB_PIPEID+TB_WALLT+D15-C15</f>
        <v>519.90000000000009</v>
      </c>
    </row>
    <row r="16" spans="1:10" x14ac:dyDescent="0.2">
      <c r="A16" s="34">
        <v>401</v>
      </c>
      <c r="B16" s="27">
        <v>150</v>
      </c>
      <c r="C16" s="27">
        <v>1.5</v>
      </c>
      <c r="D16" s="27">
        <v>0</v>
      </c>
      <c r="E16" s="77"/>
      <c r="F16" s="77"/>
      <c r="G16" s="77"/>
      <c r="H16" s="77"/>
      <c r="I16" s="269">
        <f>B16+TB_WALLT+TB_PIPEID-C16</f>
        <v>545.35</v>
      </c>
    </row>
    <row r="17" spans="1:9" x14ac:dyDescent="0.2">
      <c r="A17" s="34">
        <v>402</v>
      </c>
      <c r="B17" s="27">
        <v>150</v>
      </c>
      <c r="C17" s="27">
        <v>1.5</v>
      </c>
      <c r="D17" s="41">
        <v>20</v>
      </c>
      <c r="E17" s="77"/>
      <c r="F17" s="77"/>
      <c r="G17" s="77"/>
      <c r="H17" s="77"/>
      <c r="I17" s="269">
        <f>B17+TB_WALLT+TB_PIPEID+TB_WALLT+D17-C17</f>
        <v>574.9</v>
      </c>
    </row>
    <row r="18" spans="1:9" x14ac:dyDescent="0.2">
      <c r="A18" s="34">
        <v>311</v>
      </c>
      <c r="B18" s="27">
        <v>120</v>
      </c>
      <c r="C18" s="27">
        <v>1.5</v>
      </c>
      <c r="D18" s="41">
        <v>0</v>
      </c>
      <c r="E18" s="77"/>
      <c r="F18" s="77"/>
      <c r="G18" s="77"/>
      <c r="H18" s="77"/>
      <c r="I18" s="269">
        <f>B18+TB_GT+TB_FS+TB_WALLT+TB_PIPEID-C18</f>
        <v>643.85</v>
      </c>
    </row>
    <row r="19" spans="1:9" x14ac:dyDescent="0.2">
      <c r="A19" s="34">
        <v>312</v>
      </c>
      <c r="B19" s="27">
        <v>120</v>
      </c>
      <c r="C19" s="27">
        <v>1.5</v>
      </c>
      <c r="D19" s="41">
        <v>20</v>
      </c>
      <c r="E19" s="77"/>
      <c r="F19" s="77"/>
      <c r="G19" s="77"/>
      <c r="H19" s="77"/>
      <c r="I19" s="269">
        <f>B19+TB_GT+TB_FS+TB_WALLT+TB_PIPEID+TB_WALLT+D19-C19</f>
        <v>673.4</v>
      </c>
    </row>
    <row r="20" spans="1:9" x14ac:dyDescent="0.2">
      <c r="A20" s="34">
        <v>411</v>
      </c>
      <c r="B20" s="27">
        <v>120</v>
      </c>
      <c r="C20" s="27">
        <v>1.5</v>
      </c>
      <c r="D20" s="41">
        <v>0</v>
      </c>
      <c r="E20" s="77"/>
      <c r="F20" s="77"/>
      <c r="G20" s="77"/>
      <c r="H20" s="77"/>
      <c r="I20" s="269">
        <f>B20+TB_GT+TB_FS+TB_WALLT+TB_PIPEID-C20</f>
        <v>643.85</v>
      </c>
    </row>
    <row r="21" spans="1:9" x14ac:dyDescent="0.2">
      <c r="A21" s="34">
        <v>412</v>
      </c>
      <c r="B21" s="27">
        <v>120</v>
      </c>
      <c r="C21" s="27">
        <v>1.5</v>
      </c>
      <c r="D21" s="41">
        <v>40</v>
      </c>
      <c r="E21" s="77"/>
      <c r="F21" s="77"/>
      <c r="G21" s="77"/>
      <c r="H21" s="77"/>
      <c r="I21" s="269">
        <f>B21+TB_GT+TB_FS+TB_WALLT+TB_PIPEID+TB_WALLT+D21-C21</f>
        <v>693.4</v>
      </c>
    </row>
    <row r="22" spans="1:9" x14ac:dyDescent="0.2">
      <c r="A22" s="34">
        <v>511</v>
      </c>
      <c r="B22" s="27">
        <v>120</v>
      </c>
      <c r="C22" s="27">
        <v>3</v>
      </c>
      <c r="D22" s="41">
        <v>0</v>
      </c>
      <c r="E22" s="77"/>
      <c r="F22" s="77"/>
      <c r="G22" s="77"/>
      <c r="H22" s="77"/>
      <c r="I22" s="269"/>
    </row>
    <row r="23" spans="1:9" x14ac:dyDescent="0.2">
      <c r="A23" s="34">
        <v>512</v>
      </c>
      <c r="B23" s="27">
        <v>120</v>
      </c>
      <c r="C23" s="27">
        <v>3</v>
      </c>
      <c r="D23" s="41">
        <v>60</v>
      </c>
      <c r="E23" s="77"/>
      <c r="F23" s="77"/>
      <c r="G23" s="77"/>
      <c r="H23" s="77"/>
      <c r="I23" s="269"/>
    </row>
    <row r="24" spans="1:9" x14ac:dyDescent="0.2">
      <c r="A24" s="34" t="s">
        <v>456</v>
      </c>
      <c r="B24" s="27">
        <v>340</v>
      </c>
      <c r="C24" s="27">
        <v>1.5</v>
      </c>
      <c r="D24" s="27">
        <v>0</v>
      </c>
      <c r="E24" s="77"/>
      <c r="F24" s="77"/>
      <c r="G24" s="77"/>
      <c r="H24" s="77"/>
      <c r="I24" s="269"/>
    </row>
    <row r="25" spans="1:9" x14ac:dyDescent="0.2">
      <c r="A25" s="34" t="s">
        <v>458</v>
      </c>
      <c r="B25" s="27">
        <v>340</v>
      </c>
      <c r="C25" s="27">
        <v>1.5</v>
      </c>
      <c r="D25" s="41">
        <v>20</v>
      </c>
      <c r="E25" s="77"/>
      <c r="F25" s="77"/>
      <c r="G25" s="77"/>
      <c r="H25" s="77"/>
      <c r="I25" s="269"/>
    </row>
    <row r="26" spans="1:9" x14ac:dyDescent="0.2">
      <c r="A26" s="34" t="s">
        <v>194</v>
      </c>
      <c r="B26" s="27">
        <v>280</v>
      </c>
      <c r="C26" s="27">
        <v>1.5</v>
      </c>
      <c r="D26" s="41">
        <v>0</v>
      </c>
      <c r="E26" s="77"/>
      <c r="F26" s="77"/>
      <c r="G26" s="77"/>
      <c r="H26" s="77"/>
      <c r="I26" s="269"/>
    </row>
    <row r="27" spans="1:9" x14ac:dyDescent="0.2">
      <c r="A27" s="34" t="s">
        <v>196</v>
      </c>
      <c r="B27" s="27">
        <v>280</v>
      </c>
      <c r="C27" s="27">
        <v>1.5</v>
      </c>
      <c r="D27" s="41">
        <v>40</v>
      </c>
      <c r="E27" s="77"/>
      <c r="F27" s="77"/>
      <c r="G27" s="77"/>
      <c r="H27" s="77"/>
      <c r="I27" s="269"/>
    </row>
    <row r="28" spans="1:9" x14ac:dyDescent="0.2">
      <c r="A28" s="34" t="s">
        <v>199</v>
      </c>
      <c r="B28" s="27">
        <v>280</v>
      </c>
      <c r="C28" s="27">
        <v>3</v>
      </c>
      <c r="D28" s="41">
        <v>0</v>
      </c>
      <c r="E28" s="77"/>
      <c r="F28" s="77"/>
      <c r="G28" s="77"/>
      <c r="H28" s="77"/>
      <c r="I28" s="269"/>
    </row>
    <row r="29" spans="1:9" x14ac:dyDescent="0.2">
      <c r="A29" s="34" t="s">
        <v>562</v>
      </c>
      <c r="B29" s="27">
        <v>280</v>
      </c>
      <c r="C29" s="27">
        <v>3</v>
      </c>
      <c r="D29" s="41">
        <v>60</v>
      </c>
      <c r="E29" s="77"/>
      <c r="F29" s="77"/>
      <c r="G29" s="77"/>
      <c r="H29" s="77"/>
      <c r="I29" s="269"/>
    </row>
    <row r="30" spans="1:9" x14ac:dyDescent="0.2">
      <c r="A30" s="34" t="s">
        <v>563</v>
      </c>
      <c r="B30" s="27">
        <v>190</v>
      </c>
      <c r="C30" s="27">
        <v>1.5</v>
      </c>
      <c r="D30" s="27">
        <v>0</v>
      </c>
      <c r="E30" s="27">
        <v>10</v>
      </c>
      <c r="F30" s="27">
        <f>(TB_PIPEID+250)/2</f>
        <v>318.64999999999998</v>
      </c>
      <c r="G30" s="27" t="s">
        <v>117</v>
      </c>
      <c r="H30" s="27" t="s">
        <v>117</v>
      </c>
      <c r="I30" s="269"/>
    </row>
    <row r="31" spans="1:9" x14ac:dyDescent="0.2">
      <c r="A31" s="34" t="s">
        <v>566</v>
      </c>
      <c r="B31" s="194">
        <v>100</v>
      </c>
      <c r="C31" s="27">
        <v>1.5</v>
      </c>
      <c r="D31" s="27">
        <v>0</v>
      </c>
      <c r="E31" s="27">
        <v>100</v>
      </c>
      <c r="F31" s="27" t="s">
        <v>117</v>
      </c>
      <c r="G31" s="27" t="e">
        <f>TB_PC+85</f>
        <v>#VALUE!</v>
      </c>
      <c r="H31" s="27" t="e">
        <f>IF('TB MIS Sheet'!$B$25="Yes",TB_PC-80.7,TB_PC-66.5)</f>
        <v>#VALUE!</v>
      </c>
      <c r="I31" s="269"/>
    </row>
    <row r="32" spans="1:9" x14ac:dyDescent="0.2">
      <c r="A32" s="34" t="s">
        <v>568</v>
      </c>
      <c r="B32" s="194">
        <v>288</v>
      </c>
      <c r="C32" s="27">
        <v>1.5</v>
      </c>
      <c r="D32" s="27">
        <v>0</v>
      </c>
      <c r="E32" s="27">
        <v>10</v>
      </c>
      <c r="F32" s="27">
        <f>(TB_PIPEID+405)/2</f>
        <v>396.15</v>
      </c>
      <c r="G32" s="27" t="s">
        <v>117</v>
      </c>
      <c r="H32" s="27" t="s">
        <v>117</v>
      </c>
      <c r="I32" s="269"/>
    </row>
    <row r="33" spans="1:13" x14ac:dyDescent="0.2">
      <c r="A33" s="34" t="s">
        <v>570</v>
      </c>
      <c r="B33" s="194">
        <v>288</v>
      </c>
      <c r="C33" s="27">
        <v>1.5</v>
      </c>
      <c r="D33" s="27">
        <v>20</v>
      </c>
      <c r="E33" s="27">
        <v>10</v>
      </c>
      <c r="F33" s="27">
        <f>(TB_PIPEID+405+TB_ES_LENGTH+TB_WALLT)/2</f>
        <v>430.92499999999995</v>
      </c>
      <c r="G33" s="27" t="s">
        <v>117</v>
      </c>
      <c r="H33" s="27" t="s">
        <v>117</v>
      </c>
      <c r="I33" s="269"/>
    </row>
    <row r="34" spans="1:13" x14ac:dyDescent="0.2">
      <c r="A34" s="34" t="s">
        <v>571</v>
      </c>
      <c r="B34" s="195">
        <v>100</v>
      </c>
      <c r="C34" s="27">
        <v>1.5</v>
      </c>
      <c r="D34" s="27">
        <v>0</v>
      </c>
      <c r="E34" s="27">
        <v>90</v>
      </c>
      <c r="F34" s="27" t="s">
        <v>117</v>
      </c>
      <c r="G34" s="27">
        <f>TB_PIPEID+TB_WALLT+TB_ISOVALVE+125</f>
        <v>521.85</v>
      </c>
      <c r="H34" s="27" t="e">
        <f>IF('TB MIS Sheet'!$B$25="Yes",TB_PC-80.7,TB_PC-66.5)</f>
        <v>#VALUE!</v>
      </c>
      <c r="I34" s="269"/>
    </row>
    <row r="35" spans="1:13" x14ac:dyDescent="0.2">
      <c r="A35" s="34" t="s">
        <v>574</v>
      </c>
      <c r="B35" s="195">
        <v>100</v>
      </c>
      <c r="C35" s="27">
        <v>1.5</v>
      </c>
      <c r="D35" s="194">
        <v>40</v>
      </c>
      <c r="E35" s="27">
        <v>90</v>
      </c>
      <c r="F35" s="27" t="s">
        <v>117</v>
      </c>
      <c r="G35" s="27">
        <f>TB_PIPEID+TB_WALLT+TB_ISOVALVE+TB_WALLT+TB_ES_LENGTH+125</f>
        <v>591.40000000000009</v>
      </c>
      <c r="H35" s="27" t="e">
        <f>IF('TB MIS Sheet'!$B$25="Yes",TB_PC-80.7,TB_PC-66.5)</f>
        <v>#VALUE!</v>
      </c>
      <c r="I35" s="269"/>
    </row>
    <row r="36" spans="1:13" x14ac:dyDescent="0.2">
      <c r="A36" s="34" t="s">
        <v>575</v>
      </c>
      <c r="B36" s="194">
        <v>100</v>
      </c>
      <c r="C36" s="27">
        <v>1.5</v>
      </c>
      <c r="D36" s="27">
        <v>0</v>
      </c>
      <c r="E36" s="27">
        <v>90</v>
      </c>
      <c r="F36" s="27" t="s">
        <v>117</v>
      </c>
      <c r="G36" s="27" t="e">
        <f>TB_PC+95</f>
        <v>#VALUE!</v>
      </c>
      <c r="H36" s="27" t="e">
        <f>IF('TB MIS Sheet'!$B$25="Yes",TB_PC-80.7,TB_PC-66.5)</f>
        <v>#VALUE!</v>
      </c>
      <c r="I36" s="269"/>
    </row>
    <row r="37" spans="1:13" x14ac:dyDescent="0.2">
      <c r="A37" s="34" t="s">
        <v>576</v>
      </c>
      <c r="B37" s="194">
        <v>100</v>
      </c>
      <c r="C37" s="27">
        <v>1.5</v>
      </c>
      <c r="D37" s="27">
        <v>40</v>
      </c>
      <c r="E37" s="27">
        <v>90</v>
      </c>
      <c r="F37" s="27" t="s">
        <v>117</v>
      </c>
      <c r="G37" s="27" t="e">
        <f>TB_PC+95</f>
        <v>#VALUE!</v>
      </c>
      <c r="H37" s="27" t="e">
        <f>IF('TB MIS Sheet'!$B$25="Yes",TB_PC-80.7,TB_PC-66.5)</f>
        <v>#VALUE!</v>
      </c>
      <c r="I37" s="269"/>
    </row>
    <row r="38" spans="1:13" x14ac:dyDescent="0.2">
      <c r="A38" s="34" t="s">
        <v>577</v>
      </c>
      <c r="B38" s="194">
        <v>80</v>
      </c>
      <c r="C38" s="27">
        <v>3</v>
      </c>
      <c r="D38" s="27">
        <v>0</v>
      </c>
      <c r="E38" s="27">
        <v>116</v>
      </c>
      <c r="F38" s="27" t="s">
        <v>117</v>
      </c>
      <c r="G38" s="27" t="e">
        <f>TB_PC+95</f>
        <v>#VALUE!</v>
      </c>
      <c r="H38" s="27" t="e">
        <f>IF('TB MIS Sheet'!$B$25="Yes",TB_PC-98.25,TB_PC-72.9)</f>
        <v>#VALUE!</v>
      </c>
      <c r="I38" s="269"/>
    </row>
    <row r="39" spans="1:13" x14ac:dyDescent="0.2">
      <c r="A39" s="34" t="s">
        <v>579</v>
      </c>
      <c r="B39" s="194">
        <v>80</v>
      </c>
      <c r="C39" s="27">
        <v>3</v>
      </c>
      <c r="D39" s="27">
        <v>60</v>
      </c>
      <c r="E39" s="27">
        <v>116</v>
      </c>
      <c r="F39" s="27" t="s">
        <v>117</v>
      </c>
      <c r="G39" s="27" t="e">
        <f>TB_PC+95</f>
        <v>#VALUE!</v>
      </c>
      <c r="H39" s="27" t="e">
        <f>IF('TB MIS Sheet'!$B$25="Yes",TB_PC-98.25,TB_PC-72.9)</f>
        <v>#VALUE!</v>
      </c>
      <c r="I39" s="269"/>
    </row>
    <row r="40" spans="1:13" x14ac:dyDescent="0.2">
      <c r="A40" s="34" t="s">
        <v>580</v>
      </c>
      <c r="B40" s="27">
        <v>587</v>
      </c>
      <c r="C40" s="27">
        <v>1.5</v>
      </c>
      <c r="D40" s="27">
        <v>0</v>
      </c>
      <c r="E40" s="27">
        <v>10</v>
      </c>
      <c r="F40" s="27">
        <f>(TB_PIPEID+405)/2</f>
        <v>396.15</v>
      </c>
      <c r="G40" s="27" t="s">
        <v>117</v>
      </c>
      <c r="H40" s="27" t="s">
        <v>117</v>
      </c>
      <c r="I40" s="269"/>
    </row>
    <row r="41" spans="1:13" x14ac:dyDescent="0.2">
      <c r="A41" s="34" t="s">
        <v>581</v>
      </c>
      <c r="B41" s="27">
        <v>587</v>
      </c>
      <c r="C41" s="27">
        <v>1.5</v>
      </c>
      <c r="D41" s="27">
        <v>20</v>
      </c>
      <c r="E41" s="27">
        <v>10</v>
      </c>
      <c r="F41" s="27">
        <f>(TB_PIPEID+405+TB_ES_LENGTH+TB_WALLT)/2</f>
        <v>430.92499999999995</v>
      </c>
      <c r="G41" s="27" t="s">
        <v>117</v>
      </c>
      <c r="H41" s="27" t="s">
        <v>117</v>
      </c>
      <c r="I41" s="269"/>
    </row>
    <row r="42" spans="1:13" x14ac:dyDescent="0.2">
      <c r="A42" s="34" t="s">
        <v>582</v>
      </c>
      <c r="B42" s="195">
        <v>255</v>
      </c>
      <c r="C42" s="27">
        <v>1.5</v>
      </c>
      <c r="D42" s="27">
        <v>0</v>
      </c>
      <c r="E42" s="27">
        <v>90</v>
      </c>
      <c r="F42" s="27" t="s">
        <v>117</v>
      </c>
      <c r="G42" s="27">
        <f>TB_PIPEID+TB_WALLT+TB_ISOVALVE+125</f>
        <v>521.85</v>
      </c>
      <c r="H42" s="27" t="e">
        <f>IF('TB MIS Sheet'!$B$25="Yes",TB_PC-80.7,TB_PC-66.5)</f>
        <v>#VALUE!</v>
      </c>
      <c r="I42" s="269"/>
    </row>
    <row r="43" spans="1:13" x14ac:dyDescent="0.2">
      <c r="A43" s="34" t="s">
        <v>583</v>
      </c>
      <c r="B43" s="195">
        <v>255</v>
      </c>
      <c r="C43" s="27">
        <v>1.5</v>
      </c>
      <c r="D43" s="194">
        <v>40</v>
      </c>
      <c r="E43" s="27">
        <v>90</v>
      </c>
      <c r="F43" s="27" t="s">
        <v>117</v>
      </c>
      <c r="G43" s="27">
        <f>TB_PIPEID+TB_WALLT+TB_ISOVALVE+TB_WALLT+TB_ES_LENGTH+125</f>
        <v>591.40000000000009</v>
      </c>
      <c r="H43" s="27" t="e">
        <f>IF('TB MIS Sheet'!$B$25="Yes",TB_PC-80.7,TB_PC-66.5)</f>
        <v>#VALUE!</v>
      </c>
      <c r="I43" s="269"/>
    </row>
    <row r="44" spans="1:13" x14ac:dyDescent="0.2">
      <c r="A44" s="34" t="s">
        <v>584</v>
      </c>
      <c r="B44" s="194">
        <v>255</v>
      </c>
      <c r="C44" s="27">
        <v>1.5</v>
      </c>
      <c r="D44" s="27">
        <v>0</v>
      </c>
      <c r="E44" s="27">
        <v>100</v>
      </c>
      <c r="F44" s="27" t="s">
        <v>117</v>
      </c>
      <c r="G44" s="27" t="e">
        <f>TB_PC+95</f>
        <v>#VALUE!</v>
      </c>
      <c r="H44" s="27" t="e">
        <f>IF('TB MIS Sheet'!$B$25="Yes",TB_PC-80.7,TB_PC-66.5)</f>
        <v>#VALUE!</v>
      </c>
      <c r="I44" s="269"/>
    </row>
    <row r="45" spans="1:13" x14ac:dyDescent="0.2">
      <c r="A45" s="34" t="s">
        <v>585</v>
      </c>
      <c r="B45" s="194">
        <v>255</v>
      </c>
      <c r="C45" s="27">
        <v>1.5</v>
      </c>
      <c r="D45" s="27">
        <v>40</v>
      </c>
      <c r="E45" s="27">
        <v>100</v>
      </c>
      <c r="F45" s="27" t="s">
        <v>117</v>
      </c>
      <c r="G45" s="27" t="e">
        <f>TB_PC+95</f>
        <v>#VALUE!</v>
      </c>
      <c r="H45" s="27" t="e">
        <f>IF('TB MIS Sheet'!$B$25="Yes",TB_PC-80.7,TB_PC-66.5)</f>
        <v>#VALUE!</v>
      </c>
      <c r="I45" s="269"/>
    </row>
    <row r="46" spans="1:13" x14ac:dyDescent="0.2">
      <c r="A46" s="34" t="s">
        <v>586</v>
      </c>
      <c r="B46" s="194">
        <v>255</v>
      </c>
      <c r="C46" s="27">
        <v>3</v>
      </c>
      <c r="D46" s="27">
        <v>0</v>
      </c>
      <c r="E46" s="27">
        <v>116</v>
      </c>
      <c r="F46" s="27" t="s">
        <v>117</v>
      </c>
      <c r="G46" s="27" t="e">
        <f>TB_PC+95</f>
        <v>#VALUE!</v>
      </c>
      <c r="H46" s="27" t="e">
        <f>IF('TB MIS Sheet'!$B$25="Yes",TB_PC-98.25,TB_PC-72.9)</f>
        <v>#VALUE!</v>
      </c>
      <c r="I46" s="269"/>
    </row>
    <row r="47" spans="1:13" x14ac:dyDescent="0.2">
      <c r="A47" s="192" t="s">
        <v>587</v>
      </c>
      <c r="B47" s="210">
        <v>255</v>
      </c>
      <c r="C47" s="180">
        <v>3</v>
      </c>
      <c r="D47" s="180">
        <v>60</v>
      </c>
      <c r="E47" s="180">
        <v>116</v>
      </c>
      <c r="F47" s="180" t="s">
        <v>117</v>
      </c>
      <c r="G47" s="180" t="e">
        <f>TB_PC+95</f>
        <v>#VALUE!</v>
      </c>
      <c r="H47" s="180" t="e">
        <f>IF('TB MIS Sheet'!$B$25="Yes",TB_PC-98.25,TB_PC-72.9)</f>
        <v>#VALUE!</v>
      </c>
      <c r="I47" s="270"/>
    </row>
    <row r="48" spans="1:13" x14ac:dyDescent="0.2">
      <c r="A48" s="27"/>
      <c r="B48" s="27"/>
      <c r="C48" s="27"/>
      <c r="D48" s="27"/>
      <c r="E48" s="27"/>
      <c r="F48" s="27"/>
      <c r="G48" s="27"/>
      <c r="H48" s="27"/>
      <c r="I48" s="27"/>
      <c r="J48" s="27"/>
      <c r="K48" s="27"/>
      <c r="L48" s="27"/>
      <c r="M48" s="27"/>
    </row>
    <row r="49" spans="1:13" x14ac:dyDescent="0.2">
      <c r="A49" s="191" t="s">
        <v>545</v>
      </c>
      <c r="B49" s="25" t="s">
        <v>175</v>
      </c>
      <c r="C49" s="25" t="s">
        <v>451</v>
      </c>
      <c r="D49" s="25" t="s">
        <v>174</v>
      </c>
      <c r="E49" s="25" t="s">
        <v>176</v>
      </c>
      <c r="F49" s="151" t="s">
        <v>724</v>
      </c>
      <c r="G49" s="152" t="s">
        <v>725</v>
      </c>
      <c r="H49" s="27"/>
      <c r="I49" s="27"/>
      <c r="J49" s="27"/>
      <c r="K49" s="27"/>
      <c r="L49" s="27"/>
      <c r="M49" s="27"/>
    </row>
    <row r="50" spans="1:13" x14ac:dyDescent="0.2">
      <c r="A50" s="34">
        <v>301</v>
      </c>
      <c r="B50" s="27" t="s">
        <v>74</v>
      </c>
      <c r="C50" s="208" t="s">
        <v>74</v>
      </c>
      <c r="D50" s="27" t="s">
        <v>74</v>
      </c>
      <c r="E50" s="27">
        <v>3</v>
      </c>
      <c r="F50" s="27">
        <v>75</v>
      </c>
      <c r="G50" s="156" t="s">
        <v>74</v>
      </c>
      <c r="H50" s="27"/>
      <c r="I50" s="27"/>
      <c r="J50" s="27"/>
      <c r="K50" s="27"/>
      <c r="L50" s="27"/>
      <c r="M50" s="27"/>
    </row>
    <row r="51" spans="1:13" x14ac:dyDescent="0.2">
      <c r="A51" s="34">
        <v>302</v>
      </c>
      <c r="B51" s="27" t="s">
        <v>74</v>
      </c>
      <c r="C51" s="208" t="s">
        <v>74</v>
      </c>
      <c r="D51" s="41" t="s">
        <v>183</v>
      </c>
      <c r="E51" s="27">
        <v>3</v>
      </c>
      <c r="F51" s="27">
        <v>75</v>
      </c>
      <c r="G51" s="156" t="s">
        <v>74</v>
      </c>
      <c r="H51" s="27"/>
      <c r="I51" s="27"/>
      <c r="J51" s="27"/>
      <c r="K51" s="27"/>
      <c r="L51" s="27"/>
      <c r="M51" s="27"/>
    </row>
    <row r="52" spans="1:13" x14ac:dyDescent="0.2">
      <c r="A52" s="34">
        <v>401</v>
      </c>
      <c r="B52" s="27" t="s">
        <v>74</v>
      </c>
      <c r="C52" s="208" t="s">
        <v>74</v>
      </c>
      <c r="D52" s="27" t="s">
        <v>74</v>
      </c>
      <c r="E52" s="27">
        <v>4</v>
      </c>
      <c r="F52" s="27">
        <v>75</v>
      </c>
      <c r="G52" s="156" t="s">
        <v>74</v>
      </c>
      <c r="H52" s="27"/>
      <c r="I52" s="27"/>
      <c r="J52" s="27"/>
      <c r="K52" s="27"/>
      <c r="L52" s="27"/>
      <c r="M52" s="27"/>
    </row>
    <row r="53" spans="1:13" x14ac:dyDescent="0.2">
      <c r="A53" s="34">
        <v>402</v>
      </c>
      <c r="B53" s="27" t="s">
        <v>74</v>
      </c>
      <c r="C53" s="208" t="s">
        <v>74</v>
      </c>
      <c r="D53" s="41" t="s">
        <v>183</v>
      </c>
      <c r="E53" s="27">
        <v>4</v>
      </c>
      <c r="F53" s="27">
        <v>75</v>
      </c>
      <c r="G53" s="156" t="s">
        <v>74</v>
      </c>
      <c r="H53" s="27"/>
      <c r="I53" s="27"/>
      <c r="J53" s="27"/>
      <c r="K53" s="27"/>
      <c r="L53" s="27"/>
      <c r="M53" s="27"/>
    </row>
    <row r="54" spans="1:13" x14ac:dyDescent="0.2">
      <c r="A54" s="34">
        <v>311</v>
      </c>
      <c r="B54" s="27" t="s">
        <v>74</v>
      </c>
      <c r="C54" s="208" t="s">
        <v>183</v>
      </c>
      <c r="D54" s="41" t="s">
        <v>74</v>
      </c>
      <c r="E54" s="27">
        <v>3</v>
      </c>
      <c r="F54" s="208" t="s">
        <v>71</v>
      </c>
      <c r="G54" s="156" t="s">
        <v>74</v>
      </c>
      <c r="H54" s="27"/>
      <c r="I54" s="27"/>
      <c r="J54" s="27"/>
      <c r="K54" s="27"/>
      <c r="L54" s="27"/>
      <c r="M54" s="27"/>
    </row>
    <row r="55" spans="1:13" x14ac:dyDescent="0.2">
      <c r="A55" s="34">
        <v>312</v>
      </c>
      <c r="B55" s="27" t="s">
        <v>74</v>
      </c>
      <c r="C55" s="208" t="s">
        <v>183</v>
      </c>
      <c r="D55" s="41" t="s">
        <v>183</v>
      </c>
      <c r="E55" s="27">
        <v>3</v>
      </c>
      <c r="F55" s="208" t="s">
        <v>71</v>
      </c>
      <c r="G55" s="156" t="s">
        <v>74</v>
      </c>
      <c r="H55" s="27"/>
      <c r="I55" s="27"/>
      <c r="J55" s="27"/>
      <c r="K55" s="27"/>
      <c r="L55" s="27"/>
      <c r="M55" s="27"/>
    </row>
    <row r="56" spans="1:13" x14ac:dyDescent="0.2">
      <c r="A56" s="34">
        <v>411</v>
      </c>
      <c r="B56" s="27" t="s">
        <v>74</v>
      </c>
      <c r="C56" s="208" t="s">
        <v>183</v>
      </c>
      <c r="D56" s="41" t="s">
        <v>74</v>
      </c>
      <c r="E56" s="27">
        <v>4</v>
      </c>
      <c r="F56" s="208" t="s">
        <v>71</v>
      </c>
      <c r="G56" s="156" t="s">
        <v>74</v>
      </c>
      <c r="H56" s="27"/>
      <c r="I56" s="27"/>
      <c r="J56" s="27"/>
      <c r="K56" s="27"/>
      <c r="L56" s="27"/>
      <c r="M56" s="27"/>
    </row>
    <row r="57" spans="1:13" x14ac:dyDescent="0.2">
      <c r="A57" s="34">
        <v>412</v>
      </c>
      <c r="B57" s="27" t="s">
        <v>74</v>
      </c>
      <c r="C57" s="208" t="s">
        <v>183</v>
      </c>
      <c r="D57" s="41" t="s">
        <v>183</v>
      </c>
      <c r="E57" s="27">
        <v>4</v>
      </c>
      <c r="F57" s="208" t="s">
        <v>71</v>
      </c>
      <c r="G57" s="156" t="s">
        <v>74</v>
      </c>
      <c r="H57" s="27"/>
      <c r="I57" s="27"/>
      <c r="J57" s="27"/>
      <c r="K57" s="27"/>
      <c r="L57" s="27"/>
      <c r="M57" s="27"/>
    </row>
    <row r="58" spans="1:13" x14ac:dyDescent="0.2">
      <c r="A58" s="34">
        <v>511</v>
      </c>
      <c r="B58" s="27" t="s">
        <v>74</v>
      </c>
      <c r="C58" s="208" t="s">
        <v>183</v>
      </c>
      <c r="D58" s="41" t="s">
        <v>74</v>
      </c>
      <c r="E58" s="27">
        <v>5</v>
      </c>
      <c r="F58" s="208" t="s">
        <v>71</v>
      </c>
      <c r="G58" s="156" t="s">
        <v>74</v>
      </c>
      <c r="H58" s="27"/>
      <c r="I58" s="27"/>
      <c r="J58" s="27"/>
      <c r="K58" s="27"/>
      <c r="L58" s="27"/>
      <c r="M58" s="27"/>
    </row>
    <row r="59" spans="1:13" x14ac:dyDescent="0.2">
      <c r="A59" s="34">
        <v>512</v>
      </c>
      <c r="B59" s="27" t="s">
        <v>74</v>
      </c>
      <c r="C59" s="208" t="s">
        <v>183</v>
      </c>
      <c r="D59" s="41" t="s">
        <v>183</v>
      </c>
      <c r="E59" s="27">
        <v>5</v>
      </c>
      <c r="F59" s="208" t="s">
        <v>71</v>
      </c>
      <c r="G59" s="156" t="s">
        <v>74</v>
      </c>
      <c r="H59" s="27"/>
      <c r="I59" s="27"/>
      <c r="J59" s="27"/>
      <c r="K59" s="27"/>
      <c r="L59" s="27"/>
      <c r="M59" s="27"/>
    </row>
    <row r="60" spans="1:13" x14ac:dyDescent="0.2">
      <c r="A60" s="34" t="s">
        <v>456</v>
      </c>
      <c r="B60" s="27" t="s">
        <v>183</v>
      </c>
      <c r="C60" s="208" t="s">
        <v>74</v>
      </c>
      <c r="D60" s="27" t="s">
        <v>74</v>
      </c>
      <c r="E60" s="27">
        <v>4</v>
      </c>
      <c r="F60" s="27">
        <v>75</v>
      </c>
      <c r="G60" s="156" t="s">
        <v>74</v>
      </c>
      <c r="H60" s="27"/>
      <c r="I60" s="27"/>
      <c r="J60" s="27"/>
      <c r="K60" s="27"/>
      <c r="L60" s="27"/>
      <c r="M60" s="27"/>
    </row>
    <row r="61" spans="1:13" x14ac:dyDescent="0.2">
      <c r="A61" s="34" t="s">
        <v>458</v>
      </c>
      <c r="B61" s="27" t="s">
        <v>183</v>
      </c>
      <c r="C61" s="208" t="s">
        <v>74</v>
      </c>
      <c r="D61" s="41" t="s">
        <v>183</v>
      </c>
      <c r="E61" s="27">
        <v>4</v>
      </c>
      <c r="F61" s="27">
        <v>75</v>
      </c>
      <c r="G61" s="156" t="s">
        <v>74</v>
      </c>
      <c r="H61" s="27"/>
      <c r="I61" s="27"/>
      <c r="J61" s="27"/>
      <c r="K61" s="27"/>
      <c r="L61" s="27"/>
      <c r="M61" s="27"/>
    </row>
    <row r="62" spans="1:13" x14ac:dyDescent="0.2">
      <c r="A62" s="34" t="s">
        <v>194</v>
      </c>
      <c r="B62" s="27" t="s">
        <v>183</v>
      </c>
      <c r="C62" s="208" t="s">
        <v>183</v>
      </c>
      <c r="D62" s="41" t="s">
        <v>74</v>
      </c>
      <c r="E62" s="27">
        <v>4</v>
      </c>
      <c r="F62" s="208" t="s">
        <v>71</v>
      </c>
      <c r="G62" s="156" t="s">
        <v>74</v>
      </c>
      <c r="H62" s="27"/>
      <c r="I62" s="27"/>
      <c r="J62" s="27"/>
      <c r="K62" s="27"/>
      <c r="L62" s="27"/>
      <c r="M62" s="27"/>
    </row>
    <row r="63" spans="1:13" x14ac:dyDescent="0.2">
      <c r="A63" s="34" t="s">
        <v>196</v>
      </c>
      <c r="B63" s="27" t="s">
        <v>183</v>
      </c>
      <c r="C63" s="208" t="s">
        <v>183</v>
      </c>
      <c r="D63" s="41" t="s">
        <v>183</v>
      </c>
      <c r="E63" s="27">
        <v>4</v>
      </c>
      <c r="F63" s="208" t="s">
        <v>71</v>
      </c>
      <c r="G63" s="156" t="s">
        <v>74</v>
      </c>
      <c r="H63" s="27"/>
      <c r="I63" s="27"/>
      <c r="J63" s="27"/>
      <c r="K63" s="27"/>
      <c r="L63" s="27"/>
      <c r="M63" s="27"/>
    </row>
    <row r="64" spans="1:13" x14ac:dyDescent="0.2">
      <c r="A64" s="34" t="s">
        <v>199</v>
      </c>
      <c r="B64" s="27" t="s">
        <v>183</v>
      </c>
      <c r="C64" s="208" t="s">
        <v>183</v>
      </c>
      <c r="D64" s="41" t="s">
        <v>74</v>
      </c>
      <c r="E64" s="27">
        <v>5</v>
      </c>
      <c r="F64" s="208" t="s">
        <v>71</v>
      </c>
      <c r="G64" s="156" t="s">
        <v>74</v>
      </c>
      <c r="H64" s="27"/>
      <c r="I64" s="27"/>
      <c r="J64" s="27"/>
      <c r="K64" s="27"/>
      <c r="L64" s="27"/>
      <c r="M64" s="27"/>
    </row>
    <row r="65" spans="1:13" x14ac:dyDescent="0.2">
      <c r="A65" s="34" t="s">
        <v>562</v>
      </c>
      <c r="B65" s="27" t="s">
        <v>183</v>
      </c>
      <c r="C65" s="208" t="s">
        <v>183</v>
      </c>
      <c r="D65" s="41" t="s">
        <v>183</v>
      </c>
      <c r="E65" s="27">
        <v>5</v>
      </c>
      <c r="F65" s="208" t="s">
        <v>71</v>
      </c>
      <c r="G65" s="156" t="s">
        <v>74</v>
      </c>
      <c r="H65" s="27"/>
      <c r="I65" s="27"/>
      <c r="J65" s="27"/>
      <c r="K65" s="27"/>
      <c r="L65" s="27"/>
      <c r="M65" s="27"/>
    </row>
    <row r="66" spans="1:13" x14ac:dyDescent="0.2">
      <c r="A66" s="34" t="s">
        <v>563</v>
      </c>
      <c r="B66" s="27" t="s">
        <v>74</v>
      </c>
      <c r="C66" s="27" t="s">
        <v>74</v>
      </c>
      <c r="D66" s="27" t="s">
        <v>74</v>
      </c>
      <c r="E66" s="27">
        <v>6</v>
      </c>
      <c r="F66" s="27">
        <v>15</v>
      </c>
      <c r="G66" s="156" t="s">
        <v>726</v>
      </c>
      <c r="H66" s="27"/>
      <c r="I66" s="27"/>
      <c r="J66" s="27"/>
      <c r="K66" s="27"/>
      <c r="L66" s="27"/>
      <c r="M66" s="27"/>
    </row>
    <row r="67" spans="1:13" x14ac:dyDescent="0.2">
      <c r="A67" s="34" t="s">
        <v>566</v>
      </c>
      <c r="B67" s="27" t="s">
        <v>74</v>
      </c>
      <c r="C67" s="27" t="s">
        <v>183</v>
      </c>
      <c r="D67" s="27" t="s">
        <v>74</v>
      </c>
      <c r="E67" s="27">
        <v>6</v>
      </c>
      <c r="F67" s="208" t="s">
        <v>71</v>
      </c>
      <c r="G67" s="156" t="s">
        <v>183</v>
      </c>
      <c r="H67" s="27"/>
      <c r="I67" s="27"/>
      <c r="J67" s="27"/>
      <c r="K67" s="27"/>
      <c r="L67" s="27"/>
      <c r="M67" s="27"/>
    </row>
    <row r="68" spans="1:13" x14ac:dyDescent="0.2">
      <c r="A68" s="34" t="s">
        <v>568</v>
      </c>
      <c r="B68" s="27" t="s">
        <v>74</v>
      </c>
      <c r="C68" s="27" t="s">
        <v>74</v>
      </c>
      <c r="D68" s="27" t="s">
        <v>74</v>
      </c>
      <c r="E68" s="27">
        <v>7</v>
      </c>
      <c r="F68" s="27">
        <v>15</v>
      </c>
      <c r="G68" s="156" t="s">
        <v>726</v>
      </c>
      <c r="H68" s="27"/>
      <c r="I68" s="27"/>
      <c r="J68" s="27"/>
      <c r="K68" s="27"/>
      <c r="L68" s="27"/>
      <c r="M68" s="27"/>
    </row>
    <row r="69" spans="1:13" x14ac:dyDescent="0.2">
      <c r="A69" s="34" t="s">
        <v>570</v>
      </c>
      <c r="B69" s="27" t="s">
        <v>74</v>
      </c>
      <c r="C69" s="27" t="s">
        <v>74</v>
      </c>
      <c r="D69" s="27" t="s">
        <v>183</v>
      </c>
      <c r="E69" s="27">
        <v>7</v>
      </c>
      <c r="F69" s="27">
        <v>15</v>
      </c>
      <c r="G69" s="156" t="s">
        <v>726</v>
      </c>
    </row>
    <row r="70" spans="1:13" x14ac:dyDescent="0.2">
      <c r="A70" s="34" t="s">
        <v>571</v>
      </c>
      <c r="B70" s="27" t="s">
        <v>74</v>
      </c>
      <c r="C70" s="27" t="s">
        <v>74</v>
      </c>
      <c r="D70" s="27" t="s">
        <v>74</v>
      </c>
      <c r="E70" s="27">
        <v>7</v>
      </c>
      <c r="F70" s="27">
        <v>60</v>
      </c>
      <c r="G70" s="156" t="s">
        <v>183</v>
      </c>
    </row>
    <row r="71" spans="1:13" x14ac:dyDescent="0.2">
      <c r="A71" s="34" t="s">
        <v>574</v>
      </c>
      <c r="B71" s="27" t="s">
        <v>74</v>
      </c>
      <c r="C71" s="27" t="s">
        <v>74</v>
      </c>
      <c r="D71" s="27" t="s">
        <v>183</v>
      </c>
      <c r="E71" s="27">
        <v>7</v>
      </c>
      <c r="F71" s="27">
        <v>60</v>
      </c>
      <c r="G71" s="196" t="s">
        <v>183</v>
      </c>
    </row>
    <row r="72" spans="1:13" x14ac:dyDescent="0.2">
      <c r="A72" s="34" t="s">
        <v>575</v>
      </c>
      <c r="B72" s="27" t="s">
        <v>74</v>
      </c>
      <c r="C72" s="27" t="s">
        <v>183</v>
      </c>
      <c r="D72" s="27" t="s">
        <v>74</v>
      </c>
      <c r="E72" s="27">
        <v>7</v>
      </c>
      <c r="F72" s="208" t="s">
        <v>71</v>
      </c>
      <c r="G72" s="156" t="s">
        <v>183</v>
      </c>
    </row>
    <row r="73" spans="1:13" x14ac:dyDescent="0.2">
      <c r="A73" s="34" t="s">
        <v>576</v>
      </c>
      <c r="B73" s="27" t="s">
        <v>74</v>
      </c>
      <c r="C73" s="27" t="s">
        <v>183</v>
      </c>
      <c r="D73" s="27" t="s">
        <v>183</v>
      </c>
      <c r="E73" s="27">
        <v>7</v>
      </c>
      <c r="F73" s="208" t="s">
        <v>71</v>
      </c>
      <c r="G73" s="156" t="s">
        <v>183</v>
      </c>
    </row>
    <row r="74" spans="1:13" x14ac:dyDescent="0.2">
      <c r="A74" s="34" t="s">
        <v>577</v>
      </c>
      <c r="B74" s="27" t="s">
        <v>74</v>
      </c>
      <c r="C74" s="27" t="s">
        <v>183</v>
      </c>
      <c r="D74" s="27" t="s">
        <v>74</v>
      </c>
      <c r="E74" s="27">
        <v>8</v>
      </c>
      <c r="F74" s="208" t="s">
        <v>71</v>
      </c>
      <c r="G74" s="156" t="s">
        <v>183</v>
      </c>
    </row>
    <row r="75" spans="1:13" x14ac:dyDescent="0.2">
      <c r="A75" s="34" t="s">
        <v>579</v>
      </c>
      <c r="B75" s="27" t="s">
        <v>74</v>
      </c>
      <c r="C75" s="27" t="s">
        <v>183</v>
      </c>
      <c r="D75" s="27" t="s">
        <v>183</v>
      </c>
      <c r="E75" s="27">
        <v>8</v>
      </c>
      <c r="F75" s="208" t="s">
        <v>71</v>
      </c>
      <c r="G75" s="156" t="s">
        <v>183</v>
      </c>
    </row>
    <row r="76" spans="1:13" x14ac:dyDescent="0.2">
      <c r="A76" s="34" t="s">
        <v>580</v>
      </c>
      <c r="B76" s="27" t="s">
        <v>183</v>
      </c>
      <c r="C76" s="27" t="s">
        <v>74</v>
      </c>
      <c r="D76" s="27" t="s">
        <v>74</v>
      </c>
      <c r="E76" s="27">
        <v>7</v>
      </c>
      <c r="F76" s="27">
        <v>15</v>
      </c>
      <c r="G76" s="156" t="s">
        <v>726</v>
      </c>
    </row>
    <row r="77" spans="1:13" x14ac:dyDescent="0.2">
      <c r="A77" s="34" t="s">
        <v>581</v>
      </c>
      <c r="B77" s="27" t="s">
        <v>183</v>
      </c>
      <c r="C77" s="27" t="s">
        <v>74</v>
      </c>
      <c r="D77" s="27" t="s">
        <v>183</v>
      </c>
      <c r="E77" s="27">
        <v>7</v>
      </c>
      <c r="F77" s="27">
        <v>15</v>
      </c>
      <c r="G77" s="156" t="s">
        <v>726</v>
      </c>
    </row>
    <row r="78" spans="1:13" x14ac:dyDescent="0.2">
      <c r="A78" s="34" t="s">
        <v>582</v>
      </c>
      <c r="B78" s="27" t="s">
        <v>183</v>
      </c>
      <c r="C78" s="27" t="s">
        <v>74</v>
      </c>
      <c r="D78" s="27" t="s">
        <v>74</v>
      </c>
      <c r="E78" s="27">
        <v>7</v>
      </c>
      <c r="F78" s="27">
        <v>60</v>
      </c>
      <c r="G78" s="156" t="s">
        <v>183</v>
      </c>
    </row>
    <row r="79" spans="1:13" x14ac:dyDescent="0.2">
      <c r="A79" s="34" t="s">
        <v>583</v>
      </c>
      <c r="B79" s="27" t="s">
        <v>183</v>
      </c>
      <c r="C79" s="27" t="s">
        <v>74</v>
      </c>
      <c r="D79" s="27" t="s">
        <v>183</v>
      </c>
      <c r="E79" s="27">
        <v>7</v>
      </c>
      <c r="F79" s="27">
        <v>60</v>
      </c>
      <c r="G79" s="156" t="s">
        <v>183</v>
      </c>
    </row>
    <row r="80" spans="1:13" x14ac:dyDescent="0.2">
      <c r="A80" s="34" t="s">
        <v>584</v>
      </c>
      <c r="B80" s="27" t="s">
        <v>183</v>
      </c>
      <c r="C80" s="27" t="s">
        <v>183</v>
      </c>
      <c r="D80" s="27" t="s">
        <v>74</v>
      </c>
      <c r="E80" s="27">
        <v>7</v>
      </c>
      <c r="F80" s="208" t="s">
        <v>71</v>
      </c>
      <c r="G80" s="156" t="s">
        <v>183</v>
      </c>
    </row>
    <row r="81" spans="1:7" x14ac:dyDescent="0.2">
      <c r="A81" s="34" t="s">
        <v>585</v>
      </c>
      <c r="B81" s="27" t="s">
        <v>183</v>
      </c>
      <c r="C81" s="27" t="s">
        <v>183</v>
      </c>
      <c r="D81" s="27" t="s">
        <v>183</v>
      </c>
      <c r="E81" s="27">
        <v>7</v>
      </c>
      <c r="F81" s="208" t="s">
        <v>71</v>
      </c>
      <c r="G81" s="156" t="s">
        <v>183</v>
      </c>
    </row>
    <row r="82" spans="1:7" x14ac:dyDescent="0.2">
      <c r="A82" s="34" t="s">
        <v>586</v>
      </c>
      <c r="B82" s="27" t="s">
        <v>183</v>
      </c>
      <c r="C82" s="27" t="s">
        <v>183</v>
      </c>
      <c r="D82" s="27" t="s">
        <v>74</v>
      </c>
      <c r="E82" s="27">
        <v>8</v>
      </c>
      <c r="F82" s="208" t="s">
        <v>71</v>
      </c>
      <c r="G82" s="156" t="s">
        <v>183</v>
      </c>
    </row>
    <row r="83" spans="1:7" x14ac:dyDescent="0.2">
      <c r="A83" s="192" t="s">
        <v>587</v>
      </c>
      <c r="B83" s="180" t="s">
        <v>183</v>
      </c>
      <c r="C83" s="180" t="s">
        <v>183</v>
      </c>
      <c r="D83" s="180" t="s">
        <v>183</v>
      </c>
      <c r="E83" s="180">
        <v>8</v>
      </c>
      <c r="F83" s="158" t="s">
        <v>71</v>
      </c>
      <c r="G83" s="159" t="s">
        <v>183</v>
      </c>
    </row>
    <row r="84" spans="1:7" x14ac:dyDescent="0.2">
      <c r="B84" s="211" t="str">
        <f>VLOOKUP('TB MIS Sheet'!$B$17,'TB Model Data'!$A$50:$G$83,2,0)</f>
        <v>N</v>
      </c>
      <c r="C84" s="211" t="str">
        <f>VLOOKUP('TB MIS Sheet'!$B$17,'TB Model Data'!$A$50:$G$83,3,0)</f>
        <v>Y</v>
      </c>
      <c r="D84" s="211" t="str">
        <f>VLOOKUP('TB MIS Sheet'!$B$17,'TB Model Data'!$A$50:$G$83,4,0)</f>
        <v>Y</v>
      </c>
      <c r="E84" s="211">
        <f>VLOOKUP('TB MIS Sheet'!$B$17,'TB Model Data'!$A$50:$G$83,5,0)</f>
        <v>5</v>
      </c>
      <c r="F84" s="211" t="str">
        <f>VLOOKUP('TB MIS Sheet'!$B$17,'TB Model Data'!$A$50:$G$83,6,0)</f>
        <v>F</v>
      </c>
      <c r="G84" s="211" t="str">
        <f>VLOOKUP('TB MIS Sheet'!$B$17,'TB Model Data'!$A$50:$G$83,7,0)</f>
        <v>N</v>
      </c>
    </row>
    <row r="88" spans="1:7" x14ac:dyDescent="0.2">
      <c r="A88" s="142" t="s">
        <v>868</v>
      </c>
      <c r="B88" s="75" t="s">
        <v>727</v>
      </c>
    </row>
    <row r="89" spans="1:7" ht="15" x14ac:dyDescent="0.25">
      <c r="A89" s="227" t="s">
        <v>728</v>
      </c>
      <c r="B89" s="75" t="s">
        <v>729</v>
      </c>
      <c r="E89"/>
      <c r="F89"/>
    </row>
    <row r="90" spans="1:7" ht="15" x14ac:dyDescent="0.25">
      <c r="A90" s="227" t="s">
        <v>730</v>
      </c>
      <c r="B90" s="75" t="s">
        <v>731</v>
      </c>
      <c r="E90"/>
      <c r="F90"/>
    </row>
    <row r="91" spans="1:7" ht="15" x14ac:dyDescent="0.25">
      <c r="A91" s="227" t="s">
        <v>494</v>
      </c>
      <c r="B91" s="75" t="s">
        <v>732</v>
      </c>
      <c r="E91"/>
      <c r="F91"/>
    </row>
    <row r="92" spans="1:7" ht="15" x14ac:dyDescent="0.25">
      <c r="A92" s="227" t="s">
        <v>733</v>
      </c>
      <c r="B92" s="75" t="s">
        <v>734</v>
      </c>
      <c r="E92"/>
      <c r="F92"/>
    </row>
    <row r="93" spans="1:7" ht="15" x14ac:dyDescent="0.25">
      <c r="A93" s="227" t="s">
        <v>462</v>
      </c>
      <c r="B93" s="75" t="s">
        <v>735</v>
      </c>
      <c r="E93"/>
      <c r="F93"/>
    </row>
    <row r="94" spans="1:7" ht="15" x14ac:dyDescent="0.25">
      <c r="A94" s="227" t="s">
        <v>181</v>
      </c>
      <c r="B94" s="75" t="s">
        <v>736</v>
      </c>
      <c r="E94"/>
      <c r="F94"/>
    </row>
    <row r="95" spans="1:7" ht="15" x14ac:dyDescent="0.25">
      <c r="A95" s="227" t="s">
        <v>737</v>
      </c>
      <c r="B95" s="75" t="s">
        <v>738</v>
      </c>
      <c r="E95"/>
      <c r="F95"/>
    </row>
    <row r="96" spans="1:7" ht="15" x14ac:dyDescent="0.25">
      <c r="A96" s="227" t="s">
        <v>249</v>
      </c>
      <c r="B96" s="75" t="s">
        <v>250</v>
      </c>
      <c r="E96"/>
      <c r="F96"/>
    </row>
    <row r="97" spans="1:6" ht="15" x14ac:dyDescent="0.25">
      <c r="A97" s="227" t="s">
        <v>739</v>
      </c>
      <c r="B97" s="75" t="s">
        <v>740</v>
      </c>
      <c r="E97"/>
      <c r="F97"/>
    </row>
    <row r="98" spans="1:6" ht="15" x14ac:dyDescent="0.25">
      <c r="A98" s="227" t="s">
        <v>741</v>
      </c>
      <c r="B98" s="75" t="s">
        <v>742</v>
      </c>
      <c r="E98"/>
      <c r="F98"/>
    </row>
    <row r="99" spans="1:6" ht="15" x14ac:dyDescent="0.25">
      <c r="A99" s="227" t="s">
        <v>463</v>
      </c>
      <c r="B99" s="75" t="s">
        <v>743</v>
      </c>
      <c r="E99"/>
      <c r="F99"/>
    </row>
    <row r="100" spans="1:6" ht="15" x14ac:dyDescent="0.25">
      <c r="A100" s="227" t="s">
        <v>245</v>
      </c>
      <c r="B100" s="75" t="s">
        <v>246</v>
      </c>
      <c r="E100"/>
      <c r="F100"/>
    </row>
    <row r="101" spans="1:6" ht="15" x14ac:dyDescent="0.25">
      <c r="A101" s="227" t="s">
        <v>1001</v>
      </c>
      <c r="B101" s="75" t="s">
        <v>1019</v>
      </c>
      <c r="E101"/>
      <c r="F101"/>
    </row>
    <row r="102" spans="1:6" ht="15" x14ac:dyDescent="0.25">
      <c r="A102" s="227" t="s">
        <v>251</v>
      </c>
      <c r="B102" s="75" t="s">
        <v>744</v>
      </c>
      <c r="E102"/>
      <c r="F102"/>
    </row>
    <row r="106" spans="1:6" x14ac:dyDescent="0.2">
      <c r="A106" s="281" t="s">
        <v>969</v>
      </c>
      <c r="B106" s="281" t="s">
        <v>968</v>
      </c>
      <c r="C106" s="281" t="s">
        <v>970</v>
      </c>
    </row>
    <row r="107" spans="1:6" x14ac:dyDescent="0.2">
      <c r="A107" s="284" t="s">
        <v>999</v>
      </c>
      <c r="B107" s="284"/>
      <c r="C107" s="281"/>
    </row>
    <row r="108" spans="1:6" ht="15" customHeight="1" x14ac:dyDescent="0.2">
      <c r="A108" s="282" t="s">
        <v>730</v>
      </c>
      <c r="B108" s="282" t="s">
        <v>971</v>
      </c>
      <c r="C108" s="283" t="s">
        <v>972</v>
      </c>
      <c r="D108" s="352" t="s">
        <v>997</v>
      </c>
    </row>
    <row r="109" spans="1:6" x14ac:dyDescent="0.2">
      <c r="A109" s="282" t="s">
        <v>1001</v>
      </c>
      <c r="B109" s="282" t="s">
        <v>973</v>
      </c>
      <c r="C109" s="283" t="s">
        <v>972</v>
      </c>
      <c r="D109" s="352"/>
    </row>
    <row r="110" spans="1:6" x14ac:dyDescent="0.2">
      <c r="A110" s="282" t="s">
        <v>245</v>
      </c>
      <c r="B110" s="282" t="s">
        <v>974</v>
      </c>
      <c r="C110" s="283" t="s">
        <v>972</v>
      </c>
      <c r="D110" s="352"/>
    </row>
    <row r="111" spans="1:6" x14ac:dyDescent="0.2">
      <c r="A111" s="282" t="s">
        <v>567</v>
      </c>
      <c r="B111" s="282" t="s">
        <v>975</v>
      </c>
      <c r="C111" s="283" t="s">
        <v>972</v>
      </c>
      <c r="D111" s="352"/>
    </row>
    <row r="112" spans="1:6" x14ac:dyDescent="0.2">
      <c r="A112" s="282" t="s">
        <v>728</v>
      </c>
      <c r="B112" s="282" t="s">
        <v>976</v>
      </c>
      <c r="C112" s="283" t="s">
        <v>972</v>
      </c>
      <c r="D112" s="352"/>
    </row>
    <row r="113" spans="1:4" x14ac:dyDescent="0.2">
      <c r="A113" s="282" t="s">
        <v>494</v>
      </c>
      <c r="B113" s="282" t="s">
        <v>977</v>
      </c>
      <c r="C113" s="283" t="s">
        <v>972</v>
      </c>
      <c r="D113" s="352"/>
    </row>
    <row r="114" spans="1:4" x14ac:dyDescent="0.2">
      <c r="A114" s="282" t="s">
        <v>741</v>
      </c>
      <c r="B114" s="282" t="s">
        <v>978</v>
      </c>
      <c r="C114" s="283" t="s">
        <v>972</v>
      </c>
      <c r="D114" s="352"/>
    </row>
    <row r="115" spans="1:4" x14ac:dyDescent="0.2">
      <c r="A115" s="282" t="s">
        <v>249</v>
      </c>
      <c r="B115" s="282" t="s">
        <v>979</v>
      </c>
      <c r="C115" s="283" t="s">
        <v>972</v>
      </c>
      <c r="D115" s="352"/>
    </row>
    <row r="116" spans="1:4" x14ac:dyDescent="0.2">
      <c r="A116" s="282" t="s">
        <v>737</v>
      </c>
      <c r="B116" s="282" t="s">
        <v>980</v>
      </c>
      <c r="C116" s="283" t="s">
        <v>972</v>
      </c>
      <c r="D116" s="352"/>
    </row>
    <row r="117" spans="1:4" x14ac:dyDescent="0.2">
      <c r="A117" s="282" t="s">
        <v>462</v>
      </c>
      <c r="B117" s="282" t="s">
        <v>981</v>
      </c>
      <c r="C117" s="283" t="s">
        <v>972</v>
      </c>
      <c r="D117" s="352"/>
    </row>
    <row r="118" spans="1:4" x14ac:dyDescent="0.2">
      <c r="A118" s="282" t="s">
        <v>463</v>
      </c>
      <c r="B118" s="282" t="s">
        <v>982</v>
      </c>
      <c r="C118" s="283" t="s">
        <v>972</v>
      </c>
      <c r="D118" s="352"/>
    </row>
    <row r="119" spans="1:4" x14ac:dyDescent="0.2">
      <c r="A119" s="282" t="s">
        <v>1000</v>
      </c>
      <c r="B119" s="282"/>
      <c r="C119" s="283"/>
      <c r="D119" s="34"/>
    </row>
    <row r="120" spans="1:4" x14ac:dyDescent="0.2">
      <c r="A120" s="282" t="s">
        <v>730</v>
      </c>
      <c r="B120" s="282" t="s">
        <v>983</v>
      </c>
      <c r="C120" s="283" t="s">
        <v>984</v>
      </c>
      <c r="D120" s="352" t="s">
        <v>998</v>
      </c>
    </row>
    <row r="121" spans="1:4" x14ac:dyDescent="0.2">
      <c r="A121" s="282" t="s">
        <v>1001</v>
      </c>
      <c r="B121" s="282" t="s">
        <v>985</v>
      </c>
      <c r="C121" s="283" t="s">
        <v>984</v>
      </c>
      <c r="D121" s="352"/>
    </row>
    <row r="122" spans="1:4" x14ac:dyDescent="0.2">
      <c r="A122" s="282" t="s">
        <v>245</v>
      </c>
      <c r="B122" s="282" t="s">
        <v>986</v>
      </c>
      <c r="C122" s="283" t="s">
        <v>984</v>
      </c>
      <c r="D122" s="352"/>
    </row>
    <row r="123" spans="1:4" x14ac:dyDescent="0.2">
      <c r="A123" s="282" t="s">
        <v>567</v>
      </c>
      <c r="B123" s="282" t="s">
        <v>987</v>
      </c>
      <c r="C123" s="283" t="s">
        <v>984</v>
      </c>
      <c r="D123" s="352"/>
    </row>
    <row r="124" spans="1:4" x14ac:dyDescent="0.2">
      <c r="A124" s="282" t="s">
        <v>728</v>
      </c>
      <c r="B124" s="282" t="s">
        <v>988</v>
      </c>
      <c r="C124" s="283" t="s">
        <v>984</v>
      </c>
      <c r="D124" s="352"/>
    </row>
    <row r="125" spans="1:4" x14ac:dyDescent="0.2">
      <c r="A125" s="282" t="s">
        <v>494</v>
      </c>
      <c r="B125" s="282" t="s">
        <v>989</v>
      </c>
      <c r="C125" s="283" t="s">
        <v>984</v>
      </c>
      <c r="D125" s="352"/>
    </row>
    <row r="126" spans="1:4" x14ac:dyDescent="0.2">
      <c r="A126" s="282" t="s">
        <v>741</v>
      </c>
      <c r="B126" s="282" t="s">
        <v>990</v>
      </c>
      <c r="C126" s="283" t="s">
        <v>984</v>
      </c>
      <c r="D126" s="352"/>
    </row>
    <row r="127" spans="1:4" x14ac:dyDescent="0.2">
      <c r="A127" s="282" t="s">
        <v>249</v>
      </c>
      <c r="B127" s="282" t="s">
        <v>991</v>
      </c>
      <c r="C127" s="283" t="s">
        <v>984</v>
      </c>
      <c r="D127" s="352"/>
    </row>
    <row r="128" spans="1:4" x14ac:dyDescent="0.2">
      <c r="A128" s="282" t="s">
        <v>737</v>
      </c>
      <c r="B128" s="282" t="s">
        <v>992</v>
      </c>
      <c r="C128" s="283" t="s">
        <v>984</v>
      </c>
      <c r="D128" s="352"/>
    </row>
    <row r="129" spans="1:4" x14ac:dyDescent="0.2">
      <c r="A129" s="282" t="s">
        <v>733</v>
      </c>
      <c r="B129" s="282" t="s">
        <v>993</v>
      </c>
      <c r="C129" s="283" t="s">
        <v>984</v>
      </c>
      <c r="D129" s="352"/>
    </row>
    <row r="130" spans="1:4" x14ac:dyDescent="0.2">
      <c r="A130" s="282" t="s">
        <v>739</v>
      </c>
      <c r="B130" s="282" t="s">
        <v>993</v>
      </c>
      <c r="C130" s="283" t="s">
        <v>984</v>
      </c>
      <c r="D130" s="352"/>
    </row>
    <row r="131" spans="1:4" x14ac:dyDescent="0.2">
      <c r="A131" s="282" t="s">
        <v>181</v>
      </c>
      <c r="B131" s="282" t="s">
        <v>994</v>
      </c>
      <c r="C131" s="283" t="s">
        <v>984</v>
      </c>
      <c r="D131" s="352"/>
    </row>
    <row r="132" spans="1:4" x14ac:dyDescent="0.2">
      <c r="A132" s="282" t="s">
        <v>462</v>
      </c>
      <c r="B132" s="282" t="s">
        <v>995</v>
      </c>
      <c r="C132" s="283" t="s">
        <v>984</v>
      </c>
      <c r="D132" s="352"/>
    </row>
    <row r="133" spans="1:4" x14ac:dyDescent="0.2">
      <c r="A133" s="282" t="s">
        <v>463</v>
      </c>
      <c r="B133" s="282" t="s">
        <v>996</v>
      </c>
      <c r="C133" s="283" t="s">
        <v>984</v>
      </c>
      <c r="D133" s="352"/>
    </row>
  </sheetData>
  <mergeCells count="2">
    <mergeCell ref="D108:D118"/>
    <mergeCell ref="D120:D133"/>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B4" sqref="B4"/>
    </sheetView>
  </sheetViews>
  <sheetFormatPr defaultColWidth="9.140625" defaultRowHeight="12.75" x14ac:dyDescent="0.2"/>
  <cols>
    <col min="1" max="1" width="15.85546875" style="75" bestFit="1" customWidth="1"/>
    <col min="2" max="2" width="27.7109375" style="75" bestFit="1" customWidth="1"/>
    <col min="3" max="3" width="28.28515625" style="75" bestFit="1" customWidth="1"/>
    <col min="4" max="5" width="9.140625" style="75"/>
    <col min="6" max="6" width="10.42578125" style="75" bestFit="1" customWidth="1"/>
    <col min="7" max="16384" width="9.140625" style="75"/>
  </cols>
  <sheetData>
    <row r="1" spans="1:13" ht="15" x14ac:dyDescent="0.25">
      <c r="A1" s="246" t="s">
        <v>894</v>
      </c>
    </row>
    <row r="2" spans="1:13" x14ac:dyDescent="0.2">
      <c r="A2" s="77"/>
      <c r="B2" s="77"/>
      <c r="C2" s="77"/>
    </row>
    <row r="3" spans="1:13" x14ac:dyDescent="0.2">
      <c r="A3" s="27" t="s">
        <v>545</v>
      </c>
      <c r="B3" s="247" t="s">
        <v>1021</v>
      </c>
      <c r="C3" s="27"/>
      <c r="D3" s="104" t="s">
        <v>46</v>
      </c>
    </row>
    <row r="4" spans="1:13" x14ac:dyDescent="0.2">
      <c r="A4" s="27">
        <v>121</v>
      </c>
      <c r="B4" s="222" t="s">
        <v>547</v>
      </c>
      <c r="C4" s="27"/>
      <c r="D4" s="104" t="s">
        <v>117</v>
      </c>
    </row>
    <row r="5" spans="1:13" x14ac:dyDescent="0.2">
      <c r="A5" s="27">
        <v>122</v>
      </c>
      <c r="B5" s="222" t="s">
        <v>551</v>
      </c>
      <c r="C5" s="27"/>
      <c r="D5" s="104" t="s">
        <v>117</v>
      </c>
    </row>
    <row r="6" spans="1:13" x14ac:dyDescent="0.2">
      <c r="A6" s="27">
        <v>123</v>
      </c>
      <c r="B6" s="222" t="s">
        <v>553</v>
      </c>
      <c r="C6" s="27"/>
      <c r="D6" s="212" t="s">
        <v>620</v>
      </c>
    </row>
    <row r="7" spans="1:13" x14ac:dyDescent="0.2">
      <c r="A7" s="27"/>
      <c r="B7" s="27"/>
      <c r="C7" s="27"/>
    </row>
    <row r="8" spans="1:13" x14ac:dyDescent="0.2">
      <c r="A8" s="77"/>
      <c r="B8" s="77"/>
      <c r="C8" s="77"/>
      <c r="J8" s="77"/>
    </row>
    <row r="9" spans="1:13" ht="15" x14ac:dyDescent="0.25">
      <c r="A9" s="102" t="s">
        <v>745</v>
      </c>
      <c r="B9" s="249" t="s">
        <v>889</v>
      </c>
      <c r="C9" s="102"/>
      <c r="D9" s="27" t="s">
        <v>746</v>
      </c>
      <c r="E9" s="27" t="s">
        <v>747</v>
      </c>
      <c r="F9" s="27" t="s">
        <v>748</v>
      </c>
      <c r="G9" s="27" t="s">
        <v>749</v>
      </c>
      <c r="H9" s="27" t="s">
        <v>183</v>
      </c>
      <c r="I9" s="27" t="s">
        <v>74</v>
      </c>
      <c r="J9" s="27" t="s">
        <v>750</v>
      </c>
      <c r="K9" s="41" t="s">
        <v>751</v>
      </c>
      <c r="L9" s="41" t="s">
        <v>752</v>
      </c>
      <c r="M9" s="41" t="s">
        <v>753</v>
      </c>
    </row>
    <row r="10" spans="1:13" x14ac:dyDescent="0.2">
      <c r="A10" s="27" t="s">
        <v>754</v>
      </c>
      <c r="B10" s="233" t="s">
        <v>468</v>
      </c>
      <c r="C10" s="27"/>
      <c r="D10" s="27">
        <f>IF(TB_MIS_ModelType_100=$A$6,400,200)</f>
        <v>200</v>
      </c>
      <c r="E10" s="27">
        <f t="shared" ref="E10:E15" si="0">IF(TB_MIS_ConnType_100="Standard",((D10-200)/2)+125,((D10)/2)+17.5)</f>
        <v>125</v>
      </c>
      <c r="F10" s="27">
        <f t="shared" ref="F10:F15" si="1">IF(TB_MIS_ConnType_100="Standard",100,35)</f>
        <v>100</v>
      </c>
      <c r="G10" s="27">
        <v>21.34</v>
      </c>
      <c r="H10" s="27" t="s">
        <v>755</v>
      </c>
      <c r="I10" s="27">
        <v>2</v>
      </c>
      <c r="J10" s="27" t="s">
        <v>756</v>
      </c>
      <c r="K10" s="27">
        <f t="shared" ref="K10:K15" si="2">F74</f>
        <v>28.57</v>
      </c>
      <c r="L10" s="75">
        <f t="shared" ref="L10:L15" si="3">D10-(E10+11)-K10</f>
        <v>35.43</v>
      </c>
      <c r="M10" s="75">
        <f t="shared" ref="M10:M15" si="4">E10-(F10+11)-K10</f>
        <v>-14.57</v>
      </c>
    </row>
    <row r="11" spans="1:13" x14ac:dyDescent="0.2">
      <c r="A11" s="27" t="s">
        <v>757</v>
      </c>
      <c r="B11" s="234" t="s">
        <v>890</v>
      </c>
      <c r="C11" s="27"/>
      <c r="D11" s="27">
        <f>IF(TB_MIS_ModelType_100=$A$6,400,200)</f>
        <v>200</v>
      </c>
      <c r="E11" s="27">
        <f t="shared" si="0"/>
        <v>125</v>
      </c>
      <c r="F11" s="27">
        <f t="shared" si="1"/>
        <v>100</v>
      </c>
      <c r="G11" s="27">
        <v>26.67</v>
      </c>
      <c r="H11" s="27" t="s">
        <v>755</v>
      </c>
      <c r="I11" s="27">
        <v>4</v>
      </c>
      <c r="J11" s="27" t="s">
        <v>756</v>
      </c>
      <c r="K11" s="27">
        <f t="shared" si="2"/>
        <v>31.75</v>
      </c>
      <c r="L11" s="75">
        <f t="shared" si="3"/>
        <v>32.25</v>
      </c>
      <c r="M11" s="75">
        <f t="shared" si="4"/>
        <v>-17.75</v>
      </c>
    </row>
    <row r="12" spans="1:13" x14ac:dyDescent="0.2">
      <c r="A12" s="27" t="s">
        <v>758</v>
      </c>
      <c r="B12" s="234" t="s">
        <v>470</v>
      </c>
      <c r="C12" s="27"/>
      <c r="D12" s="27">
        <f>IF(TB_MIS_ModelType_100=$A$6,425,225)</f>
        <v>225</v>
      </c>
      <c r="E12" s="27">
        <f t="shared" si="0"/>
        <v>137.5</v>
      </c>
      <c r="F12" s="27">
        <f t="shared" si="1"/>
        <v>100</v>
      </c>
      <c r="G12" s="27">
        <v>33.4</v>
      </c>
      <c r="H12" s="27" t="s">
        <v>755</v>
      </c>
      <c r="I12" s="27">
        <v>4</v>
      </c>
      <c r="J12" s="27" t="s">
        <v>756</v>
      </c>
      <c r="K12" s="27">
        <f t="shared" si="2"/>
        <v>34.92</v>
      </c>
      <c r="L12" s="75">
        <f t="shared" si="3"/>
        <v>41.58</v>
      </c>
      <c r="M12" s="75">
        <f t="shared" si="4"/>
        <v>-8.4200000000000017</v>
      </c>
    </row>
    <row r="13" spans="1:13" x14ac:dyDescent="0.2">
      <c r="A13" s="27" t="s">
        <v>531</v>
      </c>
      <c r="B13" s="233" t="s">
        <v>891</v>
      </c>
      <c r="C13" s="27"/>
      <c r="D13" s="27">
        <f>IF(TB_MIS_ModelType_100=$A$6,450,250)</f>
        <v>250</v>
      </c>
      <c r="E13" s="27">
        <f t="shared" si="0"/>
        <v>150</v>
      </c>
      <c r="F13" s="41">
        <f t="shared" si="1"/>
        <v>100</v>
      </c>
      <c r="G13" s="41">
        <v>42.16</v>
      </c>
      <c r="H13" s="41" t="s">
        <v>755</v>
      </c>
      <c r="I13" s="41">
        <v>4</v>
      </c>
      <c r="J13" s="41" t="s">
        <v>756</v>
      </c>
      <c r="K13" s="27">
        <f t="shared" si="2"/>
        <v>38.1</v>
      </c>
      <c r="L13" s="75">
        <f t="shared" si="3"/>
        <v>50.9</v>
      </c>
      <c r="M13" s="75">
        <f t="shared" si="4"/>
        <v>0.89999999999999858</v>
      </c>
    </row>
    <row r="14" spans="1:13" x14ac:dyDescent="0.2">
      <c r="A14" s="27" t="s">
        <v>759</v>
      </c>
      <c r="B14" s="233" t="s">
        <v>214</v>
      </c>
      <c r="C14" s="27"/>
      <c r="D14" s="27">
        <f>IF(TB_MIS_ModelType_100=$A$6,500,300)</f>
        <v>300</v>
      </c>
      <c r="E14" s="27">
        <f t="shared" si="0"/>
        <v>175</v>
      </c>
      <c r="F14" s="27">
        <f t="shared" si="1"/>
        <v>100</v>
      </c>
      <c r="G14" s="27">
        <v>48.26</v>
      </c>
      <c r="H14" s="27" t="s">
        <v>760</v>
      </c>
      <c r="I14" s="27">
        <v>4</v>
      </c>
      <c r="J14" s="27" t="s">
        <v>756</v>
      </c>
      <c r="K14" s="27">
        <f t="shared" si="2"/>
        <v>44.45</v>
      </c>
      <c r="L14" s="75">
        <f t="shared" si="3"/>
        <v>69.55</v>
      </c>
      <c r="M14" s="75">
        <f t="shared" si="4"/>
        <v>19.549999999999997</v>
      </c>
    </row>
    <row r="15" spans="1:13" x14ac:dyDescent="0.2">
      <c r="A15" s="27" t="s">
        <v>761</v>
      </c>
      <c r="B15" s="233" t="s">
        <v>219</v>
      </c>
      <c r="C15" s="27"/>
      <c r="D15" s="27">
        <f>IF(TB_MIS_ModelType_100=$A$6,600,400)</f>
        <v>400</v>
      </c>
      <c r="E15" s="27">
        <f t="shared" si="0"/>
        <v>225</v>
      </c>
      <c r="F15" s="27">
        <f t="shared" si="1"/>
        <v>100</v>
      </c>
      <c r="G15" s="27">
        <v>60.33</v>
      </c>
      <c r="H15" s="27" t="s">
        <v>760</v>
      </c>
      <c r="I15" s="27">
        <v>4</v>
      </c>
      <c r="J15" s="27" t="s">
        <v>756</v>
      </c>
      <c r="K15" s="27">
        <f t="shared" si="2"/>
        <v>0</v>
      </c>
      <c r="L15" s="75">
        <f t="shared" si="3"/>
        <v>164</v>
      </c>
      <c r="M15" s="75">
        <f t="shared" si="4"/>
        <v>114</v>
      </c>
    </row>
    <row r="16" spans="1:13" x14ac:dyDescent="0.2">
      <c r="A16" s="27"/>
      <c r="B16" s="27"/>
      <c r="C16" s="27"/>
      <c r="D16" s="27"/>
      <c r="E16" s="27"/>
      <c r="F16" s="27"/>
      <c r="G16" s="27"/>
      <c r="H16" s="27"/>
      <c r="I16" s="27"/>
    </row>
    <row r="17" spans="1:12" x14ac:dyDescent="0.2">
      <c r="A17" s="77"/>
      <c r="B17" s="77"/>
      <c r="C17" s="77"/>
    </row>
    <row r="18" spans="1:12" ht="15" x14ac:dyDescent="0.25">
      <c r="A18" s="197" t="s">
        <v>532</v>
      </c>
      <c r="B18"/>
      <c r="C18" s="197"/>
    </row>
    <row r="19" spans="1:12" x14ac:dyDescent="0.2">
      <c r="A19" s="39" t="s">
        <v>533</v>
      </c>
      <c r="B19" s="255" t="s">
        <v>904</v>
      </c>
      <c r="C19" s="39"/>
    </row>
    <row r="20" spans="1:12" ht="15" x14ac:dyDescent="0.25">
      <c r="A20" s="39" t="s">
        <v>762</v>
      </c>
      <c r="B20"/>
      <c r="C20" s="39"/>
    </row>
    <row r="21" spans="1:12" x14ac:dyDescent="0.2">
      <c r="A21" s="39"/>
      <c r="B21" s="39"/>
      <c r="C21" s="39"/>
    </row>
    <row r="22" spans="1:12" x14ac:dyDescent="0.2">
      <c r="A22" s="77"/>
      <c r="B22" s="77"/>
      <c r="C22" s="77"/>
      <c r="J22" s="27"/>
    </row>
    <row r="23" spans="1:12" x14ac:dyDescent="0.2">
      <c r="A23" s="208"/>
      <c r="B23" s="221"/>
      <c r="C23" s="221"/>
      <c r="D23" s="104" t="s">
        <v>22</v>
      </c>
      <c r="E23" s="104" t="s">
        <v>763</v>
      </c>
      <c r="F23" s="104" t="s">
        <v>764</v>
      </c>
      <c r="G23" s="104" t="s">
        <v>765</v>
      </c>
      <c r="H23" s="27" t="s">
        <v>747</v>
      </c>
      <c r="I23" s="27" t="s">
        <v>748</v>
      </c>
      <c r="J23" s="104" t="s">
        <v>766</v>
      </c>
      <c r="K23" s="104" t="s">
        <v>767</v>
      </c>
      <c r="L23" s="104" t="s">
        <v>768</v>
      </c>
    </row>
    <row r="24" spans="1:12" x14ac:dyDescent="0.2">
      <c r="A24" s="208" t="s">
        <v>769</v>
      </c>
      <c r="B24" s="221"/>
      <c r="C24" s="221"/>
      <c r="D24" s="27" t="s">
        <v>754</v>
      </c>
      <c r="E24" s="104" t="s">
        <v>770</v>
      </c>
      <c r="F24" s="27">
        <v>11.11</v>
      </c>
      <c r="G24" s="27">
        <v>200</v>
      </c>
      <c r="H24" s="27">
        <f>IF(TB_MIS_ConnType_100="Standard",(G24/2)+50,117.5)</f>
        <v>150</v>
      </c>
      <c r="I24" s="27">
        <f t="shared" ref="I24:I48" si="5">IF(TB_MIS_ConnType_100="Standard",100,35)</f>
        <v>100</v>
      </c>
      <c r="J24" s="75">
        <f t="shared" ref="J24:J48" si="6">G24-(H24+11)-F24</f>
        <v>27.89</v>
      </c>
      <c r="K24" s="75">
        <f t="shared" ref="K24:K48" si="7">H24-(I24+11)-F24</f>
        <v>27.89</v>
      </c>
      <c r="L24" s="198">
        <f>H24/13.87</f>
        <v>10.814708002883922</v>
      </c>
    </row>
    <row r="25" spans="1:12" x14ac:dyDescent="0.2">
      <c r="A25" s="208" t="s">
        <v>771</v>
      </c>
      <c r="B25" s="221"/>
      <c r="C25" s="221"/>
      <c r="D25" s="27" t="s">
        <v>757</v>
      </c>
      <c r="E25" s="104" t="s">
        <v>770</v>
      </c>
      <c r="F25" s="27">
        <v>12.7</v>
      </c>
      <c r="G25" s="27">
        <v>200</v>
      </c>
      <c r="H25" s="27">
        <f>IF(TB_MIS_ConnType_100="Standard",150,117.5)</f>
        <v>150</v>
      </c>
      <c r="I25" s="27">
        <f t="shared" si="5"/>
        <v>100</v>
      </c>
      <c r="J25" s="75">
        <f t="shared" si="6"/>
        <v>26.3</v>
      </c>
      <c r="K25" s="75">
        <f t="shared" si="7"/>
        <v>26.3</v>
      </c>
      <c r="L25" s="198">
        <f>H25/18.85</f>
        <v>7.957559681697612</v>
      </c>
    </row>
    <row r="26" spans="1:12" x14ac:dyDescent="0.2">
      <c r="A26" s="208" t="s">
        <v>591</v>
      </c>
      <c r="B26" s="221"/>
      <c r="C26" s="221"/>
      <c r="D26" s="27" t="s">
        <v>758</v>
      </c>
      <c r="E26" s="104" t="s">
        <v>770</v>
      </c>
      <c r="F26" s="27">
        <v>14.29</v>
      </c>
      <c r="G26" s="27">
        <v>225</v>
      </c>
      <c r="H26" s="27">
        <f>IF(TB_MIS_ConnType_100="Standard",175,130)</f>
        <v>175</v>
      </c>
      <c r="I26" s="27">
        <f t="shared" si="5"/>
        <v>100</v>
      </c>
      <c r="J26" s="75">
        <f t="shared" si="6"/>
        <v>24.71</v>
      </c>
      <c r="K26" s="75">
        <f t="shared" si="7"/>
        <v>49.71</v>
      </c>
      <c r="L26" s="198">
        <f>H26/24.31</f>
        <v>7.1986836692719045</v>
      </c>
    </row>
    <row r="27" spans="1:12" x14ac:dyDescent="0.2">
      <c r="A27" s="208" t="s">
        <v>216</v>
      </c>
      <c r="B27" s="221"/>
      <c r="C27" s="221"/>
      <c r="D27" s="27" t="s">
        <v>759</v>
      </c>
      <c r="E27" s="104" t="s">
        <v>770</v>
      </c>
      <c r="F27" s="27">
        <v>17.46</v>
      </c>
      <c r="G27" s="27">
        <v>300</v>
      </c>
      <c r="H27" s="27">
        <f>IF(TB_MIS_ConnType_100="Standard",250,167.5)</f>
        <v>250</v>
      </c>
      <c r="I27" s="27">
        <f t="shared" si="5"/>
        <v>100</v>
      </c>
      <c r="J27" s="75">
        <f t="shared" si="6"/>
        <v>21.54</v>
      </c>
      <c r="K27" s="75">
        <f t="shared" si="7"/>
        <v>121.53999999999999</v>
      </c>
      <c r="L27" s="198">
        <f>H27/38.1</f>
        <v>6.5616797900262469</v>
      </c>
    </row>
    <row r="28" spans="1:12" x14ac:dyDescent="0.2">
      <c r="A28" s="208" t="s">
        <v>220</v>
      </c>
      <c r="B28" s="221"/>
      <c r="C28" s="221"/>
      <c r="D28" s="27" t="s">
        <v>761</v>
      </c>
      <c r="E28" s="104" t="s">
        <v>770</v>
      </c>
      <c r="F28" s="27">
        <v>19.05</v>
      </c>
      <c r="G28" s="27">
        <v>400</v>
      </c>
      <c r="H28" s="27">
        <f>IF(TB_MIS_ConnType_100="Standard",350,217.5)</f>
        <v>350</v>
      </c>
      <c r="I28" s="27">
        <f t="shared" si="5"/>
        <v>100</v>
      </c>
      <c r="J28" s="75">
        <f t="shared" si="6"/>
        <v>19.95</v>
      </c>
      <c r="K28" s="75">
        <f t="shared" si="7"/>
        <v>219.95</v>
      </c>
      <c r="L28" s="198">
        <f>H28/49.25</f>
        <v>7.1065989847715736</v>
      </c>
    </row>
    <row r="29" spans="1:12" x14ac:dyDescent="0.2">
      <c r="A29" s="208" t="s">
        <v>772</v>
      </c>
      <c r="B29" s="221"/>
      <c r="C29" s="221"/>
      <c r="D29" s="27" t="s">
        <v>754</v>
      </c>
      <c r="E29" s="104" t="s">
        <v>773</v>
      </c>
      <c r="F29" s="27">
        <v>18.260000000000002</v>
      </c>
      <c r="G29" s="27">
        <v>200</v>
      </c>
      <c r="H29" s="27">
        <f>IF(TB_MIS_ConnType_100="Standard",150,117.5)</f>
        <v>150</v>
      </c>
      <c r="I29" s="27">
        <f t="shared" si="5"/>
        <v>100</v>
      </c>
      <c r="J29" s="75">
        <f t="shared" si="6"/>
        <v>20.74</v>
      </c>
      <c r="K29" s="75">
        <f t="shared" si="7"/>
        <v>20.74</v>
      </c>
      <c r="L29" s="198">
        <f>H29/13.87</f>
        <v>10.814708002883922</v>
      </c>
    </row>
    <row r="30" spans="1:12" x14ac:dyDescent="0.2">
      <c r="A30" s="208" t="s">
        <v>774</v>
      </c>
      <c r="B30" s="221"/>
      <c r="C30" s="221"/>
      <c r="D30" s="27" t="s">
        <v>757</v>
      </c>
      <c r="E30" s="104" t="s">
        <v>773</v>
      </c>
      <c r="F30" s="27">
        <v>16.079999999999998</v>
      </c>
      <c r="G30" s="27">
        <v>200</v>
      </c>
      <c r="H30" s="27">
        <f>IF(TB_MIS_ConnType_100="Standard",150,117.5)</f>
        <v>150</v>
      </c>
      <c r="I30" s="27">
        <f t="shared" si="5"/>
        <v>100</v>
      </c>
      <c r="J30" s="75">
        <f t="shared" si="6"/>
        <v>22.92</v>
      </c>
      <c r="K30" s="75">
        <f t="shared" si="7"/>
        <v>22.92</v>
      </c>
      <c r="L30" s="198">
        <f>H30/18.85</f>
        <v>7.957559681697612</v>
      </c>
    </row>
    <row r="31" spans="1:12" x14ac:dyDescent="0.2">
      <c r="A31" s="208" t="s">
        <v>595</v>
      </c>
      <c r="B31" s="221"/>
      <c r="C31" s="221"/>
      <c r="D31" s="27" t="s">
        <v>758</v>
      </c>
      <c r="E31" s="104" t="s">
        <v>773</v>
      </c>
      <c r="F31" s="27">
        <v>17.46</v>
      </c>
      <c r="G31" s="27">
        <v>225</v>
      </c>
      <c r="H31" s="27">
        <f>IF(TB_MIS_ConnType_100="Standard",175,130)</f>
        <v>175</v>
      </c>
      <c r="I31" s="27">
        <f t="shared" si="5"/>
        <v>100</v>
      </c>
      <c r="J31" s="75">
        <f t="shared" si="6"/>
        <v>21.54</v>
      </c>
      <c r="K31" s="75">
        <f t="shared" si="7"/>
        <v>46.54</v>
      </c>
      <c r="L31" s="198">
        <f>H31/24.31</f>
        <v>7.1986836692719045</v>
      </c>
    </row>
    <row r="32" spans="1:12" x14ac:dyDescent="0.2">
      <c r="A32" s="208" t="s">
        <v>611</v>
      </c>
      <c r="B32" s="221"/>
      <c r="C32" s="221"/>
      <c r="D32" s="27" t="s">
        <v>759</v>
      </c>
      <c r="E32" s="104" t="s">
        <v>773</v>
      </c>
      <c r="F32" s="27">
        <v>20.64</v>
      </c>
      <c r="G32" s="27">
        <v>300</v>
      </c>
      <c r="H32" s="27">
        <f>IF(TB_MIS_ConnType_100="Standard",250,167.5)</f>
        <v>250</v>
      </c>
      <c r="I32" s="27">
        <f t="shared" si="5"/>
        <v>100</v>
      </c>
      <c r="J32" s="75">
        <f t="shared" si="6"/>
        <v>18.36</v>
      </c>
      <c r="K32" s="75">
        <f t="shared" si="7"/>
        <v>118.36</v>
      </c>
      <c r="L32" s="198">
        <f>H32/38.1</f>
        <v>6.5616797900262469</v>
      </c>
    </row>
    <row r="33" spans="1:12" x14ac:dyDescent="0.2">
      <c r="A33" s="208" t="s">
        <v>622</v>
      </c>
      <c r="B33" s="221"/>
      <c r="C33" s="221"/>
      <c r="D33" s="27" t="s">
        <v>761</v>
      </c>
      <c r="E33" s="104" t="s">
        <v>773</v>
      </c>
      <c r="F33" s="27">
        <v>22.23</v>
      </c>
      <c r="G33" s="27">
        <v>400</v>
      </c>
      <c r="H33" s="27">
        <f>IF(TB_MIS_ConnType_100="Standard",350,217.5)</f>
        <v>350</v>
      </c>
      <c r="I33" s="27">
        <f t="shared" si="5"/>
        <v>100</v>
      </c>
      <c r="J33" s="75">
        <f t="shared" si="6"/>
        <v>16.77</v>
      </c>
      <c r="K33" s="75">
        <f t="shared" si="7"/>
        <v>216.77</v>
      </c>
      <c r="L33" s="198">
        <f>H33/49.25</f>
        <v>7.1065989847715736</v>
      </c>
    </row>
    <row r="34" spans="1:12" x14ac:dyDescent="0.2">
      <c r="A34" s="208" t="s">
        <v>775</v>
      </c>
      <c r="B34" s="221"/>
      <c r="C34" s="221"/>
      <c r="D34" s="27" t="s">
        <v>754</v>
      </c>
      <c r="E34" s="104" t="s">
        <v>776</v>
      </c>
      <c r="F34" s="27">
        <v>20.64</v>
      </c>
      <c r="G34" s="27">
        <v>200</v>
      </c>
      <c r="H34" s="27">
        <f>IF(TB_MIS_ConnType_100="Standard",150,117.5)</f>
        <v>150</v>
      </c>
      <c r="I34" s="27">
        <f t="shared" si="5"/>
        <v>100</v>
      </c>
      <c r="J34" s="75">
        <f t="shared" si="6"/>
        <v>18.36</v>
      </c>
      <c r="K34" s="75">
        <f t="shared" si="7"/>
        <v>18.36</v>
      </c>
      <c r="L34" s="198">
        <f>H34/13.87</f>
        <v>10.814708002883922</v>
      </c>
    </row>
    <row r="35" spans="1:12" x14ac:dyDescent="0.2">
      <c r="A35" s="208" t="s">
        <v>777</v>
      </c>
      <c r="B35" s="221"/>
      <c r="C35" s="221"/>
      <c r="D35" s="27" t="s">
        <v>757</v>
      </c>
      <c r="E35" s="104" t="s">
        <v>776</v>
      </c>
      <c r="F35" s="27">
        <v>22.22</v>
      </c>
      <c r="G35" s="27">
        <v>200</v>
      </c>
      <c r="H35" s="27">
        <f>IF(TB_MIS_ConnType_100="Standard",150,117.5)</f>
        <v>150</v>
      </c>
      <c r="I35" s="27">
        <f t="shared" si="5"/>
        <v>100</v>
      </c>
      <c r="J35" s="75">
        <f t="shared" si="6"/>
        <v>16.78</v>
      </c>
      <c r="K35" s="75">
        <f t="shared" si="7"/>
        <v>16.78</v>
      </c>
      <c r="L35" s="198">
        <f>H35/18.85</f>
        <v>7.957559681697612</v>
      </c>
    </row>
    <row r="36" spans="1:12" x14ac:dyDescent="0.2">
      <c r="A36" s="208" t="s">
        <v>598</v>
      </c>
      <c r="B36" s="221"/>
      <c r="C36" s="221"/>
      <c r="D36" s="27" t="s">
        <v>758</v>
      </c>
      <c r="E36" s="104" t="s">
        <v>776</v>
      </c>
      <c r="F36" s="27">
        <v>23.81</v>
      </c>
      <c r="G36" s="27">
        <v>225</v>
      </c>
      <c r="H36" s="27">
        <f>IF(TB_MIS_ConnType_100="Standard",175,130)</f>
        <v>175</v>
      </c>
      <c r="I36" s="27">
        <f t="shared" si="5"/>
        <v>100</v>
      </c>
      <c r="J36" s="75">
        <f t="shared" si="6"/>
        <v>15.190000000000001</v>
      </c>
      <c r="K36" s="75">
        <f t="shared" si="7"/>
        <v>40.19</v>
      </c>
      <c r="L36" s="198">
        <f>H36/24.31</f>
        <v>7.1986836692719045</v>
      </c>
    </row>
    <row r="37" spans="1:12" x14ac:dyDescent="0.2">
      <c r="A37" s="208" t="s">
        <v>613</v>
      </c>
      <c r="B37" s="221"/>
      <c r="C37" s="221"/>
      <c r="D37" s="27" t="s">
        <v>759</v>
      </c>
      <c r="E37" s="104" t="s">
        <v>776</v>
      </c>
      <c r="F37" s="27">
        <v>28.57</v>
      </c>
      <c r="G37" s="27">
        <v>300</v>
      </c>
      <c r="H37" s="27">
        <f>IF(TB_MIS_ConnType_100="Standard",250,167.5)</f>
        <v>250</v>
      </c>
      <c r="I37" s="27">
        <f t="shared" si="5"/>
        <v>100</v>
      </c>
      <c r="J37" s="75">
        <f t="shared" si="6"/>
        <v>10.43</v>
      </c>
      <c r="K37" s="75">
        <f t="shared" si="7"/>
        <v>110.43</v>
      </c>
      <c r="L37" s="198">
        <f>H37/38.1</f>
        <v>6.5616797900262469</v>
      </c>
    </row>
    <row r="38" spans="1:12" x14ac:dyDescent="0.2">
      <c r="A38" s="208" t="s">
        <v>624</v>
      </c>
      <c r="B38" s="221"/>
      <c r="C38" s="221"/>
      <c r="D38" s="27" t="s">
        <v>761</v>
      </c>
      <c r="E38" s="104" t="s">
        <v>776</v>
      </c>
      <c r="F38" s="27">
        <v>31.75</v>
      </c>
      <c r="G38" s="27">
        <v>400</v>
      </c>
      <c r="H38" s="27">
        <f>IF(TB_MIS_ConnType_100="Standard",350,217.5)</f>
        <v>350</v>
      </c>
      <c r="I38" s="27">
        <f t="shared" si="5"/>
        <v>100</v>
      </c>
      <c r="J38" s="75">
        <f t="shared" si="6"/>
        <v>7.25</v>
      </c>
      <c r="K38" s="75">
        <f t="shared" si="7"/>
        <v>207.25</v>
      </c>
      <c r="L38" s="198">
        <f>H38/49.25</f>
        <v>7.1065989847715736</v>
      </c>
    </row>
    <row r="39" spans="1:12" x14ac:dyDescent="0.2">
      <c r="A39" s="208" t="s">
        <v>778</v>
      </c>
      <c r="B39" s="221"/>
      <c r="C39" s="221"/>
      <c r="D39" s="27" t="s">
        <v>754</v>
      </c>
      <c r="E39" s="104" t="s">
        <v>779</v>
      </c>
      <c r="F39" s="27">
        <v>28.57</v>
      </c>
      <c r="G39" s="27">
        <v>200</v>
      </c>
      <c r="H39" s="27">
        <f>IF(TB_MIS_ConnType_100="Standard",150,117.5)</f>
        <v>150</v>
      </c>
      <c r="I39" s="27">
        <f t="shared" si="5"/>
        <v>100</v>
      </c>
      <c r="J39" s="75">
        <f t="shared" si="6"/>
        <v>10.43</v>
      </c>
      <c r="K39" s="75">
        <f t="shared" si="7"/>
        <v>10.43</v>
      </c>
      <c r="L39" s="198">
        <f>H39/13.87</f>
        <v>10.814708002883922</v>
      </c>
    </row>
    <row r="40" spans="1:12" x14ac:dyDescent="0.2">
      <c r="A40" s="208" t="s">
        <v>780</v>
      </c>
      <c r="B40" s="221"/>
      <c r="C40" s="221"/>
      <c r="D40" s="27" t="s">
        <v>757</v>
      </c>
      <c r="E40" s="104" t="s">
        <v>779</v>
      </c>
      <c r="F40" s="27">
        <v>31.75</v>
      </c>
      <c r="G40" s="27">
        <v>200</v>
      </c>
      <c r="H40" s="27">
        <f>IF(TB_MIS_ConnType_100="Standard",150,117.5)</f>
        <v>150</v>
      </c>
      <c r="I40" s="27">
        <f t="shared" si="5"/>
        <v>100</v>
      </c>
      <c r="J40" s="75">
        <f t="shared" si="6"/>
        <v>7.25</v>
      </c>
      <c r="K40" s="75">
        <f t="shared" si="7"/>
        <v>7.25</v>
      </c>
      <c r="L40" s="198">
        <f>H40/18.85</f>
        <v>7.957559681697612</v>
      </c>
    </row>
    <row r="41" spans="1:12" x14ac:dyDescent="0.2">
      <c r="A41" s="208" t="s">
        <v>602</v>
      </c>
      <c r="B41" s="221"/>
      <c r="C41" s="221"/>
      <c r="D41" s="27" t="s">
        <v>758</v>
      </c>
      <c r="E41" s="104" t="s">
        <v>779</v>
      </c>
      <c r="F41" s="27">
        <v>34.92</v>
      </c>
      <c r="G41" s="27">
        <v>225</v>
      </c>
      <c r="H41" s="27">
        <f>IF(TB_MIS_ConnType_100="Standard",175,130)</f>
        <v>175</v>
      </c>
      <c r="I41" s="27">
        <f t="shared" si="5"/>
        <v>100</v>
      </c>
      <c r="J41" s="75">
        <f t="shared" si="6"/>
        <v>4.0799999999999983</v>
      </c>
      <c r="K41" s="75">
        <f t="shared" si="7"/>
        <v>29.08</v>
      </c>
      <c r="L41" s="198">
        <f>H41/24.31</f>
        <v>7.1986836692719045</v>
      </c>
    </row>
    <row r="42" spans="1:12" x14ac:dyDescent="0.2">
      <c r="A42" s="208" t="s">
        <v>615</v>
      </c>
      <c r="B42" s="221"/>
      <c r="C42" s="221"/>
      <c r="D42" s="27" t="s">
        <v>759</v>
      </c>
      <c r="E42" s="104" t="s">
        <v>779</v>
      </c>
      <c r="F42" s="27">
        <v>38.1</v>
      </c>
      <c r="G42" s="27">
        <v>300</v>
      </c>
      <c r="H42" s="27">
        <f>IF(TB_MIS_ConnType_100="Standard",250,167.5)</f>
        <v>250</v>
      </c>
      <c r="I42" s="27">
        <f t="shared" si="5"/>
        <v>100</v>
      </c>
      <c r="J42" s="75">
        <f t="shared" si="6"/>
        <v>0.89999999999999858</v>
      </c>
      <c r="K42" s="75">
        <f t="shared" si="7"/>
        <v>100.9</v>
      </c>
      <c r="L42" s="198">
        <f>H42/38.1</f>
        <v>6.5616797900262469</v>
      </c>
    </row>
    <row r="43" spans="1:12" x14ac:dyDescent="0.2">
      <c r="A43" s="208" t="s">
        <v>626</v>
      </c>
      <c r="B43" s="221"/>
      <c r="C43" s="221"/>
      <c r="D43" s="27" t="s">
        <v>761</v>
      </c>
      <c r="E43" s="104" t="s">
        <v>779</v>
      </c>
      <c r="F43" s="27">
        <v>44.45</v>
      </c>
      <c r="G43" s="27">
        <v>400</v>
      </c>
      <c r="H43" s="27">
        <f>IF(TB_MIS_ConnType_100="Standard",350,217.5)</f>
        <v>350</v>
      </c>
      <c r="I43" s="27">
        <f t="shared" si="5"/>
        <v>100</v>
      </c>
      <c r="J43" s="75">
        <f t="shared" si="6"/>
        <v>-5.4500000000000028</v>
      </c>
      <c r="K43" s="75">
        <f t="shared" si="7"/>
        <v>194.55</v>
      </c>
      <c r="L43" s="198">
        <f>H43/49.25</f>
        <v>7.1065989847715736</v>
      </c>
    </row>
    <row r="44" spans="1:12" x14ac:dyDescent="0.2">
      <c r="A44" s="208" t="s">
        <v>781</v>
      </c>
      <c r="B44" s="221"/>
      <c r="C44" s="221"/>
      <c r="D44" s="27" t="s">
        <v>754</v>
      </c>
      <c r="E44" s="104" t="s">
        <v>782</v>
      </c>
      <c r="F44" s="27">
        <v>28.57</v>
      </c>
      <c r="G44" s="27">
        <v>200</v>
      </c>
      <c r="H44" s="27">
        <f>IF(TB_MIS_ConnType_100="Standard",150,117.5)</f>
        <v>150</v>
      </c>
      <c r="I44" s="27">
        <f t="shared" si="5"/>
        <v>100</v>
      </c>
      <c r="J44" s="75">
        <f t="shared" si="6"/>
        <v>10.43</v>
      </c>
      <c r="K44" s="75">
        <f t="shared" si="7"/>
        <v>10.43</v>
      </c>
      <c r="L44" s="198">
        <f>H44/13.87</f>
        <v>10.814708002883922</v>
      </c>
    </row>
    <row r="45" spans="1:12" x14ac:dyDescent="0.2">
      <c r="A45" s="208" t="s">
        <v>783</v>
      </c>
      <c r="B45" s="221"/>
      <c r="C45" s="221"/>
      <c r="D45" s="27" t="s">
        <v>757</v>
      </c>
      <c r="E45" s="104" t="s">
        <v>782</v>
      </c>
      <c r="F45" s="27">
        <v>31.75</v>
      </c>
      <c r="G45" s="27">
        <v>200</v>
      </c>
      <c r="H45" s="27">
        <f>IF(TB_MIS_ConnType_100="Standard",150,117.5)</f>
        <v>150</v>
      </c>
      <c r="I45" s="27">
        <f t="shared" si="5"/>
        <v>100</v>
      </c>
      <c r="J45" s="75">
        <f t="shared" si="6"/>
        <v>7.25</v>
      </c>
      <c r="K45" s="75">
        <f t="shared" si="7"/>
        <v>7.25</v>
      </c>
      <c r="L45" s="198">
        <f>H45/18.85</f>
        <v>7.957559681697612</v>
      </c>
    </row>
    <row r="46" spans="1:12" x14ac:dyDescent="0.2">
      <c r="A46" s="208" t="s">
        <v>605</v>
      </c>
      <c r="B46" s="221"/>
      <c r="C46" s="221"/>
      <c r="D46" s="27" t="s">
        <v>758</v>
      </c>
      <c r="E46" s="104" t="s">
        <v>782</v>
      </c>
      <c r="F46" s="27">
        <v>34.92</v>
      </c>
      <c r="G46" s="27">
        <v>225</v>
      </c>
      <c r="H46" s="27">
        <f>IF(TB_MIS_ConnType_100="Standard",175,130)</f>
        <v>175</v>
      </c>
      <c r="I46" s="27">
        <f t="shared" si="5"/>
        <v>100</v>
      </c>
      <c r="J46" s="75">
        <f t="shared" si="6"/>
        <v>4.0799999999999983</v>
      </c>
      <c r="K46" s="75">
        <f t="shared" si="7"/>
        <v>29.08</v>
      </c>
      <c r="L46" s="198">
        <f>H46/24.31</f>
        <v>7.1986836692719045</v>
      </c>
    </row>
    <row r="47" spans="1:12" x14ac:dyDescent="0.2">
      <c r="A47" s="208" t="s">
        <v>617</v>
      </c>
      <c r="B47" s="221"/>
      <c r="C47" s="221"/>
      <c r="D47" s="27" t="s">
        <v>759</v>
      </c>
      <c r="E47" s="104" t="s">
        <v>782</v>
      </c>
      <c r="F47" s="27">
        <v>38.1</v>
      </c>
      <c r="G47" s="27">
        <v>300</v>
      </c>
      <c r="H47" s="27">
        <f>IF(TB_MIS_ConnType_100="Standard",250,167.5)</f>
        <v>250</v>
      </c>
      <c r="I47" s="27">
        <f t="shared" si="5"/>
        <v>100</v>
      </c>
      <c r="J47" s="75">
        <f t="shared" si="6"/>
        <v>0.89999999999999858</v>
      </c>
      <c r="K47" s="75">
        <f t="shared" si="7"/>
        <v>100.9</v>
      </c>
      <c r="L47" s="198">
        <f>H47/38.1</f>
        <v>6.5616797900262469</v>
      </c>
    </row>
    <row r="48" spans="1:12" x14ac:dyDescent="0.2">
      <c r="A48" s="208" t="s">
        <v>628</v>
      </c>
      <c r="B48" s="221"/>
      <c r="C48" s="221"/>
      <c r="D48" s="27" t="s">
        <v>761</v>
      </c>
      <c r="E48" s="104" t="s">
        <v>782</v>
      </c>
      <c r="F48" s="27">
        <v>44.45</v>
      </c>
      <c r="G48" s="27">
        <v>400</v>
      </c>
      <c r="H48" s="27">
        <f>IF(TB_MIS_ConnType_100="Standard",350,217.5)</f>
        <v>350</v>
      </c>
      <c r="I48" s="27">
        <f t="shared" si="5"/>
        <v>100</v>
      </c>
      <c r="J48" s="75">
        <f t="shared" si="6"/>
        <v>-5.4500000000000028</v>
      </c>
      <c r="K48" s="75">
        <f t="shared" si="7"/>
        <v>194.55</v>
      </c>
      <c r="L48" s="198">
        <f>H48/49.25</f>
        <v>7.1065989847715736</v>
      </c>
    </row>
    <row r="49" spans="1:12" x14ac:dyDescent="0.2">
      <c r="A49" s="75" t="s">
        <v>260</v>
      </c>
      <c r="D49" s="27"/>
      <c r="E49" s="104"/>
      <c r="F49" s="27"/>
    </row>
    <row r="51" spans="1:12" x14ac:dyDescent="0.2">
      <c r="A51" s="39" t="s">
        <v>784</v>
      </c>
      <c r="B51" s="39"/>
      <c r="C51" s="39"/>
      <c r="G51" s="75" t="s">
        <v>785</v>
      </c>
    </row>
    <row r="53" spans="1:12" ht="15" x14ac:dyDescent="0.25">
      <c r="A53" s="208" t="s">
        <v>786</v>
      </c>
      <c r="B53" s="249" t="s">
        <v>889</v>
      </c>
      <c r="C53" s="248" t="s">
        <v>879</v>
      </c>
      <c r="D53" s="104" t="s">
        <v>22</v>
      </c>
      <c r="E53" s="104" t="s">
        <v>763</v>
      </c>
      <c r="F53" s="104" t="s">
        <v>764</v>
      </c>
      <c r="G53" s="104" t="s">
        <v>765</v>
      </c>
      <c r="H53" s="27" t="s">
        <v>747</v>
      </c>
      <c r="I53" s="27" t="s">
        <v>748</v>
      </c>
      <c r="J53" s="104" t="s">
        <v>766</v>
      </c>
      <c r="K53" s="104" t="s">
        <v>767</v>
      </c>
      <c r="L53" s="104" t="s">
        <v>768</v>
      </c>
    </row>
    <row r="54" spans="1:12" x14ac:dyDescent="0.2">
      <c r="A54" s="208" t="s">
        <v>769</v>
      </c>
      <c r="B54" s="236" t="s">
        <v>468</v>
      </c>
      <c r="C54" s="235" t="s">
        <v>427</v>
      </c>
      <c r="D54" s="27" t="s">
        <v>754</v>
      </c>
      <c r="E54" s="104" t="s">
        <v>770</v>
      </c>
      <c r="F54" s="27">
        <v>11.11</v>
      </c>
      <c r="G54" s="27">
        <f t="shared" ref="G54:G78" si="8">IF(TB_MIS_ModelType_100=$A$6,G24+200,G24)</f>
        <v>200</v>
      </c>
      <c r="H54" s="27">
        <f t="shared" ref="H54:H78" si="9">IF(TB_MIS_ConnType_100="Standard",((G54-200)/2)+125,((G54-200)/2)+55)</f>
        <v>125</v>
      </c>
      <c r="I54" s="27">
        <f t="shared" ref="I54:I78" si="10">IF(TB_MIS_ConnType_100="Standard",100,35)</f>
        <v>100</v>
      </c>
      <c r="J54" s="75">
        <f t="shared" ref="J54:J78" si="11">G54-(H54+11)-F54</f>
        <v>52.89</v>
      </c>
      <c r="K54" s="75">
        <f t="shared" ref="K54:K78" si="12">H54-(I54+11)-F54</f>
        <v>2.8900000000000006</v>
      </c>
      <c r="L54" s="75">
        <f>H54/13.87</f>
        <v>9.0122566690699362</v>
      </c>
    </row>
    <row r="55" spans="1:12" x14ac:dyDescent="0.2">
      <c r="A55" s="208" t="s">
        <v>771</v>
      </c>
      <c r="B55" s="235" t="s">
        <v>890</v>
      </c>
      <c r="C55" s="235" t="s">
        <v>427</v>
      </c>
      <c r="D55" s="27" t="s">
        <v>757</v>
      </c>
      <c r="E55" s="104" t="s">
        <v>770</v>
      </c>
      <c r="F55" s="27">
        <v>12.7</v>
      </c>
      <c r="G55" s="27">
        <f t="shared" si="8"/>
        <v>200</v>
      </c>
      <c r="H55" s="27">
        <f t="shared" si="9"/>
        <v>125</v>
      </c>
      <c r="I55" s="27">
        <f t="shared" si="10"/>
        <v>100</v>
      </c>
      <c r="J55" s="75">
        <f t="shared" si="11"/>
        <v>51.3</v>
      </c>
      <c r="K55" s="75">
        <f t="shared" si="12"/>
        <v>1.3000000000000007</v>
      </c>
      <c r="L55" s="75">
        <f>H55/18.85</f>
        <v>6.6312997347480103</v>
      </c>
    </row>
    <row r="56" spans="1:12" x14ac:dyDescent="0.2">
      <c r="A56" s="208" t="s">
        <v>591</v>
      </c>
      <c r="B56" s="235" t="s">
        <v>470</v>
      </c>
      <c r="C56" s="235" t="s">
        <v>427</v>
      </c>
      <c r="D56" s="27" t="s">
        <v>758</v>
      </c>
      <c r="E56" s="104" t="s">
        <v>770</v>
      </c>
      <c r="F56" s="27">
        <v>14.29</v>
      </c>
      <c r="G56" s="27">
        <f t="shared" si="8"/>
        <v>225</v>
      </c>
      <c r="H56" s="27">
        <f t="shared" si="9"/>
        <v>137.5</v>
      </c>
      <c r="I56" s="27">
        <f t="shared" si="10"/>
        <v>100</v>
      </c>
      <c r="J56" s="75">
        <f t="shared" si="11"/>
        <v>62.21</v>
      </c>
      <c r="K56" s="75">
        <f t="shared" si="12"/>
        <v>12.21</v>
      </c>
      <c r="L56" s="75">
        <f>H56/24.31</f>
        <v>5.6561085972850682</v>
      </c>
    </row>
    <row r="57" spans="1:12" x14ac:dyDescent="0.2">
      <c r="A57" s="208" t="s">
        <v>216</v>
      </c>
      <c r="B57" s="236" t="s">
        <v>214</v>
      </c>
      <c r="C57" s="235" t="s">
        <v>427</v>
      </c>
      <c r="D57" s="27" t="s">
        <v>759</v>
      </c>
      <c r="E57" s="104" t="s">
        <v>770</v>
      </c>
      <c r="F57" s="27">
        <v>17.46</v>
      </c>
      <c r="G57" s="27">
        <f t="shared" si="8"/>
        <v>300</v>
      </c>
      <c r="H57" s="27">
        <f t="shared" si="9"/>
        <v>175</v>
      </c>
      <c r="I57" s="27">
        <f t="shared" si="10"/>
        <v>100</v>
      </c>
      <c r="J57" s="75">
        <f t="shared" si="11"/>
        <v>96.539999999999992</v>
      </c>
      <c r="K57" s="75">
        <f t="shared" si="12"/>
        <v>46.54</v>
      </c>
      <c r="L57" s="75">
        <f>H57/38.1</f>
        <v>4.5931758530183728</v>
      </c>
    </row>
    <row r="58" spans="1:12" x14ac:dyDescent="0.2">
      <c r="A58" s="208" t="s">
        <v>220</v>
      </c>
      <c r="B58" s="236" t="s">
        <v>219</v>
      </c>
      <c r="C58" s="235" t="s">
        <v>427</v>
      </c>
      <c r="D58" s="27" t="s">
        <v>761</v>
      </c>
      <c r="E58" s="104" t="s">
        <v>770</v>
      </c>
      <c r="F58" s="27">
        <v>19.05</v>
      </c>
      <c r="G58" s="27">
        <f t="shared" si="8"/>
        <v>400</v>
      </c>
      <c r="H58" s="27">
        <f t="shared" si="9"/>
        <v>225</v>
      </c>
      <c r="I58" s="27">
        <f t="shared" si="10"/>
        <v>100</v>
      </c>
      <c r="J58" s="75">
        <f t="shared" si="11"/>
        <v>144.94999999999999</v>
      </c>
      <c r="K58" s="75">
        <f t="shared" si="12"/>
        <v>94.95</v>
      </c>
      <c r="L58" s="75">
        <f>H58/49.25</f>
        <v>4.5685279187817258</v>
      </c>
    </row>
    <row r="59" spans="1:12" x14ac:dyDescent="0.2">
      <c r="A59" s="208" t="s">
        <v>772</v>
      </c>
      <c r="B59" s="236" t="s">
        <v>468</v>
      </c>
      <c r="C59" s="235" t="s">
        <v>461</v>
      </c>
      <c r="D59" s="27" t="s">
        <v>754</v>
      </c>
      <c r="E59" s="104" t="s">
        <v>773</v>
      </c>
      <c r="F59" s="27">
        <v>18.260000000000002</v>
      </c>
      <c r="G59" s="27">
        <f t="shared" si="8"/>
        <v>200</v>
      </c>
      <c r="H59" s="27">
        <f t="shared" si="9"/>
        <v>125</v>
      </c>
      <c r="I59" s="27">
        <f t="shared" si="10"/>
        <v>100</v>
      </c>
      <c r="J59" s="75">
        <f t="shared" si="11"/>
        <v>45.739999999999995</v>
      </c>
      <c r="K59" s="75">
        <f t="shared" si="12"/>
        <v>-4.2600000000000016</v>
      </c>
      <c r="L59" s="75">
        <f>H59/13.87</f>
        <v>9.0122566690699362</v>
      </c>
    </row>
    <row r="60" spans="1:12" x14ac:dyDescent="0.2">
      <c r="A60" s="208" t="s">
        <v>774</v>
      </c>
      <c r="B60" s="235" t="s">
        <v>890</v>
      </c>
      <c r="C60" s="235" t="s">
        <v>461</v>
      </c>
      <c r="D60" s="27" t="s">
        <v>757</v>
      </c>
      <c r="E60" s="104" t="s">
        <v>773</v>
      </c>
      <c r="F60" s="27">
        <v>16.079999999999998</v>
      </c>
      <c r="G60" s="27">
        <f t="shared" si="8"/>
        <v>200</v>
      </c>
      <c r="H60" s="27">
        <f t="shared" si="9"/>
        <v>125</v>
      </c>
      <c r="I60" s="27">
        <f t="shared" si="10"/>
        <v>100</v>
      </c>
      <c r="J60" s="75">
        <f t="shared" si="11"/>
        <v>47.92</v>
      </c>
      <c r="K60" s="75">
        <f t="shared" si="12"/>
        <v>-2.0799999999999983</v>
      </c>
      <c r="L60" s="75">
        <f>H60/18.85</f>
        <v>6.6312997347480103</v>
      </c>
    </row>
    <row r="61" spans="1:12" x14ac:dyDescent="0.2">
      <c r="A61" s="208" t="s">
        <v>595</v>
      </c>
      <c r="B61" s="235" t="s">
        <v>470</v>
      </c>
      <c r="C61" s="235" t="s">
        <v>461</v>
      </c>
      <c r="D61" s="27" t="s">
        <v>758</v>
      </c>
      <c r="E61" s="104" t="s">
        <v>773</v>
      </c>
      <c r="F61" s="27">
        <v>17.46</v>
      </c>
      <c r="G61" s="27">
        <f t="shared" si="8"/>
        <v>225</v>
      </c>
      <c r="H61" s="27">
        <f t="shared" si="9"/>
        <v>137.5</v>
      </c>
      <c r="I61" s="27">
        <f t="shared" si="10"/>
        <v>100</v>
      </c>
      <c r="J61" s="75">
        <f t="shared" si="11"/>
        <v>59.04</v>
      </c>
      <c r="K61" s="75">
        <f t="shared" si="12"/>
        <v>9.0399999999999991</v>
      </c>
      <c r="L61" s="75">
        <f>H61/24.31</f>
        <v>5.6561085972850682</v>
      </c>
    </row>
    <row r="62" spans="1:12" x14ac:dyDescent="0.2">
      <c r="A62" s="208" t="s">
        <v>611</v>
      </c>
      <c r="B62" s="236" t="s">
        <v>214</v>
      </c>
      <c r="C62" s="235" t="s">
        <v>461</v>
      </c>
      <c r="D62" s="27" t="s">
        <v>759</v>
      </c>
      <c r="E62" s="104" t="s">
        <v>773</v>
      </c>
      <c r="F62" s="27">
        <v>20.64</v>
      </c>
      <c r="G62" s="27">
        <f t="shared" si="8"/>
        <v>300</v>
      </c>
      <c r="H62" s="27">
        <f t="shared" si="9"/>
        <v>175</v>
      </c>
      <c r="I62" s="27">
        <f t="shared" si="10"/>
        <v>100</v>
      </c>
      <c r="J62" s="75">
        <f t="shared" si="11"/>
        <v>93.36</v>
      </c>
      <c r="K62" s="75">
        <f t="shared" si="12"/>
        <v>43.36</v>
      </c>
      <c r="L62" s="75">
        <f>H62/38.1</f>
        <v>4.5931758530183728</v>
      </c>
    </row>
    <row r="63" spans="1:12" x14ac:dyDescent="0.2">
      <c r="A63" s="208" t="s">
        <v>622</v>
      </c>
      <c r="B63" s="236" t="s">
        <v>219</v>
      </c>
      <c r="C63" s="235" t="s">
        <v>461</v>
      </c>
      <c r="D63" s="27" t="s">
        <v>761</v>
      </c>
      <c r="E63" s="104" t="s">
        <v>773</v>
      </c>
      <c r="F63" s="27">
        <v>22.23</v>
      </c>
      <c r="G63" s="27">
        <f t="shared" si="8"/>
        <v>400</v>
      </c>
      <c r="H63" s="27">
        <f t="shared" si="9"/>
        <v>225</v>
      </c>
      <c r="I63" s="27">
        <f t="shared" si="10"/>
        <v>100</v>
      </c>
      <c r="J63" s="75">
        <f t="shared" si="11"/>
        <v>141.77000000000001</v>
      </c>
      <c r="K63" s="75">
        <f t="shared" si="12"/>
        <v>91.77</v>
      </c>
      <c r="L63" s="75">
        <f>H63/49.25</f>
        <v>4.5685279187817258</v>
      </c>
    </row>
    <row r="64" spans="1:12" x14ac:dyDescent="0.2">
      <c r="A64" s="208" t="s">
        <v>775</v>
      </c>
      <c r="B64" s="236" t="s">
        <v>468</v>
      </c>
      <c r="C64" s="235" t="s">
        <v>476</v>
      </c>
      <c r="D64" s="27" t="s">
        <v>754</v>
      </c>
      <c r="E64" s="104" t="s">
        <v>776</v>
      </c>
      <c r="F64" s="27">
        <v>20.64</v>
      </c>
      <c r="G64" s="27">
        <f t="shared" si="8"/>
        <v>200</v>
      </c>
      <c r="H64" s="27">
        <f t="shared" si="9"/>
        <v>125</v>
      </c>
      <c r="I64" s="27">
        <f t="shared" si="10"/>
        <v>100</v>
      </c>
      <c r="J64" s="75">
        <f t="shared" si="11"/>
        <v>43.36</v>
      </c>
      <c r="K64" s="75">
        <f t="shared" si="12"/>
        <v>-6.6400000000000006</v>
      </c>
      <c r="L64" s="75">
        <f>H64/13.87</f>
        <v>9.0122566690699362</v>
      </c>
    </row>
    <row r="65" spans="1:12" x14ac:dyDescent="0.2">
      <c r="A65" s="208" t="s">
        <v>777</v>
      </c>
      <c r="B65" s="235" t="s">
        <v>890</v>
      </c>
      <c r="C65" s="235" t="s">
        <v>476</v>
      </c>
      <c r="D65" s="27" t="s">
        <v>757</v>
      </c>
      <c r="E65" s="104" t="s">
        <v>776</v>
      </c>
      <c r="F65" s="27">
        <v>22.22</v>
      </c>
      <c r="G65" s="27">
        <f t="shared" si="8"/>
        <v>200</v>
      </c>
      <c r="H65" s="27">
        <f t="shared" si="9"/>
        <v>125</v>
      </c>
      <c r="I65" s="27">
        <f t="shared" si="10"/>
        <v>100</v>
      </c>
      <c r="J65" s="75">
        <f t="shared" si="11"/>
        <v>41.78</v>
      </c>
      <c r="K65" s="75">
        <f t="shared" si="12"/>
        <v>-8.2199999999999989</v>
      </c>
      <c r="L65" s="75">
        <f>H65/18.85</f>
        <v>6.6312997347480103</v>
      </c>
    </row>
    <row r="66" spans="1:12" x14ac:dyDescent="0.2">
      <c r="A66" s="208" t="s">
        <v>598</v>
      </c>
      <c r="B66" s="235" t="s">
        <v>470</v>
      </c>
      <c r="C66" s="235" t="s">
        <v>476</v>
      </c>
      <c r="D66" s="27" t="s">
        <v>758</v>
      </c>
      <c r="E66" s="104" t="s">
        <v>776</v>
      </c>
      <c r="F66" s="27">
        <v>23.81</v>
      </c>
      <c r="G66" s="27">
        <f t="shared" si="8"/>
        <v>225</v>
      </c>
      <c r="H66" s="27">
        <f t="shared" si="9"/>
        <v>137.5</v>
      </c>
      <c r="I66" s="27">
        <f t="shared" si="10"/>
        <v>100</v>
      </c>
      <c r="J66" s="75">
        <f t="shared" si="11"/>
        <v>52.69</v>
      </c>
      <c r="K66" s="75">
        <f t="shared" si="12"/>
        <v>2.6900000000000013</v>
      </c>
      <c r="L66" s="75">
        <f>H66/24.31</f>
        <v>5.6561085972850682</v>
      </c>
    </row>
    <row r="67" spans="1:12" x14ac:dyDescent="0.2">
      <c r="A67" s="208" t="s">
        <v>613</v>
      </c>
      <c r="B67" s="236" t="s">
        <v>214</v>
      </c>
      <c r="C67" s="235" t="s">
        <v>476</v>
      </c>
      <c r="D67" s="27" t="s">
        <v>759</v>
      </c>
      <c r="E67" s="104" t="s">
        <v>776</v>
      </c>
      <c r="F67" s="27">
        <v>28.57</v>
      </c>
      <c r="G67" s="27">
        <f t="shared" si="8"/>
        <v>300</v>
      </c>
      <c r="H67" s="27">
        <f t="shared" si="9"/>
        <v>175</v>
      </c>
      <c r="I67" s="27">
        <f t="shared" si="10"/>
        <v>100</v>
      </c>
      <c r="J67" s="75">
        <f t="shared" si="11"/>
        <v>85.43</v>
      </c>
      <c r="K67" s="75">
        <f t="shared" si="12"/>
        <v>35.43</v>
      </c>
      <c r="L67" s="75">
        <f>H67/38.1</f>
        <v>4.5931758530183728</v>
      </c>
    </row>
    <row r="68" spans="1:12" x14ac:dyDescent="0.2">
      <c r="A68" s="208" t="s">
        <v>624</v>
      </c>
      <c r="B68" s="236" t="s">
        <v>219</v>
      </c>
      <c r="C68" s="235" t="s">
        <v>476</v>
      </c>
      <c r="D68" s="27" t="s">
        <v>761</v>
      </c>
      <c r="E68" s="104" t="s">
        <v>776</v>
      </c>
      <c r="F68" s="27">
        <v>31.75</v>
      </c>
      <c r="G68" s="27">
        <f t="shared" si="8"/>
        <v>400</v>
      </c>
      <c r="H68" s="27">
        <f t="shared" si="9"/>
        <v>225</v>
      </c>
      <c r="I68" s="27">
        <f t="shared" si="10"/>
        <v>100</v>
      </c>
      <c r="J68" s="75">
        <f t="shared" si="11"/>
        <v>132.25</v>
      </c>
      <c r="K68" s="75">
        <f t="shared" si="12"/>
        <v>82.25</v>
      </c>
      <c r="L68" s="75">
        <f>H68/49.25</f>
        <v>4.5685279187817258</v>
      </c>
    </row>
    <row r="69" spans="1:12" x14ac:dyDescent="0.2">
      <c r="A69" s="208" t="s">
        <v>778</v>
      </c>
      <c r="B69" s="236" t="s">
        <v>468</v>
      </c>
      <c r="C69" s="235" t="s">
        <v>601</v>
      </c>
      <c r="D69" s="27" t="s">
        <v>754</v>
      </c>
      <c r="E69" s="104" t="s">
        <v>779</v>
      </c>
      <c r="F69" s="27">
        <v>28.57</v>
      </c>
      <c r="G69" s="27">
        <f t="shared" si="8"/>
        <v>200</v>
      </c>
      <c r="H69" s="27">
        <f t="shared" si="9"/>
        <v>125</v>
      </c>
      <c r="I69" s="27">
        <f t="shared" si="10"/>
        <v>100</v>
      </c>
      <c r="J69" s="75">
        <f t="shared" si="11"/>
        <v>35.43</v>
      </c>
      <c r="K69" s="75">
        <f t="shared" si="12"/>
        <v>-14.57</v>
      </c>
      <c r="L69" s="75">
        <f>H69/13.87</f>
        <v>9.0122566690699362</v>
      </c>
    </row>
    <row r="70" spans="1:12" x14ac:dyDescent="0.2">
      <c r="A70" s="208" t="s">
        <v>780</v>
      </c>
      <c r="B70" s="235" t="s">
        <v>890</v>
      </c>
      <c r="C70" s="235" t="s">
        <v>601</v>
      </c>
      <c r="D70" s="27" t="s">
        <v>757</v>
      </c>
      <c r="E70" s="104" t="s">
        <v>779</v>
      </c>
      <c r="F70" s="27">
        <v>31.75</v>
      </c>
      <c r="G70" s="27">
        <f t="shared" si="8"/>
        <v>200</v>
      </c>
      <c r="H70" s="27">
        <f t="shared" si="9"/>
        <v>125</v>
      </c>
      <c r="I70" s="27">
        <f t="shared" si="10"/>
        <v>100</v>
      </c>
      <c r="J70" s="75">
        <f t="shared" si="11"/>
        <v>32.25</v>
      </c>
      <c r="K70" s="75">
        <f t="shared" si="12"/>
        <v>-17.75</v>
      </c>
      <c r="L70" s="75">
        <f>H70/18.85</f>
        <v>6.6312997347480103</v>
      </c>
    </row>
    <row r="71" spans="1:12" x14ac:dyDescent="0.2">
      <c r="A71" s="208" t="s">
        <v>602</v>
      </c>
      <c r="B71" s="235" t="s">
        <v>470</v>
      </c>
      <c r="C71" s="235" t="s">
        <v>601</v>
      </c>
      <c r="D71" s="27" t="s">
        <v>758</v>
      </c>
      <c r="E71" s="104" t="s">
        <v>779</v>
      </c>
      <c r="F71" s="27">
        <v>34.92</v>
      </c>
      <c r="G71" s="27">
        <f t="shared" si="8"/>
        <v>225</v>
      </c>
      <c r="H71" s="27">
        <f t="shared" si="9"/>
        <v>137.5</v>
      </c>
      <c r="I71" s="27">
        <f t="shared" si="10"/>
        <v>100</v>
      </c>
      <c r="J71" s="75">
        <f t="shared" si="11"/>
        <v>41.58</v>
      </c>
      <c r="K71" s="75">
        <f t="shared" si="12"/>
        <v>-8.4200000000000017</v>
      </c>
      <c r="L71" s="75">
        <f>H71/24.31</f>
        <v>5.6561085972850682</v>
      </c>
    </row>
    <row r="72" spans="1:12" x14ac:dyDescent="0.2">
      <c r="A72" s="208" t="s">
        <v>615</v>
      </c>
      <c r="B72" s="236" t="s">
        <v>214</v>
      </c>
      <c r="C72" s="235" t="s">
        <v>601</v>
      </c>
      <c r="D72" s="27" t="s">
        <v>759</v>
      </c>
      <c r="E72" s="104" t="s">
        <v>779</v>
      </c>
      <c r="F72" s="27">
        <v>38.1</v>
      </c>
      <c r="G72" s="27">
        <f t="shared" si="8"/>
        <v>300</v>
      </c>
      <c r="H72" s="27">
        <f t="shared" si="9"/>
        <v>175</v>
      </c>
      <c r="I72" s="27">
        <f t="shared" si="10"/>
        <v>100</v>
      </c>
      <c r="J72" s="75">
        <f t="shared" si="11"/>
        <v>75.900000000000006</v>
      </c>
      <c r="K72" s="75">
        <f t="shared" si="12"/>
        <v>25.9</v>
      </c>
      <c r="L72" s="75">
        <f>H72/38.1</f>
        <v>4.5931758530183728</v>
      </c>
    </row>
    <row r="73" spans="1:12" x14ac:dyDescent="0.2">
      <c r="A73" s="208" t="s">
        <v>626</v>
      </c>
      <c r="B73" s="236" t="s">
        <v>219</v>
      </c>
      <c r="C73" s="235" t="s">
        <v>601</v>
      </c>
      <c r="D73" s="27" t="s">
        <v>761</v>
      </c>
      <c r="E73" s="104" t="s">
        <v>779</v>
      </c>
      <c r="F73" s="27">
        <v>44.45</v>
      </c>
      <c r="G73" s="27">
        <f t="shared" si="8"/>
        <v>400</v>
      </c>
      <c r="H73" s="27">
        <f t="shared" si="9"/>
        <v>225</v>
      </c>
      <c r="I73" s="27">
        <f t="shared" si="10"/>
        <v>100</v>
      </c>
      <c r="J73" s="75">
        <f t="shared" si="11"/>
        <v>119.55</v>
      </c>
      <c r="K73" s="75">
        <f t="shared" si="12"/>
        <v>69.55</v>
      </c>
      <c r="L73" s="75">
        <f>H73/49.25</f>
        <v>4.5685279187817258</v>
      </c>
    </row>
    <row r="74" spans="1:12" x14ac:dyDescent="0.2">
      <c r="A74" s="208" t="s">
        <v>781</v>
      </c>
      <c r="B74" s="236" t="s">
        <v>468</v>
      </c>
      <c r="C74" s="235" t="s">
        <v>434</v>
      </c>
      <c r="D74" s="27" t="s">
        <v>754</v>
      </c>
      <c r="E74" s="104" t="s">
        <v>782</v>
      </c>
      <c r="F74" s="27">
        <v>28.57</v>
      </c>
      <c r="G74" s="27">
        <f t="shared" si="8"/>
        <v>200</v>
      </c>
      <c r="H74" s="27">
        <f t="shared" si="9"/>
        <v>125</v>
      </c>
      <c r="I74" s="27">
        <f t="shared" si="10"/>
        <v>100</v>
      </c>
      <c r="J74" s="75">
        <f t="shared" si="11"/>
        <v>35.43</v>
      </c>
      <c r="K74" s="75">
        <f t="shared" si="12"/>
        <v>-14.57</v>
      </c>
      <c r="L74" s="75">
        <f>H74/13.87</f>
        <v>9.0122566690699362</v>
      </c>
    </row>
    <row r="75" spans="1:12" x14ac:dyDescent="0.2">
      <c r="A75" s="208" t="s">
        <v>783</v>
      </c>
      <c r="B75" s="235" t="s">
        <v>890</v>
      </c>
      <c r="C75" s="235" t="s">
        <v>434</v>
      </c>
      <c r="D75" s="27" t="s">
        <v>757</v>
      </c>
      <c r="E75" s="104" t="s">
        <v>782</v>
      </c>
      <c r="F75" s="27">
        <v>31.75</v>
      </c>
      <c r="G75" s="27">
        <f t="shared" si="8"/>
        <v>200</v>
      </c>
      <c r="H75" s="27">
        <f t="shared" si="9"/>
        <v>125</v>
      </c>
      <c r="I75" s="27">
        <f t="shared" si="10"/>
        <v>100</v>
      </c>
      <c r="J75" s="75">
        <f t="shared" si="11"/>
        <v>32.25</v>
      </c>
      <c r="K75" s="75">
        <f t="shared" si="12"/>
        <v>-17.75</v>
      </c>
      <c r="L75" s="75">
        <f>H75/18.85</f>
        <v>6.6312997347480103</v>
      </c>
    </row>
    <row r="76" spans="1:12" x14ac:dyDescent="0.2">
      <c r="A76" s="208" t="s">
        <v>605</v>
      </c>
      <c r="B76" s="235" t="s">
        <v>470</v>
      </c>
      <c r="C76" s="235" t="s">
        <v>434</v>
      </c>
      <c r="D76" s="27" t="s">
        <v>758</v>
      </c>
      <c r="E76" s="104" t="s">
        <v>782</v>
      </c>
      <c r="F76" s="27">
        <v>34.92</v>
      </c>
      <c r="G76" s="27">
        <f t="shared" si="8"/>
        <v>225</v>
      </c>
      <c r="H76" s="27">
        <f t="shared" si="9"/>
        <v>137.5</v>
      </c>
      <c r="I76" s="27">
        <f t="shared" si="10"/>
        <v>100</v>
      </c>
      <c r="J76" s="75">
        <f t="shared" si="11"/>
        <v>41.58</v>
      </c>
      <c r="K76" s="75">
        <f t="shared" si="12"/>
        <v>-8.4200000000000017</v>
      </c>
      <c r="L76" s="75">
        <f>H76/24.31</f>
        <v>5.6561085972850682</v>
      </c>
    </row>
    <row r="77" spans="1:12" x14ac:dyDescent="0.2">
      <c r="A77" s="208" t="s">
        <v>617</v>
      </c>
      <c r="B77" s="236" t="s">
        <v>214</v>
      </c>
      <c r="C77" s="235" t="s">
        <v>434</v>
      </c>
      <c r="D77" s="27" t="s">
        <v>759</v>
      </c>
      <c r="E77" s="104" t="s">
        <v>782</v>
      </c>
      <c r="F77" s="27">
        <v>38.1</v>
      </c>
      <c r="G77" s="27">
        <f t="shared" si="8"/>
        <v>300</v>
      </c>
      <c r="H77" s="27">
        <f t="shared" si="9"/>
        <v>175</v>
      </c>
      <c r="I77" s="27">
        <f t="shared" si="10"/>
        <v>100</v>
      </c>
      <c r="J77" s="75">
        <f t="shared" si="11"/>
        <v>75.900000000000006</v>
      </c>
      <c r="K77" s="75">
        <f t="shared" si="12"/>
        <v>25.9</v>
      </c>
      <c r="L77" s="75">
        <f>H77/38.1</f>
        <v>4.5931758530183728</v>
      </c>
    </row>
    <row r="78" spans="1:12" x14ac:dyDescent="0.2">
      <c r="A78" s="208" t="s">
        <v>628</v>
      </c>
      <c r="B78" s="236" t="s">
        <v>219</v>
      </c>
      <c r="C78" s="235" t="s">
        <v>434</v>
      </c>
      <c r="D78" s="27" t="s">
        <v>761</v>
      </c>
      <c r="E78" s="104" t="s">
        <v>782</v>
      </c>
      <c r="F78" s="27">
        <v>44.45</v>
      </c>
      <c r="G78" s="27">
        <f t="shared" si="8"/>
        <v>400</v>
      </c>
      <c r="H78" s="27">
        <f t="shared" si="9"/>
        <v>225</v>
      </c>
      <c r="I78" s="27">
        <f t="shared" si="10"/>
        <v>100</v>
      </c>
      <c r="J78" s="75">
        <f t="shared" si="11"/>
        <v>119.55</v>
      </c>
      <c r="K78" s="75">
        <f t="shared" si="12"/>
        <v>69.55</v>
      </c>
      <c r="L78" s="75">
        <f>H78/49.25</f>
        <v>4.5685279187817258</v>
      </c>
    </row>
    <row r="79" spans="1:12" x14ac:dyDescent="0.2">
      <c r="A79" s="75" t="s">
        <v>260</v>
      </c>
    </row>
  </sheetData>
  <conditionalFormatting sqref="J24:K48 J54:K78">
    <cfRule type="cellIs" dxfId="2" priority="1" stopIfTrue="1" operator="lessThan">
      <formula>80</formula>
    </cfRule>
    <cfRule type="cellIs" dxfId="1" priority="2" stopIfTrue="1" operator="lessThan">
      <formula>10</formula>
    </cfRule>
  </conditionalFormatting>
  <pageMargins left="0.70866141732283472" right="0.70866141732283472" top="0.74803149606299213" bottom="0.74803149606299213" header="0.31496062992125984" footer="0.31496062992125984"/>
  <pageSetup paperSize="9" scale="6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topLeftCell="A121" workbookViewId="0">
      <selection activeCell="B141" sqref="B141"/>
    </sheetView>
  </sheetViews>
  <sheetFormatPr defaultColWidth="9.140625" defaultRowHeight="15" x14ac:dyDescent="0.25"/>
  <cols>
    <col min="1" max="1" width="18.85546875" style="168" bestFit="1" customWidth="1"/>
    <col min="2" max="2" width="118.28515625" style="168" customWidth="1"/>
    <col min="3" max="3" width="20.28515625" style="168" bestFit="1" customWidth="1"/>
    <col min="4" max="4" width="32.85546875" style="168" bestFit="1" customWidth="1"/>
    <col min="5" max="5" width="19.140625" style="168" bestFit="1" customWidth="1"/>
    <col min="6" max="6" width="11.7109375" style="169" bestFit="1" customWidth="1"/>
    <col min="7" max="7" width="8.85546875" bestFit="1" customWidth="1"/>
    <col min="8" max="8" width="18.42578125" style="169" customWidth="1"/>
    <col min="9" max="9" width="15.42578125" style="169" bestFit="1" customWidth="1"/>
    <col min="10" max="10" width="18.5703125" style="169" bestFit="1" customWidth="1"/>
    <col min="11" max="11" width="15.28515625" style="169" bestFit="1" customWidth="1"/>
    <col min="12" max="16384" width="9.140625" style="169"/>
  </cols>
  <sheetData>
    <row r="1" spans="1:6" x14ac:dyDescent="0.25">
      <c r="A1" s="245" t="s">
        <v>893</v>
      </c>
    </row>
    <row r="3" spans="1:6" x14ac:dyDescent="0.25">
      <c r="A3" s="254" t="s">
        <v>787</v>
      </c>
      <c r="B3" s="254"/>
      <c r="C3" s="254"/>
      <c r="D3" s="244"/>
      <c r="E3" s="209"/>
      <c r="F3" s="41"/>
    </row>
    <row r="4" spans="1:6" x14ac:dyDescent="0.25">
      <c r="A4" s="230" t="s">
        <v>589</v>
      </c>
      <c r="B4" s="187" t="s">
        <v>46</v>
      </c>
      <c r="C4" s="187" t="s">
        <v>452</v>
      </c>
      <c r="D4" s="213" t="s">
        <v>208</v>
      </c>
    </row>
    <row r="5" spans="1:6" x14ac:dyDescent="0.25">
      <c r="A5" s="231" t="s">
        <v>259</v>
      </c>
      <c r="B5" s="188" t="s">
        <v>260</v>
      </c>
      <c r="C5" s="250">
        <v>0</v>
      </c>
      <c r="D5" s="251">
        <v>0</v>
      </c>
    </row>
    <row r="6" spans="1:6" x14ac:dyDescent="0.25">
      <c r="A6" s="231" t="s">
        <v>788</v>
      </c>
      <c r="B6" s="188" t="s">
        <v>769</v>
      </c>
      <c r="C6" s="250"/>
      <c r="D6" s="251"/>
    </row>
    <row r="7" spans="1:6" x14ac:dyDescent="0.25">
      <c r="A7" s="231" t="s">
        <v>789</v>
      </c>
      <c r="B7" s="188" t="s">
        <v>772</v>
      </c>
      <c r="C7" s="250"/>
      <c r="D7" s="251"/>
    </row>
    <row r="8" spans="1:6" x14ac:dyDescent="0.25">
      <c r="A8" s="231" t="s">
        <v>790</v>
      </c>
      <c r="B8" s="188" t="s">
        <v>775</v>
      </c>
      <c r="C8" s="250"/>
      <c r="D8" s="251"/>
    </row>
    <row r="9" spans="1:6" x14ac:dyDescent="0.25">
      <c r="A9" s="231" t="s">
        <v>791</v>
      </c>
      <c r="B9" s="188" t="s">
        <v>778</v>
      </c>
      <c r="C9" s="250"/>
      <c r="D9" s="251"/>
    </row>
    <row r="10" spans="1:6" x14ac:dyDescent="0.25">
      <c r="A10" s="231" t="s">
        <v>792</v>
      </c>
      <c r="B10" s="188" t="s">
        <v>781</v>
      </c>
      <c r="C10" s="250"/>
      <c r="D10" s="251"/>
    </row>
    <row r="11" spans="1:6" x14ac:dyDescent="0.25">
      <c r="A11" s="231" t="s">
        <v>793</v>
      </c>
      <c r="B11" s="188" t="s">
        <v>794</v>
      </c>
      <c r="C11" s="250"/>
      <c r="D11" s="251"/>
    </row>
    <row r="12" spans="1:6" x14ac:dyDescent="0.25">
      <c r="A12" s="231" t="s">
        <v>795</v>
      </c>
      <c r="B12" s="188" t="s">
        <v>771</v>
      </c>
      <c r="C12" s="250"/>
      <c r="D12" s="251"/>
    </row>
    <row r="13" spans="1:6" x14ac:dyDescent="0.25">
      <c r="A13" s="231" t="s">
        <v>796</v>
      </c>
      <c r="B13" s="188" t="s">
        <v>774</v>
      </c>
      <c r="C13" s="250"/>
      <c r="D13" s="251"/>
    </row>
    <row r="14" spans="1:6" x14ac:dyDescent="0.25">
      <c r="A14" s="231" t="s">
        <v>797</v>
      </c>
      <c r="B14" s="188" t="s">
        <v>777</v>
      </c>
      <c r="C14" s="250"/>
      <c r="D14" s="251"/>
    </row>
    <row r="15" spans="1:6" x14ac:dyDescent="0.25">
      <c r="A15" s="231" t="s">
        <v>798</v>
      </c>
      <c r="B15" s="188" t="s">
        <v>780</v>
      </c>
      <c r="C15" s="250"/>
      <c r="D15" s="251"/>
    </row>
    <row r="16" spans="1:6" x14ac:dyDescent="0.25">
      <c r="A16" s="231" t="s">
        <v>799</v>
      </c>
      <c r="B16" s="188" t="s">
        <v>783</v>
      </c>
      <c r="C16" s="250"/>
      <c r="D16" s="251"/>
    </row>
    <row r="17" spans="1:4" x14ac:dyDescent="0.25">
      <c r="A17" s="231" t="s">
        <v>800</v>
      </c>
      <c r="B17" s="188" t="s">
        <v>801</v>
      </c>
      <c r="C17" s="250"/>
      <c r="D17" s="251"/>
    </row>
    <row r="18" spans="1:4" x14ac:dyDescent="0.25">
      <c r="A18" s="230" t="s">
        <v>590</v>
      </c>
      <c r="B18" s="188" t="s">
        <v>591</v>
      </c>
      <c r="C18" s="252">
        <v>83</v>
      </c>
      <c r="D18" s="253">
        <v>12.7</v>
      </c>
    </row>
    <row r="19" spans="1:4" x14ac:dyDescent="0.25">
      <c r="A19" s="230" t="s">
        <v>594</v>
      </c>
      <c r="B19" s="188" t="s">
        <v>595</v>
      </c>
      <c r="C19" s="252">
        <v>89</v>
      </c>
      <c r="D19" s="253">
        <v>15.9</v>
      </c>
    </row>
    <row r="20" spans="1:4" x14ac:dyDescent="0.25">
      <c r="A20" s="230" t="s">
        <v>597</v>
      </c>
      <c r="B20" s="188" t="s">
        <v>598</v>
      </c>
      <c r="C20" s="252">
        <v>95</v>
      </c>
      <c r="D20" s="253">
        <v>17.5</v>
      </c>
    </row>
    <row r="21" spans="1:4" x14ac:dyDescent="0.25">
      <c r="A21" s="230" t="s">
        <v>600</v>
      </c>
      <c r="B21" s="188" t="s">
        <v>602</v>
      </c>
      <c r="C21" s="252">
        <v>106</v>
      </c>
      <c r="D21" s="253">
        <v>28.6</v>
      </c>
    </row>
    <row r="22" spans="1:4" x14ac:dyDescent="0.25">
      <c r="A22" s="230" t="s">
        <v>604</v>
      </c>
      <c r="B22" s="188" t="s">
        <v>605</v>
      </c>
      <c r="C22" s="252">
        <v>106</v>
      </c>
      <c r="D22" s="253">
        <v>28.6</v>
      </c>
    </row>
    <row r="23" spans="1:4" x14ac:dyDescent="0.25">
      <c r="A23" s="230" t="s">
        <v>606</v>
      </c>
      <c r="B23" s="188" t="s">
        <v>608</v>
      </c>
      <c r="C23" s="252">
        <v>122</v>
      </c>
      <c r="D23" s="253">
        <v>35</v>
      </c>
    </row>
    <row r="24" spans="1:4" x14ac:dyDescent="0.25">
      <c r="A24" s="230" t="s">
        <v>609</v>
      </c>
      <c r="B24" s="188" t="s">
        <v>216</v>
      </c>
      <c r="C24" s="252">
        <v>95</v>
      </c>
      <c r="D24" s="253">
        <v>15.9</v>
      </c>
    </row>
    <row r="25" spans="1:4" x14ac:dyDescent="0.25">
      <c r="A25" s="230" t="s">
        <v>610</v>
      </c>
      <c r="B25" s="188" t="s">
        <v>611</v>
      </c>
      <c r="C25" s="252">
        <v>100</v>
      </c>
      <c r="D25" s="253">
        <v>19.100000000000001</v>
      </c>
    </row>
    <row r="26" spans="1:4" x14ac:dyDescent="0.25">
      <c r="A26" s="230" t="s">
        <v>612</v>
      </c>
      <c r="B26" s="188" t="s">
        <v>613</v>
      </c>
      <c r="C26" s="252">
        <v>109</v>
      </c>
      <c r="D26" s="253">
        <v>22.3</v>
      </c>
    </row>
    <row r="27" spans="1:4" x14ac:dyDescent="0.25">
      <c r="A27" s="230" t="s">
        <v>614</v>
      </c>
      <c r="B27" s="188" t="s">
        <v>615</v>
      </c>
      <c r="C27" s="252">
        <v>122</v>
      </c>
      <c r="D27" s="253">
        <v>31.8</v>
      </c>
    </row>
    <row r="28" spans="1:4" x14ac:dyDescent="0.25">
      <c r="A28" s="230" t="s">
        <v>616</v>
      </c>
      <c r="B28" s="188" t="s">
        <v>617</v>
      </c>
      <c r="C28" s="252">
        <v>122</v>
      </c>
      <c r="D28" s="253">
        <v>31.8</v>
      </c>
    </row>
    <row r="29" spans="1:4" x14ac:dyDescent="0.25">
      <c r="A29" s="230" t="s">
        <v>618</v>
      </c>
      <c r="B29" s="188" t="s">
        <v>619</v>
      </c>
      <c r="C29" s="252">
        <v>150</v>
      </c>
      <c r="D29" s="253">
        <v>44.5</v>
      </c>
    </row>
    <row r="30" spans="1:4" x14ac:dyDescent="0.25">
      <c r="A30" s="230" t="s">
        <v>620</v>
      </c>
      <c r="B30" s="188" t="s">
        <v>220</v>
      </c>
      <c r="C30" s="252">
        <v>102</v>
      </c>
      <c r="D30" s="253">
        <v>17.5</v>
      </c>
    </row>
    <row r="31" spans="1:4" x14ac:dyDescent="0.25">
      <c r="A31" s="230" t="s">
        <v>621</v>
      </c>
      <c r="B31" s="188" t="s">
        <v>622</v>
      </c>
      <c r="C31" s="252">
        <v>108</v>
      </c>
      <c r="D31" s="253">
        <v>20.7</v>
      </c>
    </row>
    <row r="32" spans="1:4" x14ac:dyDescent="0.25">
      <c r="A32" s="230" t="s">
        <v>623</v>
      </c>
      <c r="B32" s="188" t="s">
        <v>624</v>
      </c>
      <c r="C32" s="252">
        <v>117</v>
      </c>
      <c r="D32" s="253">
        <v>25.4</v>
      </c>
    </row>
    <row r="33" spans="1:4" x14ac:dyDescent="0.25">
      <c r="A33" s="230" t="s">
        <v>625</v>
      </c>
      <c r="B33" s="188" t="s">
        <v>626</v>
      </c>
      <c r="C33" s="252">
        <v>146</v>
      </c>
      <c r="D33" s="253">
        <v>38.1</v>
      </c>
    </row>
    <row r="34" spans="1:4" x14ac:dyDescent="0.25">
      <c r="A34" s="230" t="s">
        <v>627</v>
      </c>
      <c r="B34" s="188" t="s">
        <v>628</v>
      </c>
      <c r="C34" s="252">
        <v>146</v>
      </c>
      <c r="D34" s="253">
        <v>38.1</v>
      </c>
    </row>
    <row r="35" spans="1:4" x14ac:dyDescent="0.25">
      <c r="A35" s="230" t="s">
        <v>629</v>
      </c>
      <c r="B35" s="188" t="s">
        <v>630</v>
      </c>
      <c r="C35" s="252">
        <v>171</v>
      </c>
      <c r="D35" s="253">
        <v>50.9</v>
      </c>
    </row>
    <row r="36" spans="1:4" x14ac:dyDescent="0.25">
      <c r="A36" s="230" t="s">
        <v>631</v>
      </c>
      <c r="B36" s="188" t="s">
        <v>222</v>
      </c>
      <c r="C36" s="252">
        <v>118</v>
      </c>
      <c r="D36" s="253">
        <v>22.3</v>
      </c>
    </row>
    <row r="37" spans="1:4" x14ac:dyDescent="0.25">
      <c r="A37" s="230" t="s">
        <v>632</v>
      </c>
      <c r="B37" s="188" t="s">
        <v>633</v>
      </c>
      <c r="C37" s="252">
        <v>127</v>
      </c>
      <c r="D37" s="253">
        <v>27</v>
      </c>
    </row>
    <row r="38" spans="1:4" x14ac:dyDescent="0.25">
      <c r="A38" s="230" t="s">
        <v>634</v>
      </c>
      <c r="B38" s="188" t="s">
        <v>635</v>
      </c>
      <c r="C38" s="252">
        <v>137</v>
      </c>
      <c r="D38" s="253">
        <v>31.8</v>
      </c>
    </row>
    <row r="39" spans="1:4" x14ac:dyDescent="0.25">
      <c r="A39" s="230" t="s">
        <v>636</v>
      </c>
      <c r="B39" s="188" t="s">
        <v>637</v>
      </c>
      <c r="C39" s="252">
        <v>156</v>
      </c>
      <c r="D39" s="253">
        <v>38.1</v>
      </c>
    </row>
    <row r="40" spans="1:4" x14ac:dyDescent="0.25">
      <c r="A40" s="230" t="s">
        <v>638</v>
      </c>
      <c r="B40" s="188" t="s">
        <v>639</v>
      </c>
      <c r="C40" s="252">
        <v>171</v>
      </c>
      <c r="D40" s="253">
        <v>47.7</v>
      </c>
    </row>
    <row r="41" spans="1:4" x14ac:dyDescent="0.25">
      <c r="A41" s="230" t="s">
        <v>640</v>
      </c>
      <c r="B41" s="188" t="s">
        <v>641</v>
      </c>
      <c r="C41" s="252">
        <v>222</v>
      </c>
      <c r="D41" s="253">
        <v>66.7</v>
      </c>
    </row>
    <row r="42" spans="1:4" x14ac:dyDescent="0.25">
      <c r="A42" s="230" t="s">
        <v>802</v>
      </c>
      <c r="B42" s="188" t="s">
        <v>803</v>
      </c>
      <c r="C42" s="252"/>
      <c r="D42" s="253"/>
    </row>
    <row r="43" spans="1:4" x14ac:dyDescent="0.25">
      <c r="A43" s="230" t="s">
        <v>804</v>
      </c>
      <c r="B43" s="188" t="s">
        <v>805</v>
      </c>
      <c r="C43" s="252"/>
      <c r="D43" s="253"/>
    </row>
    <row r="44" spans="1:4" x14ac:dyDescent="0.25">
      <c r="A44" s="230" t="s">
        <v>806</v>
      </c>
      <c r="B44" s="188" t="s">
        <v>807</v>
      </c>
      <c r="C44" s="252"/>
      <c r="D44" s="253"/>
    </row>
    <row r="45" spans="1:4" x14ac:dyDescent="0.25">
      <c r="A45" s="230" t="s">
        <v>808</v>
      </c>
      <c r="B45" s="188" t="s">
        <v>809</v>
      </c>
      <c r="C45" s="252"/>
      <c r="D45" s="253"/>
    </row>
    <row r="46" spans="1:4" x14ac:dyDescent="0.25">
      <c r="A46" s="230" t="s">
        <v>810</v>
      </c>
      <c r="B46" s="188" t="s">
        <v>811</v>
      </c>
      <c r="C46" s="252"/>
      <c r="D46" s="253"/>
    </row>
    <row r="47" spans="1:4" x14ac:dyDescent="0.25">
      <c r="A47" s="230" t="s">
        <v>812</v>
      </c>
      <c r="B47" s="188" t="s">
        <v>813</v>
      </c>
      <c r="C47" s="252"/>
      <c r="D47" s="253"/>
    </row>
    <row r="48" spans="1:4" x14ac:dyDescent="0.25">
      <c r="A48" s="230" t="s">
        <v>814</v>
      </c>
      <c r="B48" s="188" t="s">
        <v>815</v>
      </c>
      <c r="C48" s="252"/>
      <c r="D48" s="253"/>
    </row>
    <row r="49" spans="1:4" x14ac:dyDescent="0.25">
      <c r="A49" s="230" t="s">
        <v>816</v>
      </c>
      <c r="B49" s="188" t="s">
        <v>817</v>
      </c>
      <c r="C49" s="252"/>
      <c r="D49" s="253"/>
    </row>
    <row r="50" spans="1:4" x14ac:dyDescent="0.25">
      <c r="A50" s="230" t="s">
        <v>818</v>
      </c>
      <c r="B50" s="188" t="s">
        <v>819</v>
      </c>
      <c r="C50" s="252"/>
      <c r="D50" s="253"/>
    </row>
    <row r="51" spans="1:4" x14ac:dyDescent="0.25">
      <c r="A51" s="230" t="s">
        <v>820</v>
      </c>
      <c r="B51" s="188" t="s">
        <v>821</v>
      </c>
      <c r="C51" s="252"/>
      <c r="D51" s="253"/>
    </row>
    <row r="52" spans="1:4" x14ac:dyDescent="0.25">
      <c r="A52" s="230" t="s">
        <v>822</v>
      </c>
      <c r="B52" s="188" t="s">
        <v>823</v>
      </c>
      <c r="C52" s="252"/>
      <c r="D52" s="253"/>
    </row>
    <row r="53" spans="1:4" x14ac:dyDescent="0.25">
      <c r="A53" s="230" t="s">
        <v>824</v>
      </c>
      <c r="B53" s="188" t="s">
        <v>825</v>
      </c>
      <c r="C53" s="252"/>
      <c r="D53" s="253"/>
    </row>
    <row r="54" spans="1:4" x14ac:dyDescent="0.25">
      <c r="A54" s="230" t="s">
        <v>826</v>
      </c>
      <c r="B54" s="188" t="s">
        <v>827</v>
      </c>
      <c r="C54" s="252"/>
      <c r="D54" s="253"/>
    </row>
    <row r="55" spans="1:4" x14ac:dyDescent="0.25">
      <c r="A55" s="230" t="s">
        <v>828</v>
      </c>
      <c r="B55" s="188" t="s">
        <v>829</v>
      </c>
      <c r="C55" s="252"/>
      <c r="D55" s="253"/>
    </row>
    <row r="56" spans="1:4" x14ac:dyDescent="0.25">
      <c r="A56" s="230" t="s">
        <v>830</v>
      </c>
      <c r="B56" s="188" t="s">
        <v>831</v>
      </c>
      <c r="C56" s="252"/>
      <c r="D56" s="253"/>
    </row>
    <row r="57" spans="1:4" x14ac:dyDescent="0.25">
      <c r="A57" s="230" t="s">
        <v>832</v>
      </c>
      <c r="B57" s="188" t="s">
        <v>833</v>
      </c>
      <c r="C57" s="252"/>
      <c r="D57" s="253"/>
    </row>
    <row r="58" spans="1:4" x14ac:dyDescent="0.25">
      <c r="A58" s="230" t="s">
        <v>648</v>
      </c>
      <c r="B58" s="188" t="s">
        <v>649</v>
      </c>
      <c r="C58" s="252">
        <v>67</v>
      </c>
      <c r="D58" s="253">
        <v>18</v>
      </c>
    </row>
    <row r="59" spans="1:4" x14ac:dyDescent="0.25">
      <c r="A59" s="230" t="s">
        <v>651</v>
      </c>
      <c r="B59" s="188" t="s">
        <v>652</v>
      </c>
      <c r="C59" s="252">
        <v>67</v>
      </c>
      <c r="D59" s="253">
        <v>16</v>
      </c>
    </row>
    <row r="60" spans="1:4" x14ac:dyDescent="0.25">
      <c r="A60" s="230" t="s">
        <v>654</v>
      </c>
      <c r="B60" s="188" t="s">
        <v>655</v>
      </c>
      <c r="C60" s="252">
        <v>67</v>
      </c>
      <c r="D60" s="253">
        <v>16</v>
      </c>
    </row>
    <row r="61" spans="1:4" x14ac:dyDescent="0.25">
      <c r="A61" s="230" t="s">
        <v>657</v>
      </c>
      <c r="B61" s="188" t="s">
        <v>658</v>
      </c>
      <c r="C61" s="252">
        <v>67</v>
      </c>
      <c r="D61" s="253">
        <v>16</v>
      </c>
    </row>
    <row r="62" spans="1:4" x14ac:dyDescent="0.25">
      <c r="A62" s="230" t="s">
        <v>660</v>
      </c>
      <c r="B62" s="188" t="s">
        <v>661</v>
      </c>
      <c r="C62" s="252">
        <v>89</v>
      </c>
      <c r="D62" s="253">
        <v>24</v>
      </c>
    </row>
    <row r="63" spans="1:4" x14ac:dyDescent="0.25">
      <c r="A63" s="230" t="s">
        <v>663</v>
      </c>
      <c r="B63" s="188" t="s">
        <v>664</v>
      </c>
      <c r="C63" s="252">
        <v>89</v>
      </c>
      <c r="D63" s="253">
        <v>24</v>
      </c>
    </row>
    <row r="64" spans="1:4" x14ac:dyDescent="0.25">
      <c r="A64" s="230" t="s">
        <v>666</v>
      </c>
      <c r="B64" s="188" t="s">
        <v>668</v>
      </c>
      <c r="C64" s="252">
        <v>100</v>
      </c>
      <c r="D64" s="253">
        <v>24</v>
      </c>
    </row>
    <row r="65" spans="1:4" x14ac:dyDescent="0.25">
      <c r="A65" s="230" t="s">
        <v>670</v>
      </c>
      <c r="B65" s="188" t="s">
        <v>671</v>
      </c>
      <c r="C65" s="252">
        <v>100</v>
      </c>
      <c r="D65" s="253">
        <v>28</v>
      </c>
    </row>
    <row r="66" spans="1:4" x14ac:dyDescent="0.25">
      <c r="A66" s="230" t="s">
        <v>673</v>
      </c>
      <c r="B66" s="188" t="s">
        <v>674</v>
      </c>
      <c r="C66" s="252">
        <v>78</v>
      </c>
      <c r="D66" s="253">
        <v>18</v>
      </c>
    </row>
    <row r="67" spans="1:4" x14ac:dyDescent="0.25">
      <c r="A67" s="230" t="s">
        <v>675</v>
      </c>
      <c r="B67" s="188" t="s">
        <v>676</v>
      </c>
      <c r="C67" s="252">
        <v>78</v>
      </c>
      <c r="D67" s="253">
        <v>18</v>
      </c>
    </row>
    <row r="68" spans="1:4" x14ac:dyDescent="0.25">
      <c r="A68" s="230" t="s">
        <v>677</v>
      </c>
      <c r="B68" s="188" t="s">
        <v>678</v>
      </c>
      <c r="C68" s="252">
        <v>78</v>
      </c>
      <c r="D68" s="253">
        <v>18</v>
      </c>
    </row>
    <row r="69" spans="1:4" x14ac:dyDescent="0.25">
      <c r="A69" s="230" t="s">
        <v>679</v>
      </c>
      <c r="B69" s="188" t="s">
        <v>680</v>
      </c>
      <c r="C69" s="252">
        <v>78</v>
      </c>
      <c r="D69" s="253">
        <v>18</v>
      </c>
    </row>
    <row r="70" spans="1:4" x14ac:dyDescent="0.25">
      <c r="A70" s="230" t="s">
        <v>681</v>
      </c>
      <c r="B70" s="188" t="s">
        <v>682</v>
      </c>
      <c r="C70" s="252">
        <v>101</v>
      </c>
      <c r="D70" s="253">
        <v>26</v>
      </c>
    </row>
    <row r="71" spans="1:4" x14ac:dyDescent="0.25">
      <c r="A71" s="230" t="s">
        <v>683</v>
      </c>
      <c r="B71" s="188" t="s">
        <v>684</v>
      </c>
      <c r="C71" s="252">
        <v>103</v>
      </c>
      <c r="D71" s="253">
        <v>26</v>
      </c>
    </row>
    <row r="72" spans="1:4" x14ac:dyDescent="0.25">
      <c r="A72" s="230" t="s">
        <v>685</v>
      </c>
      <c r="B72" s="188" t="s">
        <v>686</v>
      </c>
      <c r="C72" s="252">
        <v>116</v>
      </c>
      <c r="D72" s="253">
        <v>28</v>
      </c>
    </row>
    <row r="73" spans="1:4" x14ac:dyDescent="0.25">
      <c r="A73" s="230" t="s">
        <v>687</v>
      </c>
      <c r="B73" s="188" t="s">
        <v>688</v>
      </c>
      <c r="C73" s="252">
        <v>116</v>
      </c>
      <c r="D73" s="253">
        <v>34</v>
      </c>
    </row>
    <row r="74" spans="1:4" x14ac:dyDescent="0.25">
      <c r="A74" s="230" t="s">
        <v>689</v>
      </c>
      <c r="B74" s="188" t="s">
        <v>690</v>
      </c>
      <c r="C74" s="252">
        <v>86</v>
      </c>
      <c r="D74" s="253">
        <v>20</v>
      </c>
    </row>
    <row r="75" spans="1:4" x14ac:dyDescent="0.25">
      <c r="A75" s="230" t="s">
        <v>691</v>
      </c>
      <c r="B75" s="188" t="s">
        <v>692</v>
      </c>
      <c r="C75" s="252">
        <v>86</v>
      </c>
      <c r="D75" s="253">
        <v>20</v>
      </c>
    </row>
    <row r="76" spans="1:4" x14ac:dyDescent="0.25">
      <c r="A76" s="230" t="s">
        <v>693</v>
      </c>
      <c r="B76" s="188" t="s">
        <v>694</v>
      </c>
      <c r="C76" s="252">
        <v>86</v>
      </c>
      <c r="D76" s="253">
        <v>20</v>
      </c>
    </row>
    <row r="77" spans="1:4" x14ac:dyDescent="0.25">
      <c r="A77" s="230" t="s">
        <v>695</v>
      </c>
      <c r="B77" s="188" t="s">
        <v>696</v>
      </c>
      <c r="C77" s="252">
        <v>86</v>
      </c>
      <c r="D77" s="253">
        <v>20</v>
      </c>
    </row>
    <row r="78" spans="1:4" x14ac:dyDescent="0.25">
      <c r="A78" s="230" t="s">
        <v>697</v>
      </c>
      <c r="B78" s="188" t="s">
        <v>698</v>
      </c>
      <c r="C78" s="252">
        <v>108</v>
      </c>
      <c r="D78" s="253">
        <v>26</v>
      </c>
    </row>
    <row r="79" spans="1:4" x14ac:dyDescent="0.25">
      <c r="A79" s="230" t="s">
        <v>699</v>
      </c>
      <c r="B79" s="188" t="s">
        <v>700</v>
      </c>
      <c r="C79" s="252">
        <v>111</v>
      </c>
      <c r="D79" s="253">
        <v>28</v>
      </c>
    </row>
    <row r="80" spans="1:4" x14ac:dyDescent="0.25">
      <c r="A80" s="230" t="s">
        <v>701</v>
      </c>
      <c r="B80" s="188" t="s">
        <v>702</v>
      </c>
      <c r="C80" s="252">
        <v>140</v>
      </c>
      <c r="D80" s="253">
        <v>30</v>
      </c>
    </row>
    <row r="81" spans="1:7" x14ac:dyDescent="0.25">
      <c r="A81" s="230" t="s">
        <v>703</v>
      </c>
      <c r="B81" s="188" t="s">
        <v>704</v>
      </c>
      <c r="C81" s="252">
        <v>140</v>
      </c>
      <c r="D81" s="253">
        <v>38</v>
      </c>
    </row>
    <row r="82" spans="1:7" x14ac:dyDescent="0.25">
      <c r="A82" s="230" t="s">
        <v>705</v>
      </c>
      <c r="B82" s="188" t="s">
        <v>706</v>
      </c>
      <c r="C82" s="252">
        <v>98</v>
      </c>
      <c r="D82" s="253">
        <v>20</v>
      </c>
    </row>
    <row r="83" spans="1:7" x14ac:dyDescent="0.25">
      <c r="A83" s="230" t="s">
        <v>707</v>
      </c>
      <c r="B83" s="188" t="s">
        <v>708</v>
      </c>
      <c r="C83" s="252">
        <v>98</v>
      </c>
      <c r="D83" s="253">
        <v>20</v>
      </c>
    </row>
    <row r="84" spans="1:7" x14ac:dyDescent="0.25">
      <c r="A84" s="230" t="s">
        <v>709</v>
      </c>
      <c r="B84" s="188" t="s">
        <v>710</v>
      </c>
      <c r="C84" s="252">
        <v>98</v>
      </c>
      <c r="D84" s="253">
        <v>24</v>
      </c>
    </row>
    <row r="85" spans="1:7" x14ac:dyDescent="0.25">
      <c r="A85" s="230" t="s">
        <v>711</v>
      </c>
      <c r="B85" s="188" t="s">
        <v>712</v>
      </c>
      <c r="C85" s="252">
        <v>106</v>
      </c>
      <c r="D85" s="253">
        <v>24</v>
      </c>
    </row>
    <row r="86" spans="1:7" x14ac:dyDescent="0.25">
      <c r="A86" s="230" t="s">
        <v>713</v>
      </c>
      <c r="B86" s="188" t="s">
        <v>714</v>
      </c>
      <c r="C86" s="252">
        <v>127</v>
      </c>
      <c r="D86" s="253">
        <v>30</v>
      </c>
    </row>
    <row r="87" spans="1:7" x14ac:dyDescent="0.25">
      <c r="A87" s="230" t="s">
        <v>715</v>
      </c>
      <c r="B87" s="188" t="s">
        <v>716</v>
      </c>
      <c r="C87" s="252">
        <v>131</v>
      </c>
      <c r="D87" s="253">
        <v>34</v>
      </c>
    </row>
    <row r="88" spans="1:7" x14ac:dyDescent="0.25">
      <c r="A88" s="230" t="s">
        <v>717</v>
      </c>
      <c r="B88" s="188" t="s">
        <v>718</v>
      </c>
      <c r="C88" s="252">
        <v>150</v>
      </c>
      <c r="D88" s="253">
        <v>36</v>
      </c>
    </row>
    <row r="89" spans="1:7" x14ac:dyDescent="0.25">
      <c r="A89" s="230" t="s">
        <v>719</v>
      </c>
      <c r="B89" s="188" t="s">
        <v>720</v>
      </c>
      <c r="C89" s="252">
        <v>165</v>
      </c>
      <c r="D89" s="253">
        <v>46</v>
      </c>
    </row>
    <row r="90" spans="1:7" x14ac:dyDescent="0.25">
      <c r="A90" s="230" t="s">
        <v>642</v>
      </c>
      <c r="B90" s="188" t="s">
        <v>224</v>
      </c>
      <c r="C90" s="252">
        <v>125.4</v>
      </c>
      <c r="D90" s="253">
        <v>23.9</v>
      </c>
    </row>
    <row r="91" spans="1:7" x14ac:dyDescent="0.25">
      <c r="A91" s="230" t="s">
        <v>643</v>
      </c>
      <c r="B91" s="188" t="s">
        <v>644</v>
      </c>
      <c r="C91" s="252">
        <v>134.80000000000001</v>
      </c>
      <c r="D91" s="253">
        <v>30.2</v>
      </c>
    </row>
    <row r="92" spans="1:7" x14ac:dyDescent="0.25">
      <c r="A92" s="230" t="s">
        <v>645</v>
      </c>
      <c r="B92" s="188" t="s">
        <v>226</v>
      </c>
      <c r="C92" s="252">
        <v>147.30000000000001</v>
      </c>
      <c r="D92" s="253">
        <v>25.4</v>
      </c>
    </row>
    <row r="93" spans="1:7" x14ac:dyDescent="0.25">
      <c r="A93" s="230" t="s">
        <v>646</v>
      </c>
      <c r="B93" s="188" t="s">
        <v>647</v>
      </c>
      <c r="C93" s="252">
        <v>157.30000000000001</v>
      </c>
      <c r="D93" s="253">
        <v>35</v>
      </c>
    </row>
    <row r="94" spans="1:7" x14ac:dyDescent="0.25">
      <c r="A94" s="230"/>
      <c r="B94" s="230"/>
      <c r="C94" s="232"/>
      <c r="D94" s="232"/>
      <c r="E94" s="188"/>
      <c r="F94" s="190"/>
    </row>
    <row r="95" spans="1:7" x14ac:dyDescent="0.25">
      <c r="A95" s="230"/>
      <c r="B95" s="230"/>
      <c r="C95" s="230"/>
      <c r="D95" s="230"/>
      <c r="E95" s="169"/>
    </row>
    <row r="96" spans="1:7" x14ac:dyDescent="0.25">
      <c r="A96" s="230" t="s">
        <v>834</v>
      </c>
      <c r="B96" s="241" t="s">
        <v>887</v>
      </c>
      <c r="C96" s="214" t="s">
        <v>519</v>
      </c>
      <c r="D96" s="214" t="s">
        <v>835</v>
      </c>
      <c r="E96"/>
      <c r="G96" s="169"/>
    </row>
    <row r="97" spans="1:7" x14ac:dyDescent="0.25">
      <c r="A97" s="231" t="s">
        <v>259</v>
      </c>
      <c r="B97" s="243" t="s">
        <v>905</v>
      </c>
      <c r="C97" s="200" t="s">
        <v>260</v>
      </c>
      <c r="D97" s="200">
        <v>0</v>
      </c>
      <c r="E97"/>
      <c r="G97" s="169"/>
    </row>
    <row r="98" spans="1:7" x14ac:dyDescent="0.25">
      <c r="A98" s="230" t="s">
        <v>837</v>
      </c>
      <c r="B98" s="243" t="s">
        <v>929</v>
      </c>
      <c r="C98" s="200" t="s">
        <v>216</v>
      </c>
      <c r="D98" s="200">
        <v>165</v>
      </c>
      <c r="E98"/>
      <c r="G98" s="169"/>
    </row>
    <row r="99" spans="1:7" x14ac:dyDescent="0.25">
      <c r="A99" s="230" t="s">
        <v>837</v>
      </c>
      <c r="B99" s="243" t="s">
        <v>930</v>
      </c>
      <c r="C99" s="200" t="s">
        <v>611</v>
      </c>
      <c r="D99" s="200">
        <v>191</v>
      </c>
      <c r="E99"/>
      <c r="G99" s="169"/>
    </row>
    <row r="100" spans="1:7" x14ac:dyDescent="0.25">
      <c r="A100" s="230" t="s">
        <v>837</v>
      </c>
      <c r="B100" s="243" t="s">
        <v>931</v>
      </c>
      <c r="C100" s="200" t="s">
        <v>613</v>
      </c>
      <c r="D100" s="200">
        <v>241</v>
      </c>
      <c r="E100"/>
      <c r="G100" s="169"/>
    </row>
    <row r="101" spans="1:7" x14ac:dyDescent="0.25">
      <c r="A101" s="230" t="s">
        <v>837</v>
      </c>
      <c r="B101" s="243" t="s">
        <v>932</v>
      </c>
      <c r="C101" s="200" t="s">
        <v>617</v>
      </c>
      <c r="D101" s="200">
        <v>305</v>
      </c>
      <c r="E101"/>
      <c r="G101" s="169"/>
    </row>
    <row r="102" spans="1:7" x14ac:dyDescent="0.25">
      <c r="A102" s="230" t="s">
        <v>838</v>
      </c>
      <c r="B102" s="243" t="s">
        <v>933</v>
      </c>
      <c r="C102" s="200" t="s">
        <v>220</v>
      </c>
      <c r="D102" s="200">
        <v>178</v>
      </c>
      <c r="E102"/>
      <c r="G102" s="169"/>
    </row>
    <row r="103" spans="1:7" x14ac:dyDescent="0.25">
      <c r="A103" s="230" t="s">
        <v>838</v>
      </c>
      <c r="B103" s="243" t="s">
        <v>934</v>
      </c>
      <c r="C103" s="200" t="s">
        <v>622</v>
      </c>
      <c r="D103" s="200">
        <v>216</v>
      </c>
      <c r="E103"/>
      <c r="G103" s="169"/>
    </row>
    <row r="104" spans="1:7" x14ac:dyDescent="0.25">
      <c r="A104" s="230" t="s">
        <v>838</v>
      </c>
      <c r="B104" s="243" t="s">
        <v>935</v>
      </c>
      <c r="C104" s="200" t="s">
        <v>624</v>
      </c>
      <c r="D104" s="200">
        <v>292</v>
      </c>
      <c r="E104"/>
      <c r="G104" s="169"/>
    </row>
    <row r="105" spans="1:7" x14ac:dyDescent="0.25">
      <c r="A105" s="230" t="s">
        <v>838</v>
      </c>
      <c r="B105" s="243" t="s">
        <v>936</v>
      </c>
      <c r="C105" s="200" t="s">
        <v>628</v>
      </c>
      <c r="D105" s="200">
        <v>368</v>
      </c>
      <c r="E105"/>
      <c r="G105" s="169"/>
    </row>
    <row r="106" spans="1:7" x14ac:dyDescent="0.25">
      <c r="A106" s="230" t="s">
        <v>839</v>
      </c>
      <c r="B106" s="243" t="s">
        <v>937</v>
      </c>
      <c r="C106" s="200" t="s">
        <v>222</v>
      </c>
      <c r="D106" s="200">
        <v>203</v>
      </c>
      <c r="E106"/>
      <c r="G106" s="169"/>
    </row>
    <row r="107" spans="1:7" x14ac:dyDescent="0.25">
      <c r="A107" s="230" t="s">
        <v>839</v>
      </c>
      <c r="B107" s="243" t="s">
        <v>938</v>
      </c>
      <c r="C107" s="200" t="s">
        <v>633</v>
      </c>
      <c r="D107" s="200">
        <v>283</v>
      </c>
      <c r="E107"/>
      <c r="G107" s="169"/>
    </row>
    <row r="108" spans="1:7" x14ac:dyDescent="0.25">
      <c r="A108" s="230" t="s">
        <v>839</v>
      </c>
      <c r="B108" s="243" t="s">
        <v>939</v>
      </c>
      <c r="C108" s="200" t="s">
        <v>635</v>
      </c>
      <c r="D108" s="200">
        <v>355</v>
      </c>
      <c r="E108"/>
      <c r="G108" s="169"/>
    </row>
    <row r="109" spans="1:7" x14ac:dyDescent="0.25">
      <c r="A109" s="230" t="s">
        <v>839</v>
      </c>
      <c r="B109" s="243" t="s">
        <v>940</v>
      </c>
      <c r="C109" s="200" t="s">
        <v>639</v>
      </c>
      <c r="D109" s="200">
        <v>381</v>
      </c>
      <c r="E109"/>
      <c r="G109" s="169"/>
    </row>
    <row r="110" spans="1:7" x14ac:dyDescent="0.25">
      <c r="A110" s="230" t="s">
        <v>840</v>
      </c>
      <c r="B110" s="243" t="s">
        <v>942</v>
      </c>
      <c r="C110" s="200" t="s">
        <v>944</v>
      </c>
      <c r="D110" s="188">
        <v>180</v>
      </c>
      <c r="E110"/>
      <c r="G110" s="169"/>
    </row>
    <row r="111" spans="1:7" x14ac:dyDescent="0.25">
      <c r="A111" s="230" t="s">
        <v>841</v>
      </c>
      <c r="B111" s="243" t="s">
        <v>941</v>
      </c>
      <c r="C111" s="200" t="s">
        <v>945</v>
      </c>
      <c r="D111" s="188">
        <v>180</v>
      </c>
      <c r="E111"/>
      <c r="G111" s="169"/>
    </row>
    <row r="112" spans="1:7" x14ac:dyDescent="0.25">
      <c r="A112" s="230" t="s">
        <v>842</v>
      </c>
      <c r="B112" s="243" t="s">
        <v>943</v>
      </c>
      <c r="C112" s="200" t="s">
        <v>843</v>
      </c>
      <c r="D112" s="200">
        <v>0</v>
      </c>
      <c r="E112"/>
      <c r="F112"/>
      <c r="G112" s="169"/>
    </row>
    <row r="113" spans="1:8" x14ac:dyDescent="0.25">
      <c r="A113" s="230" t="s">
        <v>836</v>
      </c>
      <c r="B113" s="230"/>
      <c r="C113" s="231"/>
      <c r="D113" s="231"/>
      <c r="E113" s="201"/>
      <c r="F113" s="200"/>
    </row>
    <row r="114" spans="1:8" x14ac:dyDescent="0.25">
      <c r="A114" s="230"/>
      <c r="B114" s="230"/>
      <c r="C114" s="231"/>
      <c r="D114" s="231"/>
      <c r="E114" s="201"/>
      <c r="F114" s="200"/>
    </row>
    <row r="115" spans="1:8" x14ac:dyDescent="0.25">
      <c r="A115" s="230"/>
      <c r="B115" s="230"/>
      <c r="C115" s="230"/>
      <c r="D115" s="230"/>
      <c r="E115" s="169"/>
    </row>
    <row r="116" spans="1:8" x14ac:dyDescent="0.25">
      <c r="A116" s="230"/>
      <c r="B116" s="230"/>
      <c r="C116" s="230"/>
      <c r="D116" s="230"/>
      <c r="E116" s="169"/>
    </row>
    <row r="117" spans="1:8" x14ac:dyDescent="0.25">
      <c r="A117" s="230" t="s">
        <v>898</v>
      </c>
      <c r="B117" s="241" t="s">
        <v>887</v>
      </c>
      <c r="C117" s="230" t="s">
        <v>845</v>
      </c>
      <c r="D117" s="199" t="s">
        <v>853</v>
      </c>
      <c r="E117" s="199" t="s">
        <v>835</v>
      </c>
      <c r="F117"/>
    </row>
    <row r="118" spans="1:8" x14ac:dyDescent="0.25">
      <c r="A118" s="230" t="s">
        <v>846</v>
      </c>
      <c r="B118" s="242" t="s">
        <v>1022</v>
      </c>
      <c r="C118" s="230" t="s">
        <v>836</v>
      </c>
      <c r="D118" s="200" t="s">
        <v>260</v>
      </c>
      <c r="E118" s="95">
        <v>0</v>
      </c>
      <c r="F118" s="186">
        <v>0</v>
      </c>
    </row>
    <row r="119" spans="1:8" x14ac:dyDescent="0.25">
      <c r="A119" s="230" t="s">
        <v>847</v>
      </c>
      <c r="B119" s="242" t="s">
        <v>1023</v>
      </c>
      <c r="C119" s="230" t="s">
        <v>836</v>
      </c>
      <c r="D119" s="188" t="s">
        <v>533</v>
      </c>
      <c r="E119" s="95">
        <f>VLOOKUP('TB MIS Sheet'!B17,'TB Model Data'!A14:D48,4,0)</f>
        <v>60</v>
      </c>
      <c r="F119" s="186">
        <v>0</v>
      </c>
    </row>
    <row r="120" spans="1:8" x14ac:dyDescent="0.25">
      <c r="A120" s="230" t="s">
        <v>847</v>
      </c>
      <c r="B120" s="242" t="s">
        <v>948</v>
      </c>
      <c r="C120" s="230" t="s">
        <v>848</v>
      </c>
      <c r="D120" s="188" t="s">
        <v>855</v>
      </c>
      <c r="E120" s="95">
        <f>IF(VLOOKUP('TB MIS Sheet'!B17,'TB Model Data'!A14:D47,4,0)=60,TB_FS-40,TB_FS-20)+F120</f>
        <v>88.5</v>
      </c>
      <c r="F120" s="186">
        <f>TB_GT</f>
        <v>1.5</v>
      </c>
    </row>
    <row r="121" spans="1:8" x14ac:dyDescent="0.25">
      <c r="A121" s="230" t="s">
        <v>847</v>
      </c>
      <c r="B121" s="242" t="s">
        <v>949</v>
      </c>
      <c r="C121" s="230" t="s">
        <v>849</v>
      </c>
      <c r="D121" s="188" t="s">
        <v>856</v>
      </c>
      <c r="E121" s="95">
        <f>TB_FS+VLOOKUP('TB MIS Sheet'!B17,'TB Model Data'!A14:D48,4,0)+TB_FLANGET+F121</f>
        <v>215.5</v>
      </c>
      <c r="F121" s="186">
        <f>TB_GT</f>
        <v>1.5</v>
      </c>
    </row>
    <row r="122" spans="1:8" x14ac:dyDescent="0.25">
      <c r="A122"/>
      <c r="B122"/>
      <c r="C122"/>
      <c r="D122"/>
      <c r="E122"/>
      <c r="F122"/>
      <c r="H122" s="27"/>
    </row>
    <row r="123" spans="1:8" x14ac:dyDescent="0.25">
      <c r="A123" s="230"/>
      <c r="B123" s="230"/>
      <c r="C123" s="230"/>
      <c r="D123" s="230"/>
    </row>
    <row r="124" spans="1:8" x14ac:dyDescent="0.25">
      <c r="A124" s="230" t="s">
        <v>899</v>
      </c>
      <c r="B124" s="230"/>
      <c r="C124" s="230"/>
      <c r="D124" s="230"/>
    </row>
    <row r="125" spans="1:8" x14ac:dyDescent="0.25">
      <c r="A125" s="230" t="s">
        <v>844</v>
      </c>
      <c r="B125"/>
      <c r="D125" s="230" t="s">
        <v>845</v>
      </c>
      <c r="E125" s="187" t="s">
        <v>49</v>
      </c>
      <c r="F125"/>
      <c r="G125" s="169"/>
    </row>
    <row r="126" spans="1:8" x14ac:dyDescent="0.25">
      <c r="A126" s="230" t="s">
        <v>850</v>
      </c>
      <c r="B126" s="222" t="s">
        <v>908</v>
      </c>
      <c r="C126"/>
      <c r="D126" s="230"/>
      <c r="E126" s="95" t="s">
        <v>260</v>
      </c>
      <c r="F126" s="215">
        <v>0</v>
      </c>
      <c r="G126" s="169"/>
    </row>
    <row r="127" spans="1:8" x14ac:dyDescent="0.25">
      <c r="A127" s="230" t="s">
        <v>851</v>
      </c>
      <c r="B127" s="242" t="s">
        <v>951</v>
      </c>
      <c r="C127"/>
      <c r="D127" s="230" t="s">
        <v>238</v>
      </c>
      <c r="E127" s="216" t="s">
        <v>238</v>
      </c>
      <c r="F127" s="215">
        <v>1.5</v>
      </c>
      <c r="G127" s="169"/>
    </row>
    <row r="128" spans="1:8" x14ac:dyDescent="0.25">
      <c r="A128" s="230" t="s">
        <v>851</v>
      </c>
      <c r="B128" s="242" t="s">
        <v>952</v>
      </c>
      <c r="C128"/>
      <c r="D128" s="230" t="s">
        <v>242</v>
      </c>
      <c r="E128" s="216" t="s">
        <v>242</v>
      </c>
      <c r="F128" s="215">
        <v>4.5</v>
      </c>
      <c r="G128" s="169"/>
    </row>
    <row r="129" spans="1:7" x14ac:dyDescent="0.25">
      <c r="A129" s="230" t="s">
        <v>851</v>
      </c>
      <c r="B129" s="242" t="s">
        <v>953</v>
      </c>
      <c r="C129"/>
      <c r="D129" s="230"/>
      <c r="E129" s="216" t="s">
        <v>852</v>
      </c>
      <c r="F129" s="215">
        <v>8.5</v>
      </c>
      <c r="G129" s="169"/>
    </row>
    <row r="130" spans="1:7" x14ac:dyDescent="0.25">
      <c r="A130" s="230" t="s">
        <v>851</v>
      </c>
      <c r="B130"/>
      <c r="C130"/>
      <c r="D130" s="230" t="s">
        <v>848</v>
      </c>
      <c r="E130" s="30" t="s">
        <v>928</v>
      </c>
      <c r="F130" s="217">
        <f>VLOOKUP('TB MIS Sheet'!B24,'TB Calculation Data'!D118:F121,3,0)</f>
        <v>0</v>
      </c>
      <c r="G130" s="169"/>
    </row>
    <row r="132" spans="1:7" x14ac:dyDescent="0.25">
      <c r="E132" s="75"/>
      <c r="F132" s="75"/>
    </row>
    <row r="133" spans="1:7" x14ac:dyDescent="0.25">
      <c r="A133" s="230" t="s">
        <v>900</v>
      </c>
      <c r="B133" s="230"/>
      <c r="C133" s="41" t="s">
        <v>522</v>
      </c>
      <c r="D133" s="77"/>
      <c r="E133"/>
      <c r="G133" s="169"/>
    </row>
    <row r="134" spans="1:7" x14ac:dyDescent="0.25">
      <c r="A134" s="230" t="s">
        <v>854</v>
      </c>
      <c r="B134" s="242" t="s">
        <v>906</v>
      </c>
      <c r="C134" s="41" t="s">
        <v>52</v>
      </c>
      <c r="D134" s="77">
        <v>100</v>
      </c>
      <c r="E134"/>
      <c r="G134" s="169"/>
    </row>
    <row r="135" spans="1:7" x14ac:dyDescent="0.25">
      <c r="B135"/>
      <c r="C135" s="41" t="s">
        <v>204</v>
      </c>
      <c r="D135" s="77">
        <v>0</v>
      </c>
      <c r="E135"/>
      <c r="G135" s="169"/>
    </row>
    <row r="136" spans="1:7" x14ac:dyDescent="0.25">
      <c r="B136"/>
      <c r="C136" s="41"/>
      <c r="D136" s="77"/>
      <c r="E136"/>
      <c r="G136" s="169"/>
    </row>
    <row r="137" spans="1:7" x14ac:dyDescent="0.25">
      <c r="A137" s="230" t="s">
        <v>962</v>
      </c>
      <c r="B137" s="230"/>
      <c r="C137" s="41" t="s">
        <v>961</v>
      </c>
      <c r="D137" s="77"/>
      <c r="E137"/>
      <c r="G137" s="169"/>
    </row>
    <row r="138" spans="1:7" x14ac:dyDescent="0.25">
      <c r="A138" s="230" t="s">
        <v>964</v>
      </c>
      <c r="B138" s="242" t="s">
        <v>963</v>
      </c>
      <c r="C138" s="41" t="s">
        <v>52</v>
      </c>
      <c r="D138" s="77">
        <v>168</v>
      </c>
      <c r="E138"/>
      <c r="G138" s="169"/>
    </row>
    <row r="139" spans="1:7" x14ac:dyDescent="0.25">
      <c r="B139"/>
      <c r="C139" s="41" t="s">
        <v>204</v>
      </c>
      <c r="D139" s="77">
        <v>0</v>
      </c>
      <c r="E139"/>
      <c r="G139" s="169"/>
    </row>
    <row r="140" spans="1:7" x14ac:dyDescent="0.25">
      <c r="B140"/>
      <c r="C140" s="41"/>
      <c r="D140" s="77"/>
      <c r="E140"/>
      <c r="G140" s="169"/>
    </row>
    <row r="141" spans="1:7" x14ac:dyDescent="0.25">
      <c r="A141" s="230" t="s">
        <v>955</v>
      </c>
      <c r="B141" s="230"/>
      <c r="C141" s="41" t="s">
        <v>958</v>
      </c>
      <c r="D141" s="169"/>
      <c r="E141"/>
      <c r="G141" s="169"/>
    </row>
    <row r="142" spans="1:7" x14ac:dyDescent="0.25">
      <c r="A142" s="230" t="s">
        <v>956</v>
      </c>
      <c r="B142" s="242" t="s">
        <v>957</v>
      </c>
      <c r="C142" s="41" t="s">
        <v>52</v>
      </c>
      <c r="D142" s="169"/>
      <c r="E142"/>
      <c r="G142" s="169"/>
    </row>
    <row r="143" spans="1:7" x14ac:dyDescent="0.25">
      <c r="B143"/>
      <c r="C143" s="41" t="s">
        <v>204</v>
      </c>
      <c r="D143" s="169"/>
      <c r="E143"/>
      <c r="G143" s="169"/>
    </row>
    <row r="144" spans="1:7" x14ac:dyDescent="0.25">
      <c r="B144"/>
      <c r="C144" s="41"/>
      <c r="D144" s="169"/>
      <c r="E144"/>
      <c r="G144" s="169"/>
    </row>
    <row r="145" spans="1:7" x14ac:dyDescent="0.25">
      <c r="A145" s="230" t="s">
        <v>1006</v>
      </c>
      <c r="B145"/>
      <c r="C145" s="41"/>
      <c r="D145" s="169"/>
      <c r="E145"/>
      <c r="G145" s="169"/>
    </row>
    <row r="146" spans="1:7" x14ac:dyDescent="0.25">
      <c r="B146" s="242" t="s">
        <v>1007</v>
      </c>
      <c r="C146" s="41" t="s">
        <v>52</v>
      </c>
      <c r="D146" s="169">
        <v>100</v>
      </c>
      <c r="E146"/>
      <c r="G146" s="169"/>
    </row>
    <row r="147" spans="1:7" x14ac:dyDescent="0.25">
      <c r="B147" s="226"/>
      <c r="C147" s="41" t="s">
        <v>204</v>
      </c>
      <c r="D147" s="169">
        <v>0</v>
      </c>
      <c r="E147"/>
      <c r="G147" s="169"/>
    </row>
    <row r="148" spans="1:7" x14ac:dyDescent="0.25">
      <c r="B148"/>
      <c r="C148" s="41"/>
      <c r="D148" s="169"/>
      <c r="E148"/>
      <c r="G148" s="169"/>
    </row>
    <row r="149" spans="1:7" x14ac:dyDescent="0.25">
      <c r="C149" s="30" t="s">
        <v>163</v>
      </c>
      <c r="D149" s="30"/>
      <c r="E149"/>
      <c r="G149" s="169"/>
    </row>
    <row r="150" spans="1:7" x14ac:dyDescent="0.25">
      <c r="C150" s="206" t="s">
        <v>165</v>
      </c>
      <c r="D150" s="27">
        <f>AVERAGE(TB_D_Dim:TB_E_Dim)</f>
        <v>263.20000000000005</v>
      </c>
      <c r="E150"/>
      <c r="G150" s="169"/>
    </row>
    <row r="151" spans="1:7" x14ac:dyDescent="0.25">
      <c r="C151" s="206" t="s">
        <v>167</v>
      </c>
      <c r="D151" s="27">
        <f>AVERAGE(TB_G_Dim:TB_H_Dim)</f>
        <v>421.51044999999999</v>
      </c>
      <c r="E151"/>
      <c r="G151" s="169"/>
    </row>
    <row r="152" spans="1:7" x14ac:dyDescent="0.25">
      <c r="C152" s="206" t="s">
        <v>169</v>
      </c>
      <c r="D152" s="27" t="e">
        <f>AVERAGE(TB_N_Dim:TB_P_Dim)</f>
        <v>#DIV/0!</v>
      </c>
      <c r="E152"/>
      <c r="G152" s="169"/>
    </row>
    <row r="153" spans="1:7" x14ac:dyDescent="0.25">
      <c r="C153" s="206" t="s">
        <v>170</v>
      </c>
      <c r="D153" s="27">
        <f>VLOOKUP('TB MIS Sheet'!E17,'TB Calculation Data'!C150:D152,2,0)</f>
        <v>421.51044999999999</v>
      </c>
      <c r="E153"/>
      <c r="G153" s="169"/>
    </row>
    <row r="154" spans="1:7" x14ac:dyDescent="0.25">
      <c r="D154" s="169"/>
      <c r="E154"/>
      <c r="G154" s="169"/>
    </row>
    <row r="155" spans="1:7" x14ac:dyDescent="0.25">
      <c r="A155" s="230" t="s">
        <v>857</v>
      </c>
      <c r="B155" s="169"/>
      <c r="C155"/>
      <c r="D155" s="169"/>
      <c r="E155" s="241" t="s">
        <v>907</v>
      </c>
      <c r="G155" s="169"/>
    </row>
    <row r="156" spans="1:7" ht="12.75" x14ac:dyDescent="0.2">
      <c r="A156" s="202" t="s">
        <v>858</v>
      </c>
      <c r="B156" s="169" t="s">
        <v>204</v>
      </c>
      <c r="C156" s="218">
        <f>TB_CalcData_FS_Value*VLOOKUP(TB_CalcData_FS_Units,Length_Conversion,3,FALSE)</f>
        <v>127</v>
      </c>
      <c r="D156" s="169" t="s">
        <v>152</v>
      </c>
      <c r="E156" s="237">
        <v>127</v>
      </c>
      <c r="F156" s="238" t="s">
        <v>152</v>
      </c>
      <c r="G156" s="169"/>
    </row>
    <row r="157" spans="1:7" ht="12.75" x14ac:dyDescent="0.2">
      <c r="A157" s="202" t="s">
        <v>859</v>
      </c>
      <c r="B157" s="169" t="s">
        <v>204</v>
      </c>
      <c r="C157" s="218">
        <f>TB_CalcData_IsoValLen_Value*VLOOKUP(TB_CalcData_IsoValLen_Units,Length_Conversion,3,FALSE)</f>
        <v>0</v>
      </c>
      <c r="D157" s="169" t="s">
        <v>152</v>
      </c>
      <c r="E157" s="239"/>
      <c r="F157" s="240" t="s">
        <v>152</v>
      </c>
      <c r="G157" s="169"/>
    </row>
    <row r="158" spans="1:7" x14ac:dyDescent="0.25">
      <c r="A158"/>
      <c r="B158" t="s">
        <v>204</v>
      </c>
      <c r="C158"/>
      <c r="D158"/>
      <c r="E158"/>
      <c r="F158"/>
      <c r="G158" s="169"/>
    </row>
    <row r="159" spans="1:7" x14ac:dyDescent="0.25">
      <c r="A159"/>
      <c r="B159" t="s">
        <v>204</v>
      </c>
      <c r="C159"/>
      <c r="D159"/>
      <c r="E159"/>
      <c r="F159"/>
      <c r="G159" s="169"/>
    </row>
    <row r="160" spans="1:7" ht="12.75" x14ac:dyDescent="0.2">
      <c r="C160" s="169"/>
      <c r="D160" s="169"/>
      <c r="E160" s="169"/>
      <c r="G160" s="16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36"/>
  <sheetViews>
    <sheetView topLeftCell="A100" workbookViewId="0">
      <selection activeCell="A134" sqref="A134"/>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39" customFormat="1" x14ac:dyDescent="0.25">
      <c r="A1" s="139" t="s">
        <v>496</v>
      </c>
    </row>
    <row r="3" spans="1:3" x14ac:dyDescent="0.25">
      <c r="A3" s="141" t="s">
        <v>284</v>
      </c>
      <c r="B3" s="142" t="s">
        <v>285</v>
      </c>
      <c r="C3" s="142" t="s">
        <v>860</v>
      </c>
    </row>
    <row r="4" spans="1:3" x14ac:dyDescent="0.25">
      <c r="A4" s="75" t="s">
        <v>286</v>
      </c>
      <c r="B4" s="75">
        <v>1</v>
      </c>
      <c r="C4" s="75">
        <f>B4*1000</f>
        <v>1000</v>
      </c>
    </row>
    <row r="5" spans="1:3" x14ac:dyDescent="0.25">
      <c r="A5" s="75" t="s">
        <v>287</v>
      </c>
      <c r="B5" s="75">
        <v>0.01</v>
      </c>
      <c r="C5" s="75">
        <f t="shared" ref="C5:C8" si="0">B5*1000</f>
        <v>10</v>
      </c>
    </row>
    <row r="6" spans="1:3" x14ac:dyDescent="0.25">
      <c r="A6" s="75" t="s">
        <v>152</v>
      </c>
      <c r="B6" s="75">
        <v>1E-3</v>
      </c>
      <c r="C6" s="75">
        <f t="shared" si="0"/>
        <v>1</v>
      </c>
    </row>
    <row r="7" spans="1:3" x14ac:dyDescent="0.25">
      <c r="A7" s="75" t="s">
        <v>288</v>
      </c>
      <c r="B7" s="75">
        <v>2.5399999999999999E-2</v>
      </c>
      <c r="C7" s="75">
        <f t="shared" si="0"/>
        <v>25.4</v>
      </c>
    </row>
    <row r="8" spans="1:3" x14ac:dyDescent="0.25">
      <c r="A8" s="75" t="s">
        <v>289</v>
      </c>
      <c r="B8" s="75">
        <v>0.30480000000000002</v>
      </c>
      <c r="C8" s="75">
        <f t="shared" si="0"/>
        <v>304.8</v>
      </c>
    </row>
    <row r="10" spans="1:3" x14ac:dyDescent="0.25">
      <c r="A10" s="139" t="s">
        <v>9</v>
      </c>
      <c r="B10" s="139" t="s">
        <v>290</v>
      </c>
    </row>
    <row r="11" spans="1:3" x14ac:dyDescent="0.25">
      <c r="A11" t="s">
        <v>146</v>
      </c>
      <c r="B11">
        <f>TEMP_USER</f>
        <v>10</v>
      </c>
    </row>
    <row r="12" spans="1:3" x14ac:dyDescent="0.25">
      <c r="A12" t="s">
        <v>291</v>
      </c>
      <c r="B12">
        <f>(TEMP_USER-32)*5/9</f>
        <v>-12.222222222222221</v>
      </c>
    </row>
    <row r="13" spans="1:3" x14ac:dyDescent="0.25">
      <c r="A13" t="s">
        <v>292</v>
      </c>
      <c r="B13">
        <f>TEMP_USER-273.15</f>
        <v>-263.14999999999998</v>
      </c>
    </row>
    <row r="14" spans="1:3" x14ac:dyDescent="0.25">
      <c r="A14" t="s">
        <v>62</v>
      </c>
      <c r="B14">
        <f>(TEMP_USER*5/9)-273.15</f>
        <v>-267.59444444444443</v>
      </c>
    </row>
    <row r="16" spans="1:3" x14ac:dyDescent="0.25">
      <c r="A16" s="139" t="s">
        <v>293</v>
      </c>
      <c r="B16" s="139" t="s">
        <v>294</v>
      </c>
      <c r="C16" s="139" t="s">
        <v>146</v>
      </c>
    </row>
    <row r="17" spans="1:3" x14ac:dyDescent="0.25">
      <c r="A17">
        <v>10</v>
      </c>
      <c r="B17" t="s">
        <v>146</v>
      </c>
      <c r="C17">
        <f>VLOOKUP(B17,A11:B14,2,FALSE)</f>
        <v>10</v>
      </c>
    </row>
    <row r="19" spans="1:3" x14ac:dyDescent="0.25">
      <c r="A19" s="139" t="s">
        <v>10</v>
      </c>
      <c r="B19" s="139" t="s">
        <v>295</v>
      </c>
      <c r="C19" s="139" t="s">
        <v>296</v>
      </c>
    </row>
    <row r="20" spans="1:3" x14ac:dyDescent="0.25">
      <c r="A20" t="s">
        <v>297</v>
      </c>
      <c r="B20" s="143">
        <v>1.0000000000000001E-5</v>
      </c>
      <c r="C20">
        <v>0</v>
      </c>
    </row>
    <row r="21" spans="1:3" x14ac:dyDescent="0.25">
      <c r="A21" t="s">
        <v>298</v>
      </c>
      <c r="B21" s="143">
        <v>1.0000000000000001E-5</v>
      </c>
      <c r="C21">
        <v>1.01325</v>
      </c>
    </row>
    <row r="22" spans="1:3" x14ac:dyDescent="0.25">
      <c r="A22" t="s">
        <v>299</v>
      </c>
      <c r="B22">
        <v>0.01</v>
      </c>
      <c r="C22">
        <v>0</v>
      </c>
    </row>
    <row r="23" spans="1:3" x14ac:dyDescent="0.25">
      <c r="A23" t="s">
        <v>300</v>
      </c>
      <c r="B23">
        <v>0.01</v>
      </c>
      <c r="C23">
        <v>1.01325</v>
      </c>
    </row>
    <row r="24" spans="1:3" x14ac:dyDescent="0.25">
      <c r="A24" t="s">
        <v>301</v>
      </c>
      <c r="B24" s="143">
        <v>1.0000000000000001E-5</v>
      </c>
      <c r="C24">
        <v>0</v>
      </c>
    </row>
    <row r="25" spans="1:3" x14ac:dyDescent="0.25">
      <c r="A25" t="s">
        <v>302</v>
      </c>
      <c r="B25" s="143">
        <v>1.0000000000000001E-5</v>
      </c>
      <c r="C25">
        <v>1.01325</v>
      </c>
    </row>
    <row r="26" spans="1:3" x14ac:dyDescent="0.25">
      <c r="A26" t="s">
        <v>303</v>
      </c>
      <c r="B26">
        <v>0.01</v>
      </c>
      <c r="C26">
        <v>0</v>
      </c>
    </row>
    <row r="27" spans="1:3" x14ac:dyDescent="0.25">
      <c r="A27" t="s">
        <v>304</v>
      </c>
      <c r="B27">
        <v>0.01</v>
      </c>
      <c r="C27">
        <v>1.01325</v>
      </c>
    </row>
    <row r="28" spans="1:3" x14ac:dyDescent="0.25">
      <c r="A28" t="s">
        <v>305</v>
      </c>
      <c r="B28">
        <v>1</v>
      </c>
      <c r="C28">
        <v>0</v>
      </c>
    </row>
    <row r="29" spans="1:3" x14ac:dyDescent="0.25">
      <c r="A29" t="s">
        <v>306</v>
      </c>
      <c r="B29">
        <v>1</v>
      </c>
      <c r="C29">
        <v>1.01325</v>
      </c>
    </row>
    <row r="30" spans="1:3" x14ac:dyDescent="0.25">
      <c r="A30" t="s">
        <v>141</v>
      </c>
      <c r="B30">
        <v>1E-3</v>
      </c>
      <c r="C30">
        <v>0</v>
      </c>
    </row>
    <row r="31" spans="1:3" x14ac:dyDescent="0.25">
      <c r="A31" t="s">
        <v>307</v>
      </c>
      <c r="B31">
        <v>1E-3</v>
      </c>
      <c r="C31">
        <v>1.01325</v>
      </c>
    </row>
    <row r="32" spans="1:3" x14ac:dyDescent="0.25">
      <c r="A32" t="s">
        <v>308</v>
      </c>
      <c r="B32">
        <v>1.01325</v>
      </c>
      <c r="C32">
        <v>0</v>
      </c>
    </row>
    <row r="33" spans="1:3" x14ac:dyDescent="0.25">
      <c r="A33" t="s">
        <v>309</v>
      </c>
      <c r="B33">
        <v>1.01325</v>
      </c>
      <c r="C33">
        <v>1.01325</v>
      </c>
    </row>
    <row r="34" spans="1:3" x14ac:dyDescent="0.25">
      <c r="A34" t="s">
        <v>310</v>
      </c>
      <c r="B34">
        <v>4.7880299999999998E-4</v>
      </c>
      <c r="C34">
        <v>0</v>
      </c>
    </row>
    <row r="35" spans="1:3" x14ac:dyDescent="0.25">
      <c r="A35" t="s">
        <v>311</v>
      </c>
      <c r="B35">
        <v>4.7880299999999998E-4</v>
      </c>
      <c r="C35">
        <v>1.01325</v>
      </c>
    </row>
    <row r="36" spans="1:3" x14ac:dyDescent="0.25">
      <c r="A36" t="s">
        <v>312</v>
      </c>
      <c r="B36">
        <v>6.8900000000000003E-2</v>
      </c>
      <c r="C36">
        <v>0</v>
      </c>
    </row>
    <row r="37" spans="1:3" x14ac:dyDescent="0.25">
      <c r="A37" t="s">
        <v>313</v>
      </c>
      <c r="B37">
        <v>6.8900000000000003E-2</v>
      </c>
      <c r="C37">
        <v>1.01325</v>
      </c>
    </row>
    <row r="38" spans="1:3" x14ac:dyDescent="0.25">
      <c r="A38" t="s">
        <v>314</v>
      </c>
      <c r="B38">
        <v>2.490889E-3</v>
      </c>
      <c r="C38">
        <v>0</v>
      </c>
    </row>
    <row r="39" spans="1:3" x14ac:dyDescent="0.25">
      <c r="A39" t="s">
        <v>315</v>
      </c>
      <c r="B39">
        <v>2.490889E-3</v>
      </c>
      <c r="C39">
        <v>1.01325</v>
      </c>
    </row>
    <row r="40" spans="1:3" x14ac:dyDescent="0.25">
      <c r="A40" t="s">
        <v>316</v>
      </c>
      <c r="B40" s="143">
        <v>9.8099999999999999E-5</v>
      </c>
      <c r="C40">
        <v>0</v>
      </c>
    </row>
    <row r="41" spans="1:3" x14ac:dyDescent="0.25">
      <c r="A41" t="s">
        <v>317</v>
      </c>
      <c r="B41" s="143">
        <v>9.8099999999999999E-5</v>
      </c>
      <c r="C41">
        <v>1.01325</v>
      </c>
    </row>
    <row r="42" spans="1:3" x14ac:dyDescent="0.25">
      <c r="A42" t="s">
        <v>318</v>
      </c>
      <c r="B42">
        <v>0.98066500000000001</v>
      </c>
      <c r="C42">
        <v>0</v>
      </c>
    </row>
    <row r="43" spans="1:3" x14ac:dyDescent="0.25">
      <c r="A43" t="s">
        <v>319</v>
      </c>
      <c r="B43">
        <v>0.98066500000000001</v>
      </c>
      <c r="C43">
        <v>1.01325</v>
      </c>
    </row>
    <row r="45" spans="1:3" x14ac:dyDescent="0.25">
      <c r="A45" s="139" t="s">
        <v>320</v>
      </c>
      <c r="B45" s="139" t="s">
        <v>321</v>
      </c>
      <c r="C45" s="139" t="s">
        <v>305</v>
      </c>
    </row>
    <row r="46" spans="1:3" x14ac:dyDescent="0.25">
      <c r="A46">
        <v>1</v>
      </c>
      <c r="B46" t="s">
        <v>306</v>
      </c>
      <c r="C46">
        <f>PRESS_USER*VLOOKUP(PRESS_USER_UNITS,$A$20:$B$43,2,FALSE)+VLOOKUP(PRESS_USER_UNITS,$A$20:$C$43,3,FALSE)</f>
        <v>2.0132500000000002</v>
      </c>
    </row>
    <row r="49" spans="1:11" s="139" customFormat="1" x14ac:dyDescent="0.25">
      <c r="A49" s="139" t="s">
        <v>322</v>
      </c>
      <c r="B49" s="139" t="s">
        <v>323</v>
      </c>
      <c r="C49" s="139" t="s">
        <v>324</v>
      </c>
      <c r="D49" s="139" t="s">
        <v>325</v>
      </c>
      <c r="E49" s="139" t="s">
        <v>326</v>
      </c>
      <c r="F49" s="139" t="s">
        <v>327</v>
      </c>
      <c r="G49" s="139" t="s">
        <v>328</v>
      </c>
      <c r="H49" s="139" t="s">
        <v>329</v>
      </c>
      <c r="I49" s="139" t="s">
        <v>330</v>
      </c>
      <c r="J49" s="139" t="s">
        <v>331</v>
      </c>
      <c r="K49" s="139" t="s">
        <v>332</v>
      </c>
    </row>
    <row r="50" spans="1:11" x14ac:dyDescent="0.25">
      <c r="A50" t="s">
        <v>145</v>
      </c>
      <c r="B50">
        <v>1</v>
      </c>
      <c r="C50">
        <v>1</v>
      </c>
      <c r="D50">
        <v>1</v>
      </c>
      <c r="E50" t="b">
        <v>0</v>
      </c>
      <c r="F50" t="b">
        <v>0</v>
      </c>
      <c r="G50" t="b">
        <v>0</v>
      </c>
      <c r="H50" t="b">
        <v>0</v>
      </c>
      <c r="I50" t="b">
        <v>1</v>
      </c>
      <c r="J50" t="s">
        <v>333</v>
      </c>
      <c r="K50" t="str">
        <f>LEFT(A50,FIND("/",A50)-1)</f>
        <v>kg</v>
      </c>
    </row>
    <row r="51" spans="1:11" x14ac:dyDescent="0.25">
      <c r="A51" t="s">
        <v>334</v>
      </c>
      <c r="B51">
        <v>60</v>
      </c>
      <c r="C51">
        <v>1</v>
      </c>
      <c r="D51">
        <v>1</v>
      </c>
      <c r="E51" t="b">
        <v>0</v>
      </c>
      <c r="F51" t="b">
        <v>0</v>
      </c>
      <c r="G51" t="b">
        <v>0</v>
      </c>
      <c r="H51" t="b">
        <v>0</v>
      </c>
      <c r="I51" t="b">
        <v>1</v>
      </c>
      <c r="J51" t="s">
        <v>333</v>
      </c>
      <c r="K51" t="str">
        <f t="shared" ref="K51:K112" si="1">LEFT(A51,FIND("/",A51)-1)</f>
        <v>kg</v>
      </c>
    </row>
    <row r="52" spans="1:11" x14ac:dyDescent="0.25">
      <c r="A52" t="s">
        <v>335</v>
      </c>
      <c r="B52">
        <v>3600</v>
      </c>
      <c r="C52">
        <v>1</v>
      </c>
      <c r="D52">
        <v>1</v>
      </c>
      <c r="E52" t="b">
        <v>0</v>
      </c>
      <c r="F52" t="b">
        <v>0</v>
      </c>
      <c r="G52" t="b">
        <v>0</v>
      </c>
      <c r="H52" t="b">
        <v>0</v>
      </c>
      <c r="I52" t="b">
        <v>1</v>
      </c>
      <c r="J52" t="s">
        <v>333</v>
      </c>
      <c r="K52" t="str">
        <f t="shared" si="1"/>
        <v>kg</v>
      </c>
    </row>
    <row r="53" spans="1:11" x14ac:dyDescent="0.25">
      <c r="A53" t="s">
        <v>336</v>
      </c>
      <c r="B53">
        <v>86400</v>
      </c>
      <c r="C53">
        <v>1</v>
      </c>
      <c r="D53">
        <v>1</v>
      </c>
      <c r="E53" t="b">
        <v>0</v>
      </c>
      <c r="F53" t="b">
        <v>0</v>
      </c>
      <c r="G53" t="b">
        <v>0</v>
      </c>
      <c r="H53" t="b">
        <v>0</v>
      </c>
      <c r="I53" t="b">
        <v>1</v>
      </c>
      <c r="J53" t="s">
        <v>333</v>
      </c>
      <c r="K53" t="str">
        <f t="shared" si="1"/>
        <v>kg</v>
      </c>
    </row>
    <row r="54" spans="1:11" x14ac:dyDescent="0.25">
      <c r="A54" t="s">
        <v>337</v>
      </c>
      <c r="B54">
        <v>1</v>
      </c>
      <c r="C54">
        <v>1</v>
      </c>
      <c r="D54">
        <v>0.45359237000000002</v>
      </c>
      <c r="E54" t="b">
        <v>0</v>
      </c>
      <c r="F54" t="b">
        <v>0</v>
      </c>
      <c r="G54" t="b">
        <v>0</v>
      </c>
      <c r="H54" t="b">
        <v>0</v>
      </c>
      <c r="I54" t="b">
        <v>0</v>
      </c>
      <c r="J54" t="s">
        <v>338</v>
      </c>
      <c r="K54" t="str">
        <f t="shared" si="1"/>
        <v>lb</v>
      </c>
    </row>
    <row r="55" spans="1:11" x14ac:dyDescent="0.25">
      <c r="A55" t="s">
        <v>339</v>
      </c>
      <c r="B55">
        <v>60</v>
      </c>
      <c r="C55">
        <v>1</v>
      </c>
      <c r="D55">
        <v>0.45359237000000002</v>
      </c>
      <c r="E55" t="b">
        <v>0</v>
      </c>
      <c r="F55" t="b">
        <v>0</v>
      </c>
      <c r="G55" t="b">
        <v>0</v>
      </c>
      <c r="H55" t="b">
        <v>0</v>
      </c>
      <c r="I55" t="b">
        <v>0</v>
      </c>
      <c r="J55" t="s">
        <v>338</v>
      </c>
      <c r="K55" t="str">
        <f t="shared" si="1"/>
        <v>lb</v>
      </c>
    </row>
    <row r="56" spans="1:11" x14ac:dyDescent="0.25">
      <c r="A56" t="s">
        <v>340</v>
      </c>
      <c r="B56">
        <v>3600</v>
      </c>
      <c r="C56">
        <v>1</v>
      </c>
      <c r="D56">
        <v>0.45359237000000002</v>
      </c>
      <c r="E56" t="b">
        <v>0</v>
      </c>
      <c r="F56" t="b">
        <v>0</v>
      </c>
      <c r="G56" t="b">
        <v>0</v>
      </c>
      <c r="H56" t="b">
        <v>0</v>
      </c>
      <c r="I56" t="b">
        <v>0</v>
      </c>
      <c r="J56" t="s">
        <v>338</v>
      </c>
      <c r="K56" t="str">
        <f t="shared" si="1"/>
        <v>lb</v>
      </c>
    </row>
    <row r="57" spans="1:11" x14ac:dyDescent="0.25">
      <c r="A57" t="s">
        <v>341</v>
      </c>
      <c r="B57">
        <v>86400</v>
      </c>
      <c r="C57">
        <v>1</v>
      </c>
      <c r="D57">
        <v>0.45359237000000002</v>
      </c>
      <c r="E57" t="b">
        <v>0</v>
      </c>
      <c r="F57" t="b">
        <v>0</v>
      </c>
      <c r="G57" t="b">
        <v>0</v>
      </c>
      <c r="H57" t="b">
        <v>0</v>
      </c>
      <c r="I57" t="b">
        <v>0</v>
      </c>
      <c r="J57" t="s">
        <v>338</v>
      </c>
      <c r="K57" t="str">
        <f t="shared" si="1"/>
        <v>lb</v>
      </c>
    </row>
    <row r="58" spans="1:11" x14ac:dyDescent="0.25">
      <c r="A58" t="s">
        <v>342</v>
      </c>
      <c r="B58">
        <v>1</v>
      </c>
      <c r="C58">
        <v>1</v>
      </c>
      <c r="D58">
        <v>1000</v>
      </c>
      <c r="E58" t="b">
        <v>0</v>
      </c>
      <c r="F58" t="b">
        <v>0</v>
      </c>
      <c r="G58" t="b">
        <v>0</v>
      </c>
      <c r="H58" t="b">
        <v>0</v>
      </c>
      <c r="I58" t="b">
        <v>0</v>
      </c>
      <c r="J58" t="s">
        <v>338</v>
      </c>
      <c r="K58" t="str">
        <f t="shared" si="1"/>
        <v>Tonne</v>
      </c>
    </row>
    <row r="59" spans="1:11" x14ac:dyDescent="0.25">
      <c r="A59" t="s">
        <v>343</v>
      </c>
      <c r="B59">
        <v>60</v>
      </c>
      <c r="C59">
        <v>1</v>
      </c>
      <c r="D59">
        <v>1000</v>
      </c>
      <c r="E59" t="b">
        <v>0</v>
      </c>
      <c r="F59" t="b">
        <v>0</v>
      </c>
      <c r="G59" t="b">
        <v>0</v>
      </c>
      <c r="H59" t="b">
        <v>0</v>
      </c>
      <c r="I59" t="b">
        <v>0</v>
      </c>
      <c r="J59" t="s">
        <v>338</v>
      </c>
      <c r="K59" t="str">
        <f t="shared" si="1"/>
        <v>Tonne</v>
      </c>
    </row>
    <row r="60" spans="1:11" x14ac:dyDescent="0.25">
      <c r="A60" t="s">
        <v>344</v>
      </c>
      <c r="B60">
        <v>3600</v>
      </c>
      <c r="C60">
        <v>1</v>
      </c>
      <c r="D60">
        <v>1000</v>
      </c>
      <c r="E60" t="b">
        <v>0</v>
      </c>
      <c r="F60" t="b">
        <v>0</v>
      </c>
      <c r="G60" t="b">
        <v>0</v>
      </c>
      <c r="H60" t="b">
        <v>0</v>
      </c>
      <c r="I60" t="b">
        <v>0</v>
      </c>
      <c r="J60" t="s">
        <v>338</v>
      </c>
      <c r="K60" t="str">
        <f t="shared" si="1"/>
        <v>Tonne</v>
      </c>
    </row>
    <row r="61" spans="1:11" x14ac:dyDescent="0.25">
      <c r="A61" t="s">
        <v>345</v>
      </c>
      <c r="B61">
        <v>86400</v>
      </c>
      <c r="C61">
        <v>1</v>
      </c>
      <c r="D61">
        <v>1000</v>
      </c>
      <c r="E61" t="b">
        <v>0</v>
      </c>
      <c r="F61" t="b">
        <v>0</v>
      </c>
      <c r="G61" t="b">
        <v>0</v>
      </c>
      <c r="H61" t="b">
        <v>0</v>
      </c>
      <c r="I61" t="b">
        <v>0</v>
      </c>
      <c r="J61" t="s">
        <v>338</v>
      </c>
      <c r="K61" t="str">
        <f t="shared" si="1"/>
        <v>Tonne</v>
      </c>
    </row>
    <row r="62" spans="1:11" x14ac:dyDescent="0.25">
      <c r="A62" t="s">
        <v>346</v>
      </c>
      <c r="B62">
        <v>1</v>
      </c>
      <c r="C62">
        <v>1</v>
      </c>
      <c r="D62">
        <v>1016.04691</v>
      </c>
      <c r="E62" t="b">
        <v>0</v>
      </c>
      <c r="F62" t="b">
        <v>0</v>
      </c>
      <c r="G62" t="b">
        <v>0</v>
      </c>
      <c r="H62" t="b">
        <v>0</v>
      </c>
      <c r="I62" t="b">
        <v>1</v>
      </c>
      <c r="J62" t="s">
        <v>333</v>
      </c>
      <c r="K62" t="str">
        <f t="shared" si="1"/>
        <v>Ton(L)</v>
      </c>
    </row>
    <row r="63" spans="1:11" x14ac:dyDescent="0.25">
      <c r="A63" t="s">
        <v>347</v>
      </c>
      <c r="B63">
        <v>60</v>
      </c>
      <c r="C63">
        <v>1</v>
      </c>
      <c r="D63">
        <v>1016.04691</v>
      </c>
      <c r="E63" t="b">
        <v>0</v>
      </c>
      <c r="F63" t="b">
        <v>0</v>
      </c>
      <c r="G63" t="b">
        <v>0</v>
      </c>
      <c r="H63" t="b">
        <v>0</v>
      </c>
      <c r="I63" t="b">
        <v>1</v>
      </c>
      <c r="J63" t="s">
        <v>333</v>
      </c>
      <c r="K63" t="str">
        <f t="shared" si="1"/>
        <v>Ton(L)</v>
      </c>
    </row>
    <row r="64" spans="1:11" x14ac:dyDescent="0.25">
      <c r="A64" t="s">
        <v>348</v>
      </c>
      <c r="B64">
        <v>3600</v>
      </c>
      <c r="C64">
        <v>1</v>
      </c>
      <c r="D64">
        <v>1016.04691</v>
      </c>
      <c r="E64" t="b">
        <v>0</v>
      </c>
      <c r="F64" t="b">
        <v>0</v>
      </c>
      <c r="G64" t="b">
        <v>0</v>
      </c>
      <c r="H64" t="b">
        <v>0</v>
      </c>
      <c r="I64" t="b">
        <v>1</v>
      </c>
      <c r="J64" t="s">
        <v>333</v>
      </c>
      <c r="K64" t="str">
        <f t="shared" si="1"/>
        <v>Ton(L)</v>
      </c>
    </row>
    <row r="65" spans="1:11" x14ac:dyDescent="0.25">
      <c r="A65" t="s">
        <v>349</v>
      </c>
      <c r="B65">
        <v>86400</v>
      </c>
      <c r="C65">
        <v>1</v>
      </c>
      <c r="D65">
        <v>1016.04691</v>
      </c>
      <c r="E65" t="b">
        <v>0</v>
      </c>
      <c r="F65" t="b">
        <v>0</v>
      </c>
      <c r="G65" t="b">
        <v>0</v>
      </c>
      <c r="H65" t="b">
        <v>0</v>
      </c>
      <c r="I65" t="b">
        <v>1</v>
      </c>
      <c r="J65" t="s">
        <v>333</v>
      </c>
      <c r="K65" t="str">
        <f t="shared" si="1"/>
        <v>Ton(L)</v>
      </c>
    </row>
    <row r="66" spans="1:11" x14ac:dyDescent="0.25">
      <c r="A66" t="s">
        <v>350</v>
      </c>
      <c r="B66">
        <v>1</v>
      </c>
      <c r="C66">
        <v>1</v>
      </c>
      <c r="D66">
        <v>907.18474000000003</v>
      </c>
      <c r="E66" t="b">
        <v>0</v>
      </c>
      <c r="F66" t="b">
        <v>0</v>
      </c>
      <c r="G66" t="b">
        <v>0</v>
      </c>
      <c r="H66" t="b">
        <v>0</v>
      </c>
      <c r="I66" t="b">
        <v>1</v>
      </c>
      <c r="J66" t="s">
        <v>333</v>
      </c>
      <c r="K66" t="str">
        <f t="shared" si="1"/>
        <v>Ton(S)</v>
      </c>
    </row>
    <row r="67" spans="1:11" x14ac:dyDescent="0.25">
      <c r="A67" t="s">
        <v>351</v>
      </c>
      <c r="B67">
        <v>60</v>
      </c>
      <c r="C67">
        <v>1</v>
      </c>
      <c r="D67">
        <v>907.18474000000003</v>
      </c>
      <c r="E67" t="b">
        <v>0</v>
      </c>
      <c r="F67" t="b">
        <v>0</v>
      </c>
      <c r="G67" t="b">
        <v>0</v>
      </c>
      <c r="H67" t="b">
        <v>0</v>
      </c>
      <c r="I67" t="b">
        <v>1</v>
      </c>
      <c r="J67" t="s">
        <v>333</v>
      </c>
      <c r="K67" t="str">
        <f t="shared" si="1"/>
        <v>Ton(S)</v>
      </c>
    </row>
    <row r="68" spans="1:11" x14ac:dyDescent="0.25">
      <c r="A68" t="s">
        <v>352</v>
      </c>
      <c r="B68">
        <v>3600</v>
      </c>
      <c r="C68">
        <v>1</v>
      </c>
      <c r="D68">
        <v>907.18474000000003</v>
      </c>
      <c r="E68" t="b">
        <v>0</v>
      </c>
      <c r="F68" t="b">
        <v>0</v>
      </c>
      <c r="G68" t="b">
        <v>0</v>
      </c>
      <c r="H68" t="b">
        <v>0</v>
      </c>
      <c r="I68" t="b">
        <v>1</v>
      </c>
      <c r="J68" t="s">
        <v>333</v>
      </c>
      <c r="K68" t="str">
        <f t="shared" si="1"/>
        <v>Ton(S)</v>
      </c>
    </row>
    <row r="69" spans="1:11" x14ac:dyDescent="0.25">
      <c r="A69" t="s">
        <v>353</v>
      </c>
      <c r="B69">
        <v>86400</v>
      </c>
      <c r="C69">
        <v>1</v>
      </c>
      <c r="D69">
        <v>907.18474000000003</v>
      </c>
      <c r="E69" t="b">
        <v>0</v>
      </c>
      <c r="F69" t="b">
        <v>0</v>
      </c>
      <c r="G69" t="b">
        <v>0</v>
      </c>
      <c r="H69" t="b">
        <v>0</v>
      </c>
      <c r="I69" t="b">
        <v>1</v>
      </c>
      <c r="J69" t="s">
        <v>333</v>
      </c>
      <c r="K69" t="str">
        <f t="shared" si="1"/>
        <v>Ton(S)</v>
      </c>
    </row>
    <row r="70" spans="1:11" x14ac:dyDescent="0.25">
      <c r="A70" t="s">
        <v>333</v>
      </c>
      <c r="B70">
        <v>1</v>
      </c>
      <c r="C70">
        <v>1</v>
      </c>
      <c r="D70">
        <v>1</v>
      </c>
      <c r="E70" t="b">
        <v>1</v>
      </c>
      <c r="F70" t="b">
        <v>0</v>
      </c>
      <c r="G70" t="b">
        <v>0</v>
      </c>
      <c r="H70" t="b">
        <v>0</v>
      </c>
      <c r="I70" t="b">
        <v>1</v>
      </c>
      <c r="J70" t="s">
        <v>145</v>
      </c>
      <c r="K70" t="str">
        <f t="shared" si="1"/>
        <v>m³</v>
      </c>
    </row>
    <row r="71" spans="1:11" x14ac:dyDescent="0.25">
      <c r="A71" t="s">
        <v>354</v>
      </c>
      <c r="B71">
        <v>60</v>
      </c>
      <c r="C71">
        <v>1</v>
      </c>
      <c r="D71">
        <v>1</v>
      </c>
      <c r="E71" t="b">
        <v>1</v>
      </c>
      <c r="F71" t="b">
        <v>0</v>
      </c>
      <c r="G71" t="b">
        <v>0</v>
      </c>
      <c r="H71" t="b">
        <v>0</v>
      </c>
      <c r="I71" t="b">
        <v>1</v>
      </c>
      <c r="J71" t="s">
        <v>145</v>
      </c>
      <c r="K71" t="str">
        <f t="shared" si="1"/>
        <v>m³</v>
      </c>
    </row>
    <row r="72" spans="1:11" x14ac:dyDescent="0.25">
      <c r="A72" t="s">
        <v>90</v>
      </c>
      <c r="B72">
        <v>3600</v>
      </c>
      <c r="C72">
        <v>1</v>
      </c>
      <c r="D72">
        <v>1</v>
      </c>
      <c r="E72" t="b">
        <v>1</v>
      </c>
      <c r="F72" t="b">
        <v>0</v>
      </c>
      <c r="G72" t="b">
        <v>0</v>
      </c>
      <c r="H72" t="b">
        <v>0</v>
      </c>
      <c r="I72" t="b">
        <v>1</v>
      </c>
      <c r="J72" t="s">
        <v>145</v>
      </c>
      <c r="K72" t="str">
        <f t="shared" si="1"/>
        <v>m³</v>
      </c>
    </row>
    <row r="73" spans="1:11" x14ac:dyDescent="0.25">
      <c r="A73" t="s">
        <v>355</v>
      </c>
      <c r="B73">
        <v>86400</v>
      </c>
      <c r="C73">
        <v>1</v>
      </c>
      <c r="D73">
        <v>1</v>
      </c>
      <c r="E73" t="b">
        <v>1</v>
      </c>
      <c r="F73" t="b">
        <v>0</v>
      </c>
      <c r="G73" t="b">
        <v>0</v>
      </c>
      <c r="H73" t="b">
        <v>0</v>
      </c>
      <c r="I73" t="b">
        <v>1</v>
      </c>
      <c r="J73" t="s">
        <v>145</v>
      </c>
      <c r="K73" t="str">
        <f t="shared" si="1"/>
        <v>m³</v>
      </c>
    </row>
    <row r="74" spans="1:11" x14ac:dyDescent="0.25">
      <c r="A74" t="s">
        <v>356</v>
      </c>
      <c r="B74">
        <v>1</v>
      </c>
      <c r="C74">
        <v>1E-3</v>
      </c>
      <c r="D74">
        <v>1</v>
      </c>
      <c r="E74" t="b">
        <v>1</v>
      </c>
      <c r="F74" t="b">
        <v>0</v>
      </c>
      <c r="G74" t="b">
        <v>0</v>
      </c>
      <c r="H74" t="b">
        <v>0</v>
      </c>
      <c r="I74" t="b">
        <v>1</v>
      </c>
      <c r="J74" t="s">
        <v>145</v>
      </c>
      <c r="K74" t="str">
        <f t="shared" si="1"/>
        <v>litres</v>
      </c>
    </row>
    <row r="75" spans="1:11" x14ac:dyDescent="0.25">
      <c r="A75" t="s">
        <v>357</v>
      </c>
      <c r="B75">
        <v>60</v>
      </c>
      <c r="C75">
        <v>1E-3</v>
      </c>
      <c r="D75">
        <v>1</v>
      </c>
      <c r="E75" t="b">
        <v>1</v>
      </c>
      <c r="F75" t="b">
        <v>0</v>
      </c>
      <c r="G75" t="b">
        <v>0</v>
      </c>
      <c r="H75" t="b">
        <v>0</v>
      </c>
      <c r="I75" t="b">
        <v>1</v>
      </c>
      <c r="J75" t="s">
        <v>145</v>
      </c>
      <c r="K75" t="str">
        <f t="shared" si="1"/>
        <v>litres</v>
      </c>
    </row>
    <row r="76" spans="1:11" x14ac:dyDescent="0.25">
      <c r="A76" t="s">
        <v>358</v>
      </c>
      <c r="B76">
        <v>3600</v>
      </c>
      <c r="C76">
        <v>1E-3</v>
      </c>
      <c r="D76">
        <v>1</v>
      </c>
      <c r="E76" t="b">
        <v>1</v>
      </c>
      <c r="F76" t="b">
        <v>0</v>
      </c>
      <c r="G76" t="b">
        <v>0</v>
      </c>
      <c r="H76" t="b">
        <v>0</v>
      </c>
      <c r="I76" t="b">
        <v>1</v>
      </c>
      <c r="J76" t="s">
        <v>145</v>
      </c>
      <c r="K76" t="str">
        <f t="shared" si="1"/>
        <v>litres</v>
      </c>
    </row>
    <row r="77" spans="1:11" x14ac:dyDescent="0.25">
      <c r="A77" t="s">
        <v>359</v>
      </c>
      <c r="B77">
        <v>86400</v>
      </c>
      <c r="C77">
        <v>1E-3</v>
      </c>
      <c r="D77">
        <v>1</v>
      </c>
      <c r="E77" t="b">
        <v>1</v>
      </c>
      <c r="F77" t="b">
        <v>0</v>
      </c>
      <c r="G77" t="b">
        <v>0</v>
      </c>
      <c r="H77" t="b">
        <v>0</v>
      </c>
      <c r="I77" t="b">
        <v>1</v>
      </c>
      <c r="J77" t="s">
        <v>145</v>
      </c>
      <c r="K77" t="str">
        <f t="shared" si="1"/>
        <v>litres</v>
      </c>
    </row>
    <row r="78" spans="1:11" x14ac:dyDescent="0.25">
      <c r="A78" t="s">
        <v>338</v>
      </c>
      <c r="B78">
        <v>1</v>
      </c>
      <c r="C78">
        <v>2.8316846999999999E-2</v>
      </c>
      <c r="D78">
        <v>1</v>
      </c>
      <c r="E78" t="b">
        <v>1</v>
      </c>
      <c r="F78" t="b">
        <v>0</v>
      </c>
      <c r="G78" t="b">
        <v>0</v>
      </c>
      <c r="H78" t="b">
        <v>0</v>
      </c>
      <c r="I78" t="b">
        <v>0</v>
      </c>
      <c r="J78" t="s">
        <v>337</v>
      </c>
      <c r="K78" t="str">
        <f t="shared" si="1"/>
        <v>ft³</v>
      </c>
    </row>
    <row r="79" spans="1:11" x14ac:dyDescent="0.25">
      <c r="A79" t="s">
        <v>360</v>
      </c>
      <c r="B79">
        <v>60</v>
      </c>
      <c r="C79">
        <v>2.8316846999999999E-2</v>
      </c>
      <c r="D79">
        <v>1</v>
      </c>
      <c r="E79" t="b">
        <v>1</v>
      </c>
      <c r="F79" t="b">
        <v>0</v>
      </c>
      <c r="G79" t="b">
        <v>0</v>
      </c>
      <c r="H79" t="b">
        <v>0</v>
      </c>
      <c r="I79" t="b">
        <v>0</v>
      </c>
      <c r="J79" t="s">
        <v>337</v>
      </c>
      <c r="K79" t="str">
        <f t="shared" si="1"/>
        <v>ft³</v>
      </c>
    </row>
    <row r="80" spans="1:11" x14ac:dyDescent="0.25">
      <c r="A80" t="s">
        <v>361</v>
      </c>
      <c r="B80">
        <v>3600</v>
      </c>
      <c r="C80">
        <v>2.8316846999999999E-2</v>
      </c>
      <c r="D80">
        <v>1</v>
      </c>
      <c r="E80" t="b">
        <v>1</v>
      </c>
      <c r="F80" t="b">
        <v>0</v>
      </c>
      <c r="G80" t="b">
        <v>0</v>
      </c>
      <c r="H80" t="b">
        <v>0</v>
      </c>
      <c r="I80" t="b">
        <v>0</v>
      </c>
      <c r="J80" t="s">
        <v>337</v>
      </c>
      <c r="K80" t="str">
        <f t="shared" si="1"/>
        <v>ft³</v>
      </c>
    </row>
    <row r="81" spans="1:11" x14ac:dyDescent="0.25">
      <c r="A81" t="s">
        <v>362</v>
      </c>
      <c r="B81">
        <v>86400</v>
      </c>
      <c r="C81">
        <v>2.8316846999999999E-2</v>
      </c>
      <c r="D81">
        <v>1</v>
      </c>
      <c r="E81" t="b">
        <v>1</v>
      </c>
      <c r="F81" t="b">
        <v>0</v>
      </c>
      <c r="G81" t="b">
        <v>0</v>
      </c>
      <c r="H81" t="b">
        <v>0</v>
      </c>
      <c r="I81" t="b">
        <v>0</v>
      </c>
      <c r="J81" t="s">
        <v>337</v>
      </c>
      <c r="K81" t="str">
        <f t="shared" si="1"/>
        <v>ft³</v>
      </c>
    </row>
    <row r="82" spans="1:11" x14ac:dyDescent="0.25">
      <c r="A82" t="s">
        <v>363</v>
      </c>
      <c r="B82">
        <v>1</v>
      </c>
      <c r="C82">
        <v>4.5460919999999998E-3</v>
      </c>
      <c r="D82">
        <v>1</v>
      </c>
      <c r="E82" t="b">
        <v>1</v>
      </c>
      <c r="F82" t="b">
        <v>0</v>
      </c>
      <c r="G82" t="b">
        <v>0</v>
      </c>
      <c r="H82" t="b">
        <v>0</v>
      </c>
      <c r="I82" t="b">
        <v>1</v>
      </c>
      <c r="J82" t="s">
        <v>145</v>
      </c>
      <c r="K82" t="str">
        <f t="shared" si="1"/>
        <v>UKG</v>
      </c>
    </row>
    <row r="83" spans="1:11" x14ac:dyDescent="0.25">
      <c r="A83" t="s">
        <v>364</v>
      </c>
      <c r="B83">
        <v>60</v>
      </c>
      <c r="C83">
        <v>4.5460919999999998E-3</v>
      </c>
      <c r="D83">
        <v>1</v>
      </c>
      <c r="E83" t="b">
        <v>1</v>
      </c>
      <c r="F83" t="b">
        <v>0</v>
      </c>
      <c r="G83" t="b">
        <v>0</v>
      </c>
      <c r="H83" t="b">
        <v>0</v>
      </c>
      <c r="I83" t="b">
        <v>1</v>
      </c>
      <c r="J83" t="s">
        <v>145</v>
      </c>
      <c r="K83" t="str">
        <f t="shared" si="1"/>
        <v>UKG</v>
      </c>
    </row>
    <row r="84" spans="1:11" x14ac:dyDescent="0.25">
      <c r="A84" t="s">
        <v>365</v>
      </c>
      <c r="B84">
        <v>3600</v>
      </c>
      <c r="C84">
        <v>4.5460919999999998E-3</v>
      </c>
      <c r="D84">
        <v>1</v>
      </c>
      <c r="E84" t="b">
        <v>1</v>
      </c>
      <c r="F84" t="b">
        <v>0</v>
      </c>
      <c r="G84" t="b">
        <v>0</v>
      </c>
      <c r="H84" t="b">
        <v>0</v>
      </c>
      <c r="I84" t="b">
        <v>1</v>
      </c>
      <c r="J84" t="s">
        <v>145</v>
      </c>
      <c r="K84" t="str">
        <f t="shared" si="1"/>
        <v>UKG</v>
      </c>
    </row>
    <row r="85" spans="1:11" x14ac:dyDescent="0.25">
      <c r="A85" t="s">
        <v>366</v>
      </c>
      <c r="B85">
        <v>86400</v>
      </c>
      <c r="C85">
        <v>4.5460919999999998E-3</v>
      </c>
      <c r="D85">
        <v>1</v>
      </c>
      <c r="E85" t="b">
        <v>1</v>
      </c>
      <c r="F85" t="b">
        <v>0</v>
      </c>
      <c r="G85" t="b">
        <v>0</v>
      </c>
      <c r="H85" t="b">
        <v>0</v>
      </c>
      <c r="I85" t="b">
        <v>1</v>
      </c>
      <c r="J85" t="s">
        <v>145</v>
      </c>
      <c r="K85" t="str">
        <f t="shared" si="1"/>
        <v>UKG</v>
      </c>
    </row>
    <row r="86" spans="1:11" x14ac:dyDescent="0.25">
      <c r="A86" t="s">
        <v>367</v>
      </c>
      <c r="B86">
        <v>1</v>
      </c>
      <c r="C86">
        <v>3.7854120000000002E-3</v>
      </c>
      <c r="D86">
        <v>1</v>
      </c>
      <c r="E86" t="b">
        <v>1</v>
      </c>
      <c r="F86" t="b">
        <v>0</v>
      </c>
      <c r="G86" t="b">
        <v>0</v>
      </c>
      <c r="H86" t="b">
        <v>0</v>
      </c>
      <c r="I86" t="b">
        <v>0</v>
      </c>
      <c r="J86" t="s">
        <v>337</v>
      </c>
      <c r="K86" t="str">
        <f t="shared" si="1"/>
        <v>USG</v>
      </c>
    </row>
    <row r="87" spans="1:11" x14ac:dyDescent="0.25">
      <c r="A87" t="s">
        <v>368</v>
      </c>
      <c r="B87">
        <v>60</v>
      </c>
      <c r="C87">
        <v>3.7854120000000002E-3</v>
      </c>
      <c r="D87">
        <v>1</v>
      </c>
      <c r="E87" t="b">
        <v>1</v>
      </c>
      <c r="F87" t="b">
        <v>0</v>
      </c>
      <c r="G87" t="b">
        <v>0</v>
      </c>
      <c r="H87" t="b">
        <v>0</v>
      </c>
      <c r="I87" t="b">
        <v>0</v>
      </c>
      <c r="J87" t="s">
        <v>337</v>
      </c>
      <c r="K87" t="str">
        <f t="shared" si="1"/>
        <v>USG</v>
      </c>
    </row>
    <row r="88" spans="1:11" x14ac:dyDescent="0.25">
      <c r="A88" t="s">
        <v>369</v>
      </c>
      <c r="B88">
        <v>3600</v>
      </c>
      <c r="C88">
        <v>3.7854120000000002E-3</v>
      </c>
      <c r="D88">
        <v>1</v>
      </c>
      <c r="E88" t="b">
        <v>1</v>
      </c>
      <c r="F88" t="b">
        <v>0</v>
      </c>
      <c r="G88" t="b">
        <v>0</v>
      </c>
      <c r="H88" t="b">
        <v>0</v>
      </c>
      <c r="I88" t="b">
        <v>0</v>
      </c>
      <c r="J88" t="s">
        <v>337</v>
      </c>
      <c r="K88" t="str">
        <f t="shared" si="1"/>
        <v>USG</v>
      </c>
    </row>
    <row r="89" spans="1:11" x14ac:dyDescent="0.25">
      <c r="A89" t="s">
        <v>370</v>
      </c>
      <c r="B89">
        <v>86400</v>
      </c>
      <c r="C89">
        <v>3.7854120000000002E-3</v>
      </c>
      <c r="D89">
        <v>1</v>
      </c>
      <c r="E89" t="b">
        <v>1</v>
      </c>
      <c r="F89" t="b">
        <v>0</v>
      </c>
      <c r="G89" t="b">
        <v>0</v>
      </c>
      <c r="H89" t="b">
        <v>0</v>
      </c>
      <c r="I89" t="b">
        <v>0</v>
      </c>
      <c r="J89" t="s">
        <v>337</v>
      </c>
      <c r="K89" t="str">
        <f t="shared" si="1"/>
        <v>USG</v>
      </c>
    </row>
    <row r="90" spans="1:11" x14ac:dyDescent="0.25">
      <c r="A90" t="s">
        <v>371</v>
      </c>
      <c r="B90">
        <v>86400</v>
      </c>
      <c r="C90">
        <v>0.16365924000000001</v>
      </c>
      <c r="D90">
        <v>1</v>
      </c>
      <c r="E90" t="b">
        <v>1</v>
      </c>
      <c r="F90" t="b">
        <v>0</v>
      </c>
      <c r="G90" t="b">
        <v>0</v>
      </c>
      <c r="H90" t="b">
        <v>0</v>
      </c>
      <c r="I90" t="b">
        <v>1</v>
      </c>
      <c r="J90" t="s">
        <v>145</v>
      </c>
      <c r="K90" t="str">
        <f t="shared" si="1"/>
        <v>UK Barrels</v>
      </c>
    </row>
    <row r="91" spans="1:11" x14ac:dyDescent="0.25">
      <c r="A91" t="s">
        <v>372</v>
      </c>
      <c r="B91">
        <v>86400</v>
      </c>
      <c r="C91">
        <v>0.1192404712</v>
      </c>
      <c r="D91">
        <v>1</v>
      </c>
      <c r="E91" t="b">
        <v>1</v>
      </c>
      <c r="F91" t="b">
        <v>0</v>
      </c>
      <c r="G91" t="b">
        <v>0</v>
      </c>
      <c r="H91" t="b">
        <v>0</v>
      </c>
      <c r="I91" t="b">
        <v>1</v>
      </c>
      <c r="J91" t="s">
        <v>145</v>
      </c>
      <c r="K91" t="str">
        <f t="shared" si="1"/>
        <v>US Barrels</v>
      </c>
    </row>
    <row r="92" spans="1:11" x14ac:dyDescent="0.25">
      <c r="A92" t="s">
        <v>373</v>
      </c>
      <c r="B92">
        <v>86400</v>
      </c>
      <c r="C92">
        <v>0.15898729492999999</v>
      </c>
      <c r="D92">
        <v>1</v>
      </c>
      <c r="E92" t="b">
        <v>1</v>
      </c>
      <c r="F92" t="b">
        <v>0</v>
      </c>
      <c r="G92" t="b">
        <v>0</v>
      </c>
      <c r="H92" t="b">
        <v>0</v>
      </c>
      <c r="I92" t="b">
        <v>0</v>
      </c>
      <c r="J92" t="s">
        <v>337</v>
      </c>
      <c r="K92" t="str">
        <f t="shared" si="1"/>
        <v>Petroleum Barrels</v>
      </c>
    </row>
    <row r="93" spans="1:11" x14ac:dyDescent="0.25">
      <c r="A93" t="s">
        <v>374</v>
      </c>
      <c r="B93">
        <v>1</v>
      </c>
      <c r="C93">
        <v>1</v>
      </c>
      <c r="D93">
        <v>1</v>
      </c>
      <c r="E93" t="b">
        <v>1</v>
      </c>
      <c r="F93" t="b">
        <v>1</v>
      </c>
      <c r="G93" t="b">
        <v>0</v>
      </c>
      <c r="H93" t="b">
        <v>0</v>
      </c>
      <c r="I93" t="b">
        <v>1</v>
      </c>
      <c r="J93" t="s">
        <v>145</v>
      </c>
      <c r="K93" t="str">
        <f t="shared" si="1"/>
        <v>Sm³</v>
      </c>
    </row>
    <row r="94" spans="1:11" x14ac:dyDescent="0.25">
      <c r="A94" t="s">
        <v>375</v>
      </c>
      <c r="B94">
        <v>60</v>
      </c>
      <c r="C94">
        <v>1</v>
      </c>
      <c r="D94">
        <v>1</v>
      </c>
      <c r="E94" t="b">
        <v>1</v>
      </c>
      <c r="F94" t="b">
        <v>1</v>
      </c>
      <c r="G94" t="b">
        <v>0</v>
      </c>
      <c r="H94" t="b">
        <v>0</v>
      </c>
      <c r="I94" t="b">
        <v>1</v>
      </c>
      <c r="J94" t="s">
        <v>145</v>
      </c>
      <c r="K94" t="str">
        <f t="shared" si="1"/>
        <v>Sm³</v>
      </c>
    </row>
    <row r="95" spans="1:11" x14ac:dyDescent="0.25">
      <c r="A95" t="s">
        <v>376</v>
      </c>
      <c r="B95">
        <v>3600</v>
      </c>
      <c r="C95">
        <v>1</v>
      </c>
      <c r="D95">
        <v>1</v>
      </c>
      <c r="E95" t="b">
        <v>1</v>
      </c>
      <c r="F95" t="b">
        <v>1</v>
      </c>
      <c r="G95" t="b">
        <v>0</v>
      </c>
      <c r="H95" t="b">
        <v>0</v>
      </c>
      <c r="I95" t="b">
        <v>1</v>
      </c>
      <c r="J95" t="s">
        <v>145</v>
      </c>
      <c r="K95" t="str">
        <f t="shared" si="1"/>
        <v>Sm³</v>
      </c>
    </row>
    <row r="96" spans="1:11" x14ac:dyDescent="0.25">
      <c r="A96" t="s">
        <v>377</v>
      </c>
      <c r="B96">
        <v>86400</v>
      </c>
      <c r="C96">
        <v>1</v>
      </c>
      <c r="D96">
        <v>1</v>
      </c>
      <c r="E96" t="b">
        <v>1</v>
      </c>
      <c r="F96" t="b">
        <v>1</v>
      </c>
      <c r="G96" t="b">
        <v>0</v>
      </c>
      <c r="H96" t="b">
        <v>0</v>
      </c>
      <c r="I96" t="b">
        <v>1</v>
      </c>
      <c r="J96" t="s">
        <v>145</v>
      </c>
      <c r="K96" t="str">
        <f t="shared" si="1"/>
        <v>Sm³</v>
      </c>
    </row>
    <row r="97" spans="1:11" x14ac:dyDescent="0.25">
      <c r="A97" t="s">
        <v>378</v>
      </c>
      <c r="B97">
        <v>1</v>
      </c>
      <c r="C97">
        <v>2.8316846999999999E-2</v>
      </c>
      <c r="D97">
        <v>1</v>
      </c>
      <c r="E97" t="b">
        <v>1</v>
      </c>
      <c r="F97" t="b">
        <v>1</v>
      </c>
      <c r="G97" t="b">
        <v>0</v>
      </c>
      <c r="H97" t="b">
        <v>0</v>
      </c>
      <c r="I97" t="b">
        <v>0</v>
      </c>
      <c r="J97" t="s">
        <v>337</v>
      </c>
      <c r="K97" t="str">
        <f t="shared" si="1"/>
        <v>Scf</v>
      </c>
    </row>
    <row r="98" spans="1:11" x14ac:dyDescent="0.25">
      <c r="A98" t="s">
        <v>379</v>
      </c>
      <c r="B98">
        <v>60</v>
      </c>
      <c r="C98">
        <v>2.8316846999999999E-2</v>
      </c>
      <c r="D98">
        <v>1</v>
      </c>
      <c r="E98" t="b">
        <v>1</v>
      </c>
      <c r="F98" t="b">
        <v>1</v>
      </c>
      <c r="G98" t="b">
        <v>0</v>
      </c>
      <c r="H98" t="b">
        <v>0</v>
      </c>
      <c r="I98" t="b">
        <v>0</v>
      </c>
      <c r="J98" t="s">
        <v>337</v>
      </c>
      <c r="K98" t="str">
        <f t="shared" si="1"/>
        <v>Scf</v>
      </c>
    </row>
    <row r="99" spans="1:11" x14ac:dyDescent="0.25">
      <c r="A99" t="s">
        <v>380</v>
      </c>
      <c r="B99">
        <v>3600</v>
      </c>
      <c r="C99">
        <v>2.8316846999999999E-2</v>
      </c>
      <c r="D99">
        <v>1</v>
      </c>
      <c r="E99" t="b">
        <v>1</v>
      </c>
      <c r="F99" t="b">
        <v>1</v>
      </c>
      <c r="G99" t="b">
        <v>0</v>
      </c>
      <c r="H99" t="b">
        <v>0</v>
      </c>
      <c r="I99" t="b">
        <v>0</v>
      </c>
      <c r="J99" t="s">
        <v>337</v>
      </c>
      <c r="K99" t="str">
        <f t="shared" si="1"/>
        <v>Scf</v>
      </c>
    </row>
    <row r="100" spans="1:11" x14ac:dyDescent="0.25">
      <c r="A100" t="s">
        <v>381</v>
      </c>
      <c r="B100">
        <v>86400</v>
      </c>
      <c r="C100">
        <v>2.8316846999999999E-2</v>
      </c>
      <c r="D100">
        <v>1</v>
      </c>
      <c r="E100" t="b">
        <v>1</v>
      </c>
      <c r="F100" t="b">
        <v>1</v>
      </c>
      <c r="G100" t="b">
        <v>0</v>
      </c>
      <c r="H100" t="b">
        <v>0</v>
      </c>
      <c r="I100" t="b">
        <v>0</v>
      </c>
      <c r="J100" t="s">
        <v>337</v>
      </c>
      <c r="K100" t="str">
        <f t="shared" si="1"/>
        <v>Scf</v>
      </c>
    </row>
    <row r="101" spans="1:11" x14ac:dyDescent="0.25">
      <c r="A101" t="s">
        <v>382</v>
      </c>
      <c r="B101">
        <v>1</v>
      </c>
      <c r="C101">
        <v>1</v>
      </c>
      <c r="D101">
        <v>1</v>
      </c>
      <c r="E101" t="b">
        <v>1</v>
      </c>
      <c r="F101" t="b">
        <v>0</v>
      </c>
      <c r="G101" t="b">
        <v>0</v>
      </c>
      <c r="H101" t="b">
        <v>1</v>
      </c>
      <c r="I101" t="b">
        <v>1</v>
      </c>
      <c r="J101" t="s">
        <v>145</v>
      </c>
      <c r="K101" t="str">
        <f t="shared" si="1"/>
        <v>Nm³</v>
      </c>
    </row>
    <row r="102" spans="1:11" x14ac:dyDescent="0.25">
      <c r="A102" t="s">
        <v>383</v>
      </c>
      <c r="B102">
        <v>60</v>
      </c>
      <c r="C102">
        <v>1</v>
      </c>
      <c r="D102">
        <v>1</v>
      </c>
      <c r="E102" t="b">
        <v>1</v>
      </c>
      <c r="F102" t="b">
        <v>0</v>
      </c>
      <c r="G102" t="b">
        <v>0</v>
      </c>
      <c r="H102" t="b">
        <v>1</v>
      </c>
      <c r="I102" t="b">
        <v>1</v>
      </c>
      <c r="J102" t="s">
        <v>145</v>
      </c>
      <c r="K102" t="str">
        <f t="shared" si="1"/>
        <v>Nm³</v>
      </c>
    </row>
    <row r="103" spans="1:11" x14ac:dyDescent="0.25">
      <c r="A103" t="s">
        <v>384</v>
      </c>
      <c r="B103">
        <v>3600</v>
      </c>
      <c r="C103">
        <v>1</v>
      </c>
      <c r="D103">
        <v>1</v>
      </c>
      <c r="E103" t="b">
        <v>1</v>
      </c>
      <c r="F103" t="b">
        <v>0</v>
      </c>
      <c r="G103" t="b">
        <v>0</v>
      </c>
      <c r="H103" t="b">
        <v>1</v>
      </c>
      <c r="I103" t="b">
        <v>1</v>
      </c>
      <c r="J103" t="s">
        <v>145</v>
      </c>
      <c r="K103" t="str">
        <f t="shared" si="1"/>
        <v>Nm³</v>
      </c>
    </row>
    <row r="104" spans="1:11" x14ac:dyDescent="0.25">
      <c r="A104" t="s">
        <v>385</v>
      </c>
      <c r="B104">
        <v>86400</v>
      </c>
      <c r="C104">
        <v>1</v>
      </c>
      <c r="D104">
        <v>1</v>
      </c>
      <c r="E104" t="b">
        <v>1</v>
      </c>
      <c r="F104" t="b">
        <v>0</v>
      </c>
      <c r="G104" t="b">
        <v>0</v>
      </c>
      <c r="H104" t="b">
        <v>1</v>
      </c>
      <c r="I104" t="b">
        <v>1</v>
      </c>
      <c r="J104" t="s">
        <v>145</v>
      </c>
      <c r="K104" t="str">
        <f t="shared" si="1"/>
        <v>Nm³</v>
      </c>
    </row>
    <row r="105" spans="1:11" x14ac:dyDescent="0.25">
      <c r="A105" t="s">
        <v>386</v>
      </c>
      <c r="B105">
        <v>1</v>
      </c>
      <c r="C105">
        <v>2.8316846999999999E-2</v>
      </c>
      <c r="D105">
        <v>1</v>
      </c>
      <c r="E105" t="b">
        <v>1</v>
      </c>
      <c r="F105" t="b">
        <v>0</v>
      </c>
      <c r="G105" t="b">
        <v>0</v>
      </c>
      <c r="H105" t="b">
        <v>1</v>
      </c>
      <c r="I105" t="b">
        <v>0</v>
      </c>
      <c r="J105" t="s">
        <v>337</v>
      </c>
      <c r="K105" t="str">
        <f t="shared" si="1"/>
        <v>Ncf</v>
      </c>
    </row>
    <row r="106" spans="1:11" x14ac:dyDescent="0.25">
      <c r="A106" t="s">
        <v>387</v>
      </c>
      <c r="B106">
        <v>60</v>
      </c>
      <c r="C106">
        <v>2.8316846999999999E-2</v>
      </c>
      <c r="D106">
        <v>1</v>
      </c>
      <c r="E106" t="b">
        <v>1</v>
      </c>
      <c r="F106" t="b">
        <v>0</v>
      </c>
      <c r="G106" t="b">
        <v>0</v>
      </c>
      <c r="H106" t="b">
        <v>1</v>
      </c>
      <c r="I106" t="b">
        <v>0</v>
      </c>
      <c r="J106" t="s">
        <v>337</v>
      </c>
      <c r="K106" t="str">
        <f t="shared" si="1"/>
        <v>Ncf</v>
      </c>
    </row>
    <row r="107" spans="1:11" x14ac:dyDescent="0.25">
      <c r="A107" t="s">
        <v>388</v>
      </c>
      <c r="B107">
        <v>3600</v>
      </c>
      <c r="C107">
        <v>2.8316846999999999E-2</v>
      </c>
      <c r="D107">
        <v>1</v>
      </c>
      <c r="E107" t="b">
        <v>1</v>
      </c>
      <c r="F107" t="b">
        <v>0</v>
      </c>
      <c r="G107" t="b">
        <v>0</v>
      </c>
      <c r="H107" t="b">
        <v>1</v>
      </c>
      <c r="I107" t="b">
        <v>0</v>
      </c>
      <c r="J107" t="s">
        <v>337</v>
      </c>
      <c r="K107" t="str">
        <f t="shared" si="1"/>
        <v>Ncf</v>
      </c>
    </row>
    <row r="108" spans="1:11" x14ac:dyDescent="0.25">
      <c r="A108" t="s">
        <v>389</v>
      </c>
      <c r="B108">
        <v>86400</v>
      </c>
      <c r="C108">
        <v>2.8316846999999999E-2</v>
      </c>
      <c r="D108">
        <v>1</v>
      </c>
      <c r="E108" t="b">
        <v>1</v>
      </c>
      <c r="F108" t="b">
        <v>0</v>
      </c>
      <c r="G108" t="b">
        <v>0</v>
      </c>
      <c r="H108" t="b">
        <v>1</v>
      </c>
      <c r="I108" t="b">
        <v>0</v>
      </c>
      <c r="J108" t="s">
        <v>337</v>
      </c>
      <c r="K108" t="str">
        <f t="shared" si="1"/>
        <v>Ncf</v>
      </c>
    </row>
    <row r="109" spans="1:11" x14ac:dyDescent="0.25">
      <c r="A109" t="s">
        <v>390</v>
      </c>
      <c r="B109">
        <v>1</v>
      </c>
      <c r="C109">
        <v>2.8316846999999999E-2</v>
      </c>
      <c r="D109">
        <v>1</v>
      </c>
      <c r="E109" t="b">
        <v>1</v>
      </c>
      <c r="F109" t="b">
        <v>0</v>
      </c>
      <c r="G109" t="b">
        <v>1</v>
      </c>
      <c r="H109" t="b">
        <v>0</v>
      </c>
      <c r="I109" t="b">
        <v>0</v>
      </c>
      <c r="J109" t="s">
        <v>337</v>
      </c>
      <c r="K109" t="str">
        <f t="shared" si="1"/>
        <v>Scf</v>
      </c>
    </row>
    <row r="110" spans="1:11" x14ac:dyDescent="0.25">
      <c r="A110" t="s">
        <v>391</v>
      </c>
      <c r="B110">
        <v>60</v>
      </c>
      <c r="C110">
        <v>2.8316846999999999E-2</v>
      </c>
      <c r="D110">
        <v>1</v>
      </c>
      <c r="E110" t="b">
        <v>1</v>
      </c>
      <c r="F110" t="b">
        <v>0</v>
      </c>
      <c r="G110" t="b">
        <v>1</v>
      </c>
      <c r="H110" t="b">
        <v>0</v>
      </c>
      <c r="I110" t="b">
        <v>0</v>
      </c>
      <c r="J110" t="s">
        <v>337</v>
      </c>
      <c r="K110" t="str">
        <f t="shared" si="1"/>
        <v>Scf</v>
      </c>
    </row>
    <row r="111" spans="1:11" x14ac:dyDescent="0.25">
      <c r="A111" t="s">
        <v>392</v>
      </c>
      <c r="B111">
        <v>3600</v>
      </c>
      <c r="C111">
        <v>2.8316846999999999E-2</v>
      </c>
      <c r="D111">
        <v>1</v>
      </c>
      <c r="E111" t="b">
        <v>1</v>
      </c>
      <c r="F111" t="b">
        <v>0</v>
      </c>
      <c r="G111" t="b">
        <v>1</v>
      </c>
      <c r="H111" t="b">
        <v>0</v>
      </c>
      <c r="I111" t="b">
        <v>0</v>
      </c>
      <c r="J111" t="s">
        <v>337</v>
      </c>
      <c r="K111" t="str">
        <f t="shared" si="1"/>
        <v>Scf</v>
      </c>
    </row>
    <row r="112" spans="1:11" x14ac:dyDescent="0.25">
      <c r="A112" t="s">
        <v>393</v>
      </c>
      <c r="B112">
        <v>86400</v>
      </c>
      <c r="C112">
        <v>2.8316846999999999E-2</v>
      </c>
      <c r="D112">
        <v>1</v>
      </c>
      <c r="E112" t="b">
        <v>1</v>
      </c>
      <c r="F112" t="b">
        <v>0</v>
      </c>
      <c r="G112" t="b">
        <v>1</v>
      </c>
      <c r="H112" t="b">
        <v>0</v>
      </c>
      <c r="I112" t="b">
        <v>0</v>
      </c>
      <c r="J112" t="s">
        <v>337</v>
      </c>
      <c r="K112" t="str">
        <f t="shared" si="1"/>
        <v>Scf</v>
      </c>
    </row>
    <row r="114" spans="1:12" x14ac:dyDescent="0.25">
      <c r="A114" s="139" t="s">
        <v>394</v>
      </c>
      <c r="B114" s="139" t="s">
        <v>323</v>
      </c>
      <c r="C114" s="139" t="s">
        <v>324</v>
      </c>
      <c r="D114" s="139" t="s">
        <v>325</v>
      </c>
      <c r="E114" s="139" t="s">
        <v>326</v>
      </c>
      <c r="F114" s="139" t="s">
        <v>327</v>
      </c>
      <c r="G114" s="139" t="s">
        <v>328</v>
      </c>
      <c r="H114" s="139" t="s">
        <v>329</v>
      </c>
      <c r="I114" s="139" t="s">
        <v>330</v>
      </c>
      <c r="J114" s="139" t="s">
        <v>331</v>
      </c>
      <c r="K114" s="139" t="s">
        <v>332</v>
      </c>
      <c r="L114" s="139"/>
    </row>
    <row r="115" spans="1:12" x14ac:dyDescent="0.25">
      <c r="A115" t="s">
        <v>90</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0</v>
      </c>
      <c r="I115" t="b">
        <f>VLOOKUP($A$115,$A$50:$K$112,9,FALSE)</f>
        <v>1</v>
      </c>
      <c r="J115" t="str">
        <f>VLOOKUP($A$115,$A$50:$K$112,10,FALSE)</f>
        <v>kg/s</v>
      </c>
      <c r="K115" t="str">
        <f>VLOOKUP($A$115,$A$50:$K$112,11,FALSE)</f>
        <v>m³</v>
      </c>
    </row>
    <row r="117" spans="1:12" x14ac:dyDescent="0.25">
      <c r="A117" t="s">
        <v>115</v>
      </c>
      <c r="B117" t="s">
        <v>395</v>
      </c>
    </row>
    <row r="118" spans="1:12" x14ac:dyDescent="0.25">
      <c r="A118" t="s">
        <v>148</v>
      </c>
      <c r="B118">
        <v>1</v>
      </c>
    </row>
    <row r="119" spans="1:12" x14ac:dyDescent="0.25">
      <c r="A119" t="s">
        <v>396</v>
      </c>
      <c r="B119">
        <v>16.018463369999999</v>
      </c>
    </row>
    <row r="120" spans="1:12" x14ac:dyDescent="0.25">
      <c r="A120" t="s">
        <v>397</v>
      </c>
      <c r="B120">
        <v>99.776372660000007</v>
      </c>
    </row>
    <row r="122" spans="1:12" s="139" customFormat="1" x14ac:dyDescent="0.25">
      <c r="A122" s="139" t="s">
        <v>398</v>
      </c>
      <c r="B122" s="139" t="s">
        <v>399</v>
      </c>
      <c r="C122" s="139" t="s">
        <v>400</v>
      </c>
      <c r="D122" s="139" t="s">
        <v>401</v>
      </c>
    </row>
    <row r="123" spans="1:12" x14ac:dyDescent="0.25">
      <c r="A123">
        <v>999.75</v>
      </c>
      <c r="B123" t="s">
        <v>148</v>
      </c>
      <c r="C123">
        <f>USER_DENSITY*VLOOKUP(USER_DENSITY_UNITS,$A$118:$B$120,2,FALSE)</f>
        <v>999.75</v>
      </c>
      <c r="D123" s="144" t="s">
        <v>402</v>
      </c>
    </row>
    <row r="125" spans="1:12" x14ac:dyDescent="0.25">
      <c r="A125" s="139" t="s">
        <v>497</v>
      </c>
      <c r="B125" s="139" t="s">
        <v>510</v>
      </c>
      <c r="C125" s="139" t="s">
        <v>511</v>
      </c>
    </row>
    <row r="126" spans="1:12" x14ac:dyDescent="0.25">
      <c r="A126" t="s">
        <v>498</v>
      </c>
      <c r="B126" t="s">
        <v>915</v>
      </c>
      <c r="C126" t="b">
        <v>0</v>
      </c>
    </row>
    <row r="127" spans="1:12" x14ac:dyDescent="0.25">
      <c r="A127" t="s">
        <v>499</v>
      </c>
      <c r="B127" t="s">
        <v>909</v>
      </c>
      <c r="C127" t="b">
        <v>0</v>
      </c>
    </row>
    <row r="128" spans="1:12" x14ac:dyDescent="0.25">
      <c r="A128" t="s">
        <v>500</v>
      </c>
      <c r="B128" t="s">
        <v>910</v>
      </c>
      <c r="C128" t="b">
        <v>0</v>
      </c>
    </row>
    <row r="129" spans="1:3" x14ac:dyDescent="0.25">
      <c r="A129" t="s">
        <v>501</v>
      </c>
      <c r="B129" t="s">
        <v>914</v>
      </c>
      <c r="C129" t="b">
        <v>0</v>
      </c>
    </row>
    <row r="130" spans="1:3" x14ac:dyDescent="0.25">
      <c r="A130" t="s">
        <v>502</v>
      </c>
      <c r="B130" t="s">
        <v>512</v>
      </c>
      <c r="C130" t="b">
        <v>1</v>
      </c>
    </row>
    <row r="131" spans="1:3" x14ac:dyDescent="0.25">
      <c r="A131" t="s">
        <v>503</v>
      </c>
      <c r="B131" t="s">
        <v>513</v>
      </c>
      <c r="C131" t="b">
        <v>1</v>
      </c>
    </row>
    <row r="132" spans="1:3" x14ac:dyDescent="0.25">
      <c r="A132" t="s">
        <v>504</v>
      </c>
      <c r="B132" t="s">
        <v>514</v>
      </c>
      <c r="C132" t="b">
        <v>1</v>
      </c>
    </row>
    <row r="133" spans="1:3" x14ac:dyDescent="0.25">
      <c r="A133" t="s">
        <v>505</v>
      </c>
      <c r="B133" t="s">
        <v>911</v>
      </c>
      <c r="C133" t="b">
        <v>0</v>
      </c>
    </row>
    <row r="134" spans="1:3" x14ac:dyDescent="0.25">
      <c r="A134" t="s">
        <v>506</v>
      </c>
      <c r="B134" t="s">
        <v>912</v>
      </c>
      <c r="C134" t="b">
        <v>0</v>
      </c>
    </row>
    <row r="135" spans="1:3" x14ac:dyDescent="0.25">
      <c r="A135" t="s">
        <v>507</v>
      </c>
      <c r="B135" t="s">
        <v>913</v>
      </c>
      <c r="C135" t="b">
        <v>0</v>
      </c>
    </row>
    <row r="136" spans="1:3" x14ac:dyDescent="0.25">
      <c r="A136" t="s">
        <v>508</v>
      </c>
      <c r="B136" t="s">
        <v>509</v>
      </c>
      <c r="C136" t="b">
        <v>0</v>
      </c>
    </row>
  </sheetData>
  <conditionalFormatting sqref="C126:C136">
    <cfRule type="cellIs" dxfId="0" priority="1"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1:I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1" spans="1:9" x14ac:dyDescent="0.25">
      <c r="A1" t="s">
        <v>172</v>
      </c>
      <c r="B1" t="s">
        <v>1025</v>
      </c>
      <c r="C1" t="s">
        <v>1026</v>
      </c>
      <c r="D1" t="s">
        <v>515</v>
      </c>
      <c r="E1" t="s">
        <v>1027</v>
      </c>
      <c r="F1" t="s">
        <v>1028</v>
      </c>
      <c r="G1" t="s">
        <v>1029</v>
      </c>
      <c r="H1" t="s">
        <v>1030</v>
      </c>
      <c r="I1">
        <v>4</v>
      </c>
    </row>
    <row r="2" spans="1:9" x14ac:dyDescent="0.25">
      <c r="A2" s="145" t="s">
        <v>1031</v>
      </c>
      <c r="B2">
        <v>17</v>
      </c>
      <c r="C2" t="s">
        <v>1032</v>
      </c>
      <c r="D2" t="s">
        <v>1033</v>
      </c>
      <c r="E2" s="143" t="s">
        <v>1034</v>
      </c>
      <c r="F2">
        <v>1</v>
      </c>
      <c r="G2" t="s">
        <v>512</v>
      </c>
      <c r="H2" t="s">
        <v>1035</v>
      </c>
    </row>
    <row r="3" spans="1:9" x14ac:dyDescent="0.25">
      <c r="A3" t="s">
        <v>1036</v>
      </c>
      <c r="B3">
        <v>18</v>
      </c>
      <c r="C3" t="s">
        <v>1037</v>
      </c>
      <c r="D3" t="s">
        <v>1033</v>
      </c>
      <c r="E3" s="143" t="s">
        <v>1038</v>
      </c>
      <c r="F3">
        <v>1</v>
      </c>
      <c r="G3" t="s">
        <v>512</v>
      </c>
      <c r="H3" t="s">
        <v>1035</v>
      </c>
    </row>
    <row r="4" spans="1:9" x14ac:dyDescent="0.25">
      <c r="A4" t="s">
        <v>1039</v>
      </c>
      <c r="B4">
        <v>19</v>
      </c>
      <c r="C4" t="s">
        <v>1040</v>
      </c>
      <c r="D4" t="s">
        <v>1033</v>
      </c>
      <c r="E4" s="143" t="s">
        <v>1041</v>
      </c>
      <c r="F4">
        <v>1</v>
      </c>
      <c r="G4" t="s">
        <v>512</v>
      </c>
      <c r="H4" t="s">
        <v>1035</v>
      </c>
    </row>
    <row r="5" spans="1:9" x14ac:dyDescent="0.25">
      <c r="A5" t="s">
        <v>1042</v>
      </c>
      <c r="B5">
        <v>20</v>
      </c>
      <c r="C5" t="s">
        <v>1043</v>
      </c>
      <c r="D5" t="s">
        <v>1033</v>
      </c>
      <c r="E5" s="143" t="s">
        <v>1044</v>
      </c>
      <c r="F5">
        <v>1</v>
      </c>
      <c r="G5" t="s">
        <v>514</v>
      </c>
      <c r="H5" t="s">
        <v>1045</v>
      </c>
    </row>
    <row r="6" spans="1:9" x14ac:dyDescent="0.25">
      <c r="E6" s="143"/>
    </row>
    <row r="7" spans="1:9" x14ac:dyDescent="0.25">
      <c r="A7" s="145"/>
    </row>
    <row r="8" spans="1:9" x14ac:dyDescent="0.25">
      <c r="E8" s="143"/>
    </row>
    <row r="10" spans="1:9" x14ac:dyDescent="0.25">
      <c r="E10" s="143"/>
    </row>
    <row r="13" spans="1:9" x14ac:dyDescent="0.25">
      <c r="E13" s="143"/>
    </row>
  </sheetData>
  <sortState xmlns:xlrd2="http://schemas.microsoft.com/office/spreadsheetml/2017/richdata2" ref="A2:H13">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379</vt:i4>
      </vt:variant>
    </vt:vector>
  </HeadingPairs>
  <TitlesOfParts>
    <vt:vector size="400" baseType="lpstr">
      <vt:lpstr>Front Page</vt:lpstr>
      <vt:lpstr>FPD580 Tag Plate</vt:lpstr>
      <vt:lpstr>FPD580 MIS Sheet</vt:lpstr>
      <vt:lpstr>FPD580 TX Instruction</vt:lpstr>
      <vt:lpstr>FPD580 Setup</vt:lpstr>
      <vt:lpstr>FPD580 MIS Data</vt:lpstr>
      <vt:lpstr>FPD580 TX Info</vt:lpstr>
      <vt:lpstr>CM Tag Plate</vt:lpstr>
      <vt:lpstr>CM MIS Sheet</vt:lpstr>
      <vt:lpstr>CM TX Instruction</vt:lpstr>
      <vt:lpstr>CM TX Info</vt:lpstr>
      <vt:lpstr>CM Pito MIS Data</vt:lpstr>
      <vt:lpstr>CM Tag Plate Info</vt:lpstr>
      <vt:lpstr>TB MIS Sheet</vt:lpstr>
      <vt:lpstr>TB Tag Plate</vt:lpstr>
      <vt:lpstr>TB PED Data</vt:lpstr>
      <vt:lpstr>TB Model Data</vt:lpstr>
      <vt:lpstr>TB Model Data 100</vt:lpstr>
      <vt:lpstr>TB Calculation Data</vt:lpstr>
      <vt:lpstr>Conversions</vt:lpstr>
      <vt:lpstr>SolveDPData</vt:lpstr>
      <vt:lpstr>AppTitle</vt:lpstr>
      <vt:lpstr>CM_A_Length</vt:lpstr>
      <vt:lpstr>CM_AverageNRT</vt:lpstr>
      <vt:lpstr>CM_B_Dim</vt:lpstr>
      <vt:lpstr>CM_C_Dim</vt:lpstr>
      <vt:lpstr>CM_D_Dim</vt:lpstr>
      <vt:lpstr>CM_E_dim</vt:lpstr>
      <vt:lpstr>CM_EC</vt:lpstr>
      <vt:lpstr>CM_EC_lookup</vt:lpstr>
      <vt:lpstr>CM_ES_Length</vt:lpstr>
      <vt:lpstr>CM_ES_lookup</vt:lpstr>
      <vt:lpstr>CM_ES_select</vt:lpstr>
      <vt:lpstr>CM_Fin_TW</vt:lpstr>
      <vt:lpstr>CM_FS</vt:lpstr>
      <vt:lpstr>CM_FS_lookup</vt:lpstr>
      <vt:lpstr>CM_FS_select</vt:lpstr>
      <vt:lpstr>CM_G_Dim</vt:lpstr>
      <vt:lpstr>CM_GT</vt:lpstr>
      <vt:lpstr>CM_GT_lookup</vt:lpstr>
      <vt:lpstr>CM_H_Dim</vt:lpstr>
      <vt:lpstr>CM_I_dim</vt:lpstr>
      <vt:lpstr>CM_ID_RATIOOFDIA</vt:lpstr>
      <vt:lpstr>CM_J_Length</vt:lpstr>
      <vt:lpstr>CM_L_Length</vt:lpstr>
      <vt:lpstr>CM_Mach_Fin</vt:lpstr>
      <vt:lpstr>CM_MIS_FlangeSize</vt:lpstr>
      <vt:lpstr>CM_MIS_ITEMNUMBER</vt:lpstr>
      <vt:lpstr>CM_MIS_ITEMQTY</vt:lpstr>
      <vt:lpstr>CM_MIS_ModelType</vt:lpstr>
      <vt:lpstr>CM_MIS_PartNumber</vt:lpstr>
      <vt:lpstr>CM_MIS_PipeID</vt:lpstr>
      <vt:lpstr>CM_MIS_PRESSURE_TEST</vt:lpstr>
      <vt:lpstr>CM_MIS_PRODUCTIONNUMBER</vt:lpstr>
      <vt:lpstr>CM_MIS_SERIALNUMBERS</vt:lpstr>
      <vt:lpstr>CM_MIS_TAGNUMBERS</vt:lpstr>
      <vt:lpstr>CM_MIS_WallThickness</vt:lpstr>
      <vt:lpstr>CM_MIS_WELD_STANDOFF</vt:lpstr>
      <vt:lpstr>CM_MIS_WELD_TORBAR</vt:lpstr>
      <vt:lpstr>CM_Model_list</vt:lpstr>
      <vt:lpstr>CM_N_Dim</vt:lpstr>
      <vt:lpstr>CM_NL</vt:lpstr>
      <vt:lpstr>CM_NL_lookup</vt:lpstr>
      <vt:lpstr>CM_NRT_select</vt:lpstr>
      <vt:lpstr>CM_P_Dim</vt:lpstr>
      <vt:lpstr>CM_PED_Lookup</vt:lpstr>
      <vt:lpstr>CM_PED_Static_Limits_Lookup</vt:lpstr>
      <vt:lpstr>CM_PI_TransmitterPurchaseCode</vt:lpstr>
      <vt:lpstr>CM_PIPEID</vt:lpstr>
      <vt:lpstr>CM_R_Dim</vt:lpstr>
      <vt:lpstr>CM_Series_select</vt:lpstr>
      <vt:lpstr>CM_TI_DENSITYANDUNITS</vt:lpstr>
      <vt:lpstr>CM_TI_DeviceType</vt:lpstr>
      <vt:lpstr>CM_TI_DeviceTypeLookup</vt:lpstr>
      <vt:lpstr>CM_TI_DP</vt:lpstr>
      <vt:lpstr>CM_TI_DP2</vt:lpstr>
      <vt:lpstr>CM_TI_DP3</vt:lpstr>
      <vt:lpstr>CM_TI_DPANDUNITS</vt:lpstr>
      <vt:lpstr>CM_TI_DPUNITS</vt:lpstr>
      <vt:lpstr>CM_TI_DPUNITS2</vt:lpstr>
      <vt:lpstr>CM_TI_DPUNITS3</vt:lpstr>
      <vt:lpstr>CM_TI_FLOW</vt:lpstr>
      <vt:lpstr>CM_TI_FLOWANDUNITS</vt:lpstr>
      <vt:lpstr>CM_TI_FLOWDESCRIPTION</vt:lpstr>
      <vt:lpstr>CM_TI_FLOWUNITS</vt:lpstr>
      <vt:lpstr>CM_TI_FLUIDTYPE</vt:lpstr>
      <vt:lpstr>CM_TI_IDANDUNITS</vt:lpstr>
      <vt:lpstr>CM_TI_ISENTROPIC</vt:lpstr>
      <vt:lpstr>CM_TI_MaterialElement</vt:lpstr>
      <vt:lpstr>CM_TI_MaterialLookup</vt:lpstr>
      <vt:lpstr>CM_TI_MaterialTube</vt:lpstr>
      <vt:lpstr>CM_TI_MeterPurchaseCode</vt:lpstr>
      <vt:lpstr>CM_TI_OrderItem</vt:lpstr>
      <vt:lpstr>CM_TI_OrderNumber</vt:lpstr>
      <vt:lpstr>CM_TI_PRESSANDUNITS</vt:lpstr>
      <vt:lpstr>CM_TI_RatioOfDia</vt:lpstr>
      <vt:lpstr>CM_TI_RatioOfDiaLookup</vt:lpstr>
      <vt:lpstr>CM_TI_REYNOLDS</vt:lpstr>
      <vt:lpstr>CM_TI_SerialNumber</vt:lpstr>
      <vt:lpstr>CM_TI_StandardDensity</vt:lpstr>
      <vt:lpstr>CM_TI_TagNumber</vt:lpstr>
      <vt:lpstr>CM_TI_TEMPANDUNITS</vt:lpstr>
      <vt:lpstr>CM_TorbarModel</vt:lpstr>
      <vt:lpstr>CM_WALLT</vt:lpstr>
      <vt:lpstr>CM_WELD_STANDOFF</vt:lpstr>
      <vt:lpstr>CM_X_Dim</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FPD580_MIS_CC_NOT_TP2</vt:lpstr>
      <vt:lpstr>FPD580_MIS_CC_TP2</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FPD580_MIS_PartNumber</vt:lpstr>
      <vt:lpstr>FPD580_MIS_PRODUCTIONNUMBER</vt:lpstr>
      <vt:lpstr>FPD580_MIS_SERIALNUMBERS</vt:lpstr>
      <vt:lpstr>FPD580_MIS_TAGNUMBERS</vt:lpstr>
      <vt:lpstr>FPD580_MIS_ThreadedFlange</vt:lpstr>
      <vt:lpstr>FPD580_MIS_TP3_YN</vt:lpstr>
      <vt:lpstr>FPD580_MIS_TP8_YN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'CM MIS Sheet'!Print_Area</vt:lpstr>
      <vt:lpstr>'CM Tag Plate'!Print_Area</vt:lpstr>
      <vt:lpstr>'FPD580 MIS Sheet'!Print_Area</vt:lpstr>
      <vt:lpstr>'FPD580 Setup'!Print_Area</vt:lpstr>
      <vt:lpstr>'Front Page'!Print_Area</vt:lpstr>
      <vt:lpstr>ProductionOrderNo</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TB_MIS_PRODUCTIONNUMBER</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Michael Dye</cp:lastModifiedBy>
  <cp:lastPrinted>2017-08-03T13:15:14Z</cp:lastPrinted>
  <dcterms:created xsi:type="dcterms:W3CDTF">2015-10-06T11:08:55Z</dcterms:created>
  <dcterms:modified xsi:type="dcterms:W3CDTF">2019-05-17T13:15:49Z</dcterms:modified>
</cp:coreProperties>
</file>