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I:\Dyetech Data\McMenon\WinForms\Solve\Configuration Data\Solve\Inspection Spreadsheet\"/>
    </mc:Choice>
  </mc:AlternateContent>
  <xr:revisionPtr revIDLastSave="0" documentId="13_ncr:1_{4ABFF9B0-6EBC-4B33-89F4-7EBD69B86E12}" xr6:coauthVersionLast="43" xr6:coauthVersionMax="43" xr10:uidLastSave="{00000000-0000-0000-0000-000000000000}"/>
  <bookViews>
    <workbookView xWindow="795" yWindow="765" windowWidth="28005" windowHeight="15435" tabRatio="831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Crosstable!$M$41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Crosstable!$A$46:$A$86</definedName>
    <definedName name="CROSSREF_INSPECT">Crosstable!$A$32:$A$44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Template!$A$1:$G$60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" i="24" l="1"/>
  <c r="C3" i="20" l="1"/>
  <c r="C2" i="20"/>
  <c r="C1" i="20"/>
  <c r="C3" i="19"/>
  <c r="C2" i="19"/>
  <c r="C1" i="19"/>
  <c r="N49" i="23" l="1"/>
  <c r="N50" i="23"/>
  <c r="N51" i="23"/>
  <c r="N59" i="23"/>
  <c r="B31" i="24" l="1"/>
  <c r="B32" i="24"/>
  <c r="B33" i="24"/>
  <c r="B35" i="24"/>
  <c r="B34" i="24"/>
  <c r="C123" i="9" l="1"/>
  <c r="C46" i="9" l="1"/>
  <c r="B14" i="9"/>
  <c r="B13" i="9"/>
  <c r="B12" i="9"/>
  <c r="B11" i="9"/>
  <c r="N69" i="23" l="1"/>
  <c r="N70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<sst xmlns="http://schemas.openxmlformats.org/spreadsheetml/2006/main" count="1952" uniqueCount="597">
  <si>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</si>
  <si>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</si>
  <si>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</si>
  <si>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</si>
  <si>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</si>
  <si>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</si>
  <si>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</si>
  <si>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</si>
  <si>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</si>
  <si>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</si>
  <si>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</si>
  <si>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</si>
  <si>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</si>
  <si>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</si>
  <si>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</si>
  <si>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</si>
  <si>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</si>
  <si>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</si>
  <si>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</si>
  <si>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</si>
  <si>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</si>
  <si>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</si>
  <si>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</si>
  <si>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</si>
  <si>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</si>
  <si>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</si>
  <si>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</si>
  <si>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</si>
  <si>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</si>
  <si>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</si>
  <si>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</si>
  <si>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</si>
  <si>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</si>
  <si>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</si>
  <si>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</si>
  <si>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</si>
  <si>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</si>
  <si>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</si>
  <si>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</si>
  <si>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</si>
  <si>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</si>
  <si>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</si>
  <si>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</si>
  <si>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</si>
  <si>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</si>
  <si>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</si>
  <si>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</si>
  <si>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</si>
  <si>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</si>
  <si>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</si>
  <si>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</si>
  <si>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</si>
  <si>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</si>
  <si>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</si>
  <si>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</si>
  <si>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</si>
  <si>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</si>
  <si>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</si>
  <si>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</si>
  <si>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</si>
  <si>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</si>
  <si>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</si>
  <si>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</si>
  <si>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</si>
  <si>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</si>
  <si>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</si>
  <si>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</si>
  <si>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</si>
  <si>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</si>
  <si>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</si>
  <si>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</si>
  <si>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</si>
  <si>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</si>
  <si>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</si>
  <si>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</si>
  <si>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</si>
  <si>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</si>
  <si>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</si>
  <si>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</si>
  <si>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</si>
  <si>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</si>
  <si>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</si>
  <si>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</si>
  <si>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</si>
  <si>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</si>
  <si>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</si>
  <si>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</si>
  <si>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</si>
  <si>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</si>
  <si>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</si>
  <si>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</si>
  <si>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</si>
  <si>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</si>
  <si>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</si>
  <si>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</si>
  <si>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</si>
  <si>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</si>
  <si>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</si>
  <si>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</si>
  <si>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</si>
  <si>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</si>
  <si>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</si>
  <si>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</si>
  <si>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</si>
  <si>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</si>
  <si>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</si>
  <si>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</si>
  <si>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</si>
  <si>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</si>
  <si>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</si>
  <si>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</si>
  <si>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</si>
  <si>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</si>
  <si>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</si>
  <si>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</si>
  <si>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</si>
  <si>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</si>
  <si>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</si>
  <si>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</si>
  <si>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</si>
  <si>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</si>
  <si>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</si>
  <si>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</si>
  <si>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</si>
  <si>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</si>
  <si>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</si>
  <si>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</si>
  <si>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</si>
  <si>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</si>
  <si>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</si>
  <si>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</si>
  <si>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</si>
  <si>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</si>
  <si>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</si>
  <si>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</si>
  <si>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</si>
  <si>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</si>
  <si>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</si>
  <si>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</si>
  <si>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</si>
  <si>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</si>
  <si>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</si>
  <si>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</si>
  <si>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</si>
  <si>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</si>
  <si>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</si>
  <si>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</si>
  <si>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</si>
  <si>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</si>
  <si>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</si>
  <si>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</si>
  <si>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</si>
  <si>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</si>
  <si>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</si>
  <si>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</si>
  <si>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</si>
  <si>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</si>
  <si>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</si>
  <si>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</si>
  <si>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</si>
  <si>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</si>
  <si>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</si>
  <si>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</si>
  <si>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</si>
  <si>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</si>
  <si>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</si>
  <si>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</si>
  <si>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</si>
  <si>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</si>
  <si>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</si>
  <si>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</si>
  <si>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Ready: Go! - this will load a SolveDP data file and create</t>
  </si>
  <si>
    <t>(a list of those items will appear below)</t>
  </si>
  <si>
    <t>Reset - clears this spread sheet</t>
  </si>
  <si>
    <t>ABB Order Item</t>
  </si>
  <si>
    <t>Tag number</t>
  </si>
  <si>
    <t>Link to sheet</t>
  </si>
  <si>
    <t>Client Order No</t>
  </si>
  <si>
    <t>ABB Order No</t>
  </si>
  <si>
    <t>Orifice inspection sheets for each Orifice item found</t>
  </si>
  <si>
    <t>Description</t>
  </si>
  <si>
    <t>Orifice Plate</t>
  </si>
  <si>
    <t>Tab Handle</t>
  </si>
  <si>
    <t>Weld Information</t>
  </si>
  <si>
    <t>Consumable</t>
  </si>
  <si>
    <t>Welder</t>
  </si>
  <si>
    <t>Date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</si>
  <si>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</si>
  <si>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</si>
  <si>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</si>
  <si>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</si>
  <si>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</si>
  <si>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</si>
  <si>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</si>
  <si>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</si>
  <si>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</si>
  <si>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</si>
  <si>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</si>
  <si>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</si>
  <si>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</si>
  <si>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</si>
  <si>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</si>
  <si>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</si>
  <si>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</si>
  <si>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</si>
  <si>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</si>
  <si>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</si>
  <si>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</si>
  <si>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</si>
  <si>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</si>
  <si>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</si>
  <si>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</si>
  <si>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</si>
  <si>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</si>
  <si>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</si>
  <si>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</si>
  <si>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</si>
  <si>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</si>
  <si>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</si>
  <si>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</si>
  <si>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</si>
  <si>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</si>
  <si>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</si>
  <si>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</si>
  <si>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</si>
  <si>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</si>
  <si>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</si>
  <si>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</si>
  <si>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</si>
  <si>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</si>
  <si>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</si>
  <si>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</si>
  <si>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</si>
  <si>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</si>
  <si>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</si>
  <si>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</si>
  <si>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</si>
  <si>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</si>
  <si>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</si>
  <si>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</si>
  <si>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</si>
  <si>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</si>
  <si>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</si>
  <si>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</si>
  <si>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</si>
  <si>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</si>
  <si>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</si>
  <si>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</si>
  <si>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</si>
  <si>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</si>
  <si>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</si>
  <si>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</si>
  <si>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</si>
  <si>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</si>
  <si>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</si>
  <si>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</si>
  <si>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</si>
  <si>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</si>
  <si>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</si>
  <si>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</si>
  <si>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</si>
  <si>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</si>
  <si>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</si>
  <si>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</si>
  <si>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</si>
  <si>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</si>
  <si>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</si>
  <si>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</si>
  <si>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</si>
  <si>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</si>
  <si>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</si>
  <si>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</si>
  <si>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</si>
  <si>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</si>
  <si>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</si>
  <si>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</si>
  <si>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</si>
  <si>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</si>
  <si>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</si>
  <si>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</si>
  <si>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</si>
  <si>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</si>
  <si>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</si>
  <si>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</si>
  <si>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</si>
  <si>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</si>
  <si>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</si>
  <si>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</si>
  <si>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</si>
  <si>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</si>
  <si>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</si>
  <si>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</si>
  <si>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</si>
  <si>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</si>
  <si>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</si>
  <si>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</si>
  <si>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</si>
  <si>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</si>
  <si>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ABB Order #</t>
  </si>
  <si>
    <t>Customer PO #</t>
  </si>
  <si>
    <t>ABB Order Item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</si>
  <si>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</si>
  <si>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</si>
  <si>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</si>
  <si>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</si>
  <si>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</si>
  <si>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</si>
  <si>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</si>
  <si>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</si>
  <si>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</si>
  <si>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</si>
  <si>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</si>
  <si>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</si>
  <si>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Dressed?</t>
  </si>
  <si>
    <t>Local Equipment #</t>
  </si>
  <si>
    <t>Cal Due Date</t>
  </si>
  <si>
    <t>Signed:</t>
  </si>
  <si>
    <t>Name:</t>
  </si>
  <si>
    <t>Date:</t>
  </si>
  <si>
    <t>Weld Location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</si>
  <si>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</si>
  <si>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</si>
  <si>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</si>
  <si>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</si>
  <si>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</si>
  <si>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</si>
  <si>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</si>
  <si>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</si>
  <si>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</si>
  <si>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</si>
  <si>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</si>
  <si>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</si>
  <si>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</si>
  <si>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</si>
  <si>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</si>
  <si>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</si>
  <si>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</si>
  <si>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</si>
  <si>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</si>
  <si>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</si>
  <si>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</si>
  <si>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</si>
  <si>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</si>
  <si>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</si>
  <si>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</si>
  <si>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</si>
  <si>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</si>
  <si>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</si>
  <si>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</si>
  <si>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</si>
  <si>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</si>
  <si>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</si>
  <si>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</si>
  <si>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</si>
  <si>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</si>
  <si>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</si>
  <si>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</si>
  <si>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</si>
  <si>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</si>
  <si>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</si>
  <si>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</si>
  <si>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</si>
  <si>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</si>
  <si>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</si>
  <si>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</si>
  <si>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</si>
  <si>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</si>
  <si>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</si>
  <si>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</si>
  <si>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</si>
  <si>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</si>
  <si>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</si>
  <si>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</si>
  <si>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</si>
  <si>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</si>
  <si>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</si>
  <si>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</si>
  <si>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</si>
  <si>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</si>
  <si>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</si>
  <si>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</si>
  <si>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</si>
  <si>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</si>
  <si>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</si>
  <si>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</si>
  <si>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</si>
  <si>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</si>
  <si>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</si>
  <si>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</si>
  <si>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</si>
  <si>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</si>
  <si>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</si>
  <si>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</si>
  <si>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</si>
  <si>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</si>
  <si>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</si>
  <si>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</si>
  <si>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</si>
  <si>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</si>
  <si>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</si>
  <si>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</si>
  <si>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</si>
  <si>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</si>
  <si>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</si>
  <si>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</si>
  <si>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</si>
  <si>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</si>
  <si>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</si>
  <si>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</si>
  <si>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</si>
  <si>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</si>
  <si>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</si>
  <si>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</si>
  <si>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</si>
  <si>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</si>
  <si>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</si>
  <si>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</si>
  <si>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</si>
  <si>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</si>
  <si>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</si>
  <si>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</si>
  <si>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</si>
  <si>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</si>
  <si>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</si>
  <si>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</si>
  <si>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</si>
  <si>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</si>
  <si>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</si>
  <si>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</si>
  <si>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</si>
  <si>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</si>
  <si>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</si>
  <si>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</si>
  <si>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</si>
  <si>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</si>
  <si>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</si>
  <si>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</si>
  <si>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</si>
  <si>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</si>
  <si>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SolveDP Inspection &amp; Traceability Template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</si>
  <si>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</si>
  <si>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</si>
  <si>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</si>
  <si>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</si>
  <si>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</si>
  <si>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</si>
  <si>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</si>
  <si>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</si>
  <si>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</si>
  <si>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</si>
  <si>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</si>
  <si>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</si>
  <si>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</si>
  <si>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</si>
  <si>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</si>
  <si>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</si>
  <si>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</si>
  <si>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</si>
  <si>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</si>
  <si>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</si>
  <si>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</si>
  <si>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</si>
  <si>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</si>
  <si>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</si>
  <si>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</si>
  <si>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</si>
  <si>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</si>
  <si>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</si>
  <si>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</si>
  <si>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</si>
  <si>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</si>
  <si>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</si>
  <si>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</si>
  <si>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</si>
  <si>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</si>
  <si>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</si>
  <si>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</si>
  <si>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</si>
  <si>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</si>
  <si>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</si>
  <si>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</si>
  <si>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</si>
  <si>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</si>
  <si>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</si>
  <si>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</si>
  <si>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</si>
  <si>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</si>
  <si>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</si>
  <si>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</si>
  <si>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</si>
  <si>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</si>
  <si>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</si>
  <si>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</si>
  <si>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</si>
  <si>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</si>
  <si>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</si>
  <si>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</si>
  <si>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</si>
  <si>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</si>
  <si>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</si>
  <si>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</si>
  <si>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</si>
  <si>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</si>
  <si>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</si>
  <si>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</si>
  <si>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</si>
  <si>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</si>
  <si>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</si>
  <si>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</si>
  <si>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</si>
  <si>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</si>
  <si>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</si>
  <si>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</si>
  <si>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</si>
  <si>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</si>
  <si>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</si>
  <si>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</si>
  <si>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</si>
  <si>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</si>
  <si>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</si>
  <si>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</si>
  <si>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</si>
  <si>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</si>
  <si>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</si>
  <si>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</si>
  <si>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</si>
  <si>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</si>
  <si>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</si>
  <si>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</si>
  <si>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</si>
  <si>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</si>
  <si>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</si>
  <si>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</si>
  <si>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</si>
  <si>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</si>
  <si>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</si>
  <si>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</si>
  <si>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</si>
  <si>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</si>
  <si>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</si>
  <si>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</si>
  <si>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</si>
  <si>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</si>
  <si>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</si>
  <si>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</si>
  <si>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Pipe length, P</t>
  </si>
  <si>
    <t>Flange Length, F</t>
  </si>
  <si>
    <t>Tapping Flange Length, TF</t>
  </si>
  <si>
    <t>Tapping ID, TD</t>
  </si>
  <si>
    <t>Tapping hole, E</t>
  </si>
  <si>
    <t>GADimensionF</t>
  </si>
  <si>
    <t>GADimensionTF</t>
  </si>
  <si>
    <t>GADimensionTFUnits</t>
  </si>
  <si>
    <t>FPD470_DimE</t>
  </si>
  <si>
    <t>FPD470_DimEUnits</t>
  </si>
  <si>
    <t>FPD470_DimTD</t>
  </si>
  <si>
    <t>FPD470_DimTDUnits</t>
  </si>
  <si>
    <t>GADimensionFUnits</t>
  </si>
  <si>
    <t>CH/FPD/PRODUCT/DES=P AND CH/FPD/LINE/SIZE=NOT 025,032,040,050,065</t>
  </si>
  <si>
    <t>CH/FPD/PRODUCT/DES=NOT P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</si>
  <si>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</si>
  <si>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</si>
  <si>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</si>
  <si>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</si>
  <si>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</si>
  <si>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</si>
  <si>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</si>
  <si>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</si>
  <si>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</si>
  <si>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</si>
  <si>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</si>
  <si>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</si>
  <si>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</si>
  <si>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</si>
  <si>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</si>
  <si>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</si>
  <si>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</si>
  <si>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</si>
  <si>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</si>
  <si>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</si>
  <si>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</si>
  <si>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</si>
  <si>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</si>
  <si>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</si>
  <si>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</si>
  <si>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</si>
  <si>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</si>
  <si>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</si>
  <si>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</si>
  <si>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</si>
  <si>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</si>
  <si>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</si>
  <si>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</si>
  <si>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</si>
  <si>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</si>
  <si>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</si>
  <si>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V1.01 17/May/2019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</si>
</sst>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5" xfId="0" applyBorder="1" applyAlignment="1"/>
    <xf numFmtId="0" fontId="0" fillId="0" borderId="18" xfId="0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32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32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8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9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9" xfId="0" applyNumberForma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5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30" xfId="0" quotePrefix="1" applyNumberFormat="1" applyFill="1" applyBorder="1" applyAlignment="1">
      <alignment horizontal="center" vertical="center" wrapText="1"/>
    </xf>
    <xf numFmtId="0" fontId="0" fillId="0" borderId="31" xfId="0" quotePrefix="1" applyFill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7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33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tabSelected="1" zoomScaleNormal="100" workbookViewId="0">
      <selection activeCell="A7" sqref="A7:XFD7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439</v>
      </c>
      <c r="C2" s="184"/>
      <c r="D2" s="184"/>
      <c r="G2" s="4"/>
      <c r="H2"/>
      <c r="I2"/>
      <c r="AA2"/>
    </row>
    <row r="3" spans="2:27" ht="15" customHeight="1" x14ac:dyDescent="0.25">
      <c r="B3" s="89"/>
      <c r="C3" s="89"/>
      <c r="D3" s="89"/>
      <c r="F3"/>
      <c r="H3"/>
      <c r="I3"/>
      <c r="AA3"/>
    </row>
    <row r="4" spans="2:27" ht="15" customHeight="1" x14ac:dyDescent="0.25">
      <c r="B4" s="89" t="s">
        <v>596</v>
      </c>
      <c r="C4" s="89"/>
      <c r="D4" s="89"/>
      <c r="F4"/>
      <c r="H4"/>
      <c r="I4"/>
      <c r="AA4"/>
    </row>
    <row r="5" spans="2:27" ht="15" customHeight="1" x14ac:dyDescent="0.5">
      <c r="B5" s="89"/>
      <c r="C5" s="184"/>
      <c r="D5" s="184"/>
      <c r="F5"/>
      <c r="H5"/>
      <c r="I5"/>
      <c r="AA5"/>
    </row>
    <row r="6" spans="2:27" ht="6" customHeight="1" x14ac:dyDescent="0.25">
      <c r="B6" s="89"/>
      <c r="F6"/>
      <c r="H6"/>
      <c r="I6"/>
      <c r="AA6"/>
    </row>
    <row r="7" spans="2:27" x14ac:dyDescent="0.25">
      <c r="B7" s="89" t="s">
        <v>171</v>
      </c>
      <c r="F7"/>
      <c r="H7"/>
      <c r="I7"/>
      <c r="M7" s="122" t="b">
        <v>0</v>
      </c>
      <c r="AA7"/>
    </row>
    <row r="8" spans="2:27" x14ac:dyDescent="0.25">
      <c r="B8" s="89" t="s">
        <v>179</v>
      </c>
      <c r="F8"/>
      <c r="H8"/>
      <c r="I8"/>
      <c r="AA8"/>
    </row>
    <row r="9" spans="2:27" x14ac:dyDescent="0.25">
      <c r="B9" s="89" t="s">
        <v>172</v>
      </c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173</v>
      </c>
      <c r="F11" s="126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4"/>
      <c r="AA1015" s="10"/>
    </row>
    <row r="1016" spans="2:27" x14ac:dyDescent="0.25">
      <c r="B1016" s="10"/>
      <c r="C1016" s="10"/>
      <c r="D1016" s="10"/>
      <c r="F1016" s="54"/>
      <c r="AA1016" s="10"/>
    </row>
    <row r="1017" spans="2:27" x14ac:dyDescent="0.25">
      <c r="B1017" s="10"/>
      <c r="C1017" s="10"/>
      <c r="D1017" s="10"/>
      <c r="F1017" s="54"/>
      <c r="AA1017" s="10"/>
    </row>
    <row r="1018" spans="2:27" x14ac:dyDescent="0.25">
      <c r="B1018" s="10"/>
      <c r="C1018" s="10"/>
      <c r="D1018" s="10"/>
      <c r="F1018" s="54"/>
      <c r="AA1018" s="10"/>
    </row>
    <row r="1019" spans="2:27" x14ac:dyDescent="0.25">
      <c r="B1019" s="10"/>
      <c r="C1019" s="10"/>
      <c r="D1019" s="10"/>
      <c r="F1019" s="54"/>
      <c r="AA1019" s="10"/>
    </row>
    <row r="1020" spans="2:27" x14ac:dyDescent="0.25">
      <c r="B1020" s="10"/>
      <c r="C1020" s="10"/>
      <c r="D1020" s="10"/>
      <c r="F1020" s="54"/>
      <c r="AA1020" s="10"/>
    </row>
    <row r="1021" spans="2:27" x14ac:dyDescent="0.25">
      <c r="B1021" s="10"/>
      <c r="C1021" s="10"/>
      <c r="D1021" s="10"/>
      <c r="F1021" s="54"/>
      <c r="AA1021" s="10"/>
    </row>
    <row r="1022" spans="2:27" x14ac:dyDescent="0.25">
      <c r="B1022" s="10"/>
      <c r="C1022" s="10"/>
      <c r="D1022" s="10"/>
      <c r="F1022" s="54"/>
      <c r="AA1022" s="10"/>
    </row>
    <row r="1023" spans="2:27" x14ac:dyDescent="0.25">
      <c r="B1023" s="10"/>
      <c r="C1023" s="10"/>
      <c r="D1023" s="10"/>
      <c r="F1023" s="54"/>
      <c r="AA1023" s="10"/>
    </row>
    <row r="1024" spans="2:27" x14ac:dyDescent="0.25">
      <c r="B1024" s="10"/>
      <c r="C1024" s="10"/>
      <c r="D1024" s="10"/>
      <c r="F1024" s="54"/>
      <c r="AA1024" s="10"/>
    </row>
    <row r="1025" spans="2:27" x14ac:dyDescent="0.25">
      <c r="B1025" s="10"/>
      <c r="C1025" s="10"/>
      <c r="D1025" s="10"/>
      <c r="F1025" s="54"/>
      <c r="AA1025" s="10"/>
    </row>
    <row r="1026" spans="2:27" x14ac:dyDescent="0.25">
      <c r="B1026" s="10"/>
      <c r="C1026" s="10"/>
      <c r="D1026" s="10"/>
      <c r="F1026" s="54"/>
      <c r="AA1026" s="10"/>
    </row>
    <row r="1027" spans="2:27" x14ac:dyDescent="0.25">
      <c r="B1027" s="10"/>
      <c r="C1027" s="10"/>
      <c r="D1027" s="10"/>
      <c r="F1027" s="54"/>
      <c r="AA1027" s="10"/>
    </row>
    <row r="1028" spans="2:27" x14ac:dyDescent="0.25">
      <c r="B1028" s="10"/>
      <c r="C1028" s="10"/>
      <c r="D1028" s="10"/>
      <c r="F1028" s="54"/>
      <c r="AA1028" s="10"/>
    </row>
    <row r="1029" spans="2:27" x14ac:dyDescent="0.25">
      <c r="B1029" s="10"/>
      <c r="C1029" s="10"/>
      <c r="D1029" s="10"/>
      <c r="F1029" s="54"/>
      <c r="AA1029" s="10"/>
    </row>
    <row r="1030" spans="2:27" x14ac:dyDescent="0.25">
      <c r="B1030" s="10"/>
      <c r="C1030" s="10"/>
      <c r="D1030" s="10"/>
      <c r="F1030" s="54"/>
      <c r="AA1030" s="10"/>
    </row>
    <row r="1031" spans="2:27" x14ac:dyDescent="0.25">
      <c r="B1031" s="10"/>
      <c r="C1031" s="10"/>
      <c r="D1031" s="10"/>
      <c r="F1031" s="54"/>
      <c r="AA1031" s="10"/>
    </row>
    <row r="1032" spans="2:27" x14ac:dyDescent="0.25">
      <c r="B1032" s="10"/>
      <c r="C1032" s="10"/>
      <c r="D1032" s="10"/>
      <c r="F1032" s="54"/>
      <c r="AA1032" s="10"/>
    </row>
    <row r="1033" spans="2:27" x14ac:dyDescent="0.25">
      <c r="B1033" s="10"/>
      <c r="C1033" s="10"/>
      <c r="D1033" s="10"/>
      <c r="F1033" s="54"/>
      <c r="AA1033" s="10"/>
    </row>
    <row r="1034" spans="2:27" x14ac:dyDescent="0.25">
      <c r="B1034" s="10"/>
      <c r="C1034" s="10"/>
      <c r="D1034" s="10"/>
      <c r="F1034" s="54"/>
      <c r="AA1034" s="10"/>
    </row>
    <row r="1035" spans="2:27" x14ac:dyDescent="0.25">
      <c r="B1035" s="10"/>
      <c r="C1035" s="10"/>
      <c r="D1035" s="10"/>
      <c r="F1035" s="54"/>
      <c r="AA1035" s="10"/>
    </row>
    <row r="1036" spans="2:27" x14ac:dyDescent="0.25">
      <c r="B1036" s="10"/>
      <c r="C1036" s="10"/>
      <c r="D1036" s="10"/>
      <c r="F1036" s="54"/>
      <c r="AA1036" s="10"/>
    </row>
    <row r="1037" spans="2:27" x14ac:dyDescent="0.25">
      <c r="B1037" s="10"/>
      <c r="C1037" s="10"/>
      <c r="D1037" s="10"/>
      <c r="F1037" s="54"/>
      <c r="AA1037" s="10"/>
    </row>
    <row r="1038" spans="2:27" x14ac:dyDescent="0.25">
      <c r="B1038" s="10"/>
      <c r="C1038" s="10"/>
      <c r="D1038" s="10"/>
      <c r="F1038" s="54"/>
      <c r="AA1038" s="10"/>
    </row>
    <row r="1039" spans="2:27" x14ac:dyDescent="0.25">
      <c r="B1039" s="10"/>
      <c r="C1039" s="10"/>
      <c r="D1039" s="10"/>
      <c r="F1039" s="54"/>
      <c r="AA1039" s="10"/>
    </row>
    <row r="1040" spans="2:27" x14ac:dyDescent="0.25">
      <c r="B1040" s="10"/>
      <c r="C1040" s="10"/>
      <c r="D1040" s="10"/>
      <c r="F1040" s="54"/>
      <c r="AA1040" s="10"/>
    </row>
    <row r="1041" spans="2:27" x14ac:dyDescent="0.25">
      <c r="B1041" s="10"/>
      <c r="C1041" s="10"/>
      <c r="D1041" s="10"/>
      <c r="F1041" s="54"/>
      <c r="AA1041" s="10"/>
    </row>
    <row r="1042" spans="2:27" x14ac:dyDescent="0.25">
      <c r="B1042" s="10"/>
      <c r="C1042" s="10"/>
      <c r="D1042" s="10"/>
      <c r="F1042" s="54"/>
      <c r="AA1042" s="10"/>
    </row>
    <row r="1043" spans="2:27" x14ac:dyDescent="0.25">
      <c r="B1043" s="10"/>
      <c r="C1043" s="10"/>
      <c r="D1043" s="10"/>
      <c r="F1043" s="54"/>
      <c r="AA1043" s="10"/>
    </row>
    <row r="1044" spans="2:27" x14ac:dyDescent="0.25">
      <c r="B1044" s="10"/>
      <c r="C1044" s="10"/>
      <c r="D1044" s="10"/>
      <c r="F1044" s="54"/>
      <c r="AA1044" s="10"/>
    </row>
    <row r="1045" spans="2:27" x14ac:dyDescent="0.25">
      <c r="B1045" s="10"/>
      <c r="C1045" s="10"/>
      <c r="D1045" s="10"/>
      <c r="F1045" s="54"/>
      <c r="AA1045" s="10"/>
    </row>
    <row r="1046" spans="2:27" x14ac:dyDescent="0.25">
      <c r="B1046" s="10"/>
      <c r="C1046" s="10"/>
      <c r="D1046" s="10"/>
      <c r="F1046" s="54"/>
      <c r="AA1046" s="10"/>
    </row>
    <row r="1047" spans="2:27" x14ac:dyDescent="0.25">
      <c r="B1047" s="10"/>
      <c r="C1047" s="10"/>
      <c r="D1047" s="10"/>
      <c r="F1047" s="54"/>
      <c r="AA1047" s="10"/>
    </row>
    <row r="1048" spans="2:27" x14ac:dyDescent="0.25">
      <c r="B1048" s="10"/>
      <c r="C1048" s="10"/>
      <c r="D1048" s="10"/>
      <c r="F1048" s="54"/>
      <c r="AA1048" s="10"/>
    </row>
    <row r="1049" spans="2:27" x14ac:dyDescent="0.25">
      <c r="B1049" s="10"/>
      <c r="C1049" s="10"/>
      <c r="D1049" s="10"/>
      <c r="F1049" s="54"/>
      <c r="AA1049" s="10"/>
    </row>
    <row r="1050" spans="2:27" x14ac:dyDescent="0.25">
      <c r="B1050" s="10"/>
      <c r="C1050" s="10"/>
      <c r="D1050" s="10"/>
      <c r="F1050" s="54"/>
      <c r="AA1050" s="10"/>
    </row>
    <row r="1051" spans="2:27" x14ac:dyDescent="0.25">
      <c r="B1051" s="10"/>
      <c r="C1051" s="10"/>
      <c r="D1051" s="10"/>
      <c r="F1051" s="54"/>
      <c r="AA1051"/>
    </row>
    <row r="1052" spans="2:27" x14ac:dyDescent="0.25">
      <c r="B1052" s="10"/>
      <c r="C1052" s="10"/>
      <c r="D1052" s="10"/>
      <c r="F1052" s="54"/>
      <c r="AA1052"/>
    </row>
    <row r="1053" spans="2:27" x14ac:dyDescent="0.25">
      <c r="B1053" s="10"/>
      <c r="C1053" s="10"/>
      <c r="D1053" s="10"/>
      <c r="F1053" s="54"/>
      <c r="AA1053"/>
    </row>
    <row r="1054" spans="2:27" x14ac:dyDescent="0.25">
      <c r="B1054" s="10"/>
      <c r="C1054" s="10"/>
      <c r="D1054" s="10"/>
      <c r="F1054" s="54"/>
      <c r="AA1054"/>
    </row>
    <row r="1055" spans="2:27" x14ac:dyDescent="0.25">
      <c r="B1055" s="10"/>
      <c r="C1055" s="10"/>
      <c r="D1055" s="10"/>
      <c r="F1055" s="54"/>
      <c r="AA1055"/>
    </row>
    <row r="1056" spans="2:27" x14ac:dyDescent="0.25">
      <c r="B1056" s="10"/>
      <c r="C1056" s="10"/>
      <c r="D1056" s="10"/>
      <c r="F1056" s="54"/>
      <c r="AA1056"/>
    </row>
    <row r="1057" spans="2:27" x14ac:dyDescent="0.25">
      <c r="B1057" s="10"/>
      <c r="C1057" s="10"/>
      <c r="D1057" s="10"/>
      <c r="F1057" s="54"/>
      <c r="AA1057"/>
    </row>
    <row r="1058" spans="2:27" x14ac:dyDescent="0.25">
      <c r="B1058" s="10"/>
      <c r="C1058" s="10"/>
      <c r="D1058" s="10"/>
      <c r="F1058" s="54"/>
      <c r="AA1058"/>
    </row>
    <row r="1059" spans="2:27" x14ac:dyDescent="0.25">
      <c r="B1059" s="10"/>
      <c r="C1059" s="10"/>
      <c r="D1059" s="10"/>
      <c r="F1059" s="54"/>
      <c r="AA1059"/>
    </row>
    <row r="1060" spans="2:27" x14ac:dyDescent="0.25">
      <c r="B1060" s="10"/>
      <c r="C1060" s="10"/>
      <c r="D1060" s="10"/>
      <c r="F1060" s="54"/>
      <c r="AA1060"/>
    </row>
    <row r="1061" spans="2:27" x14ac:dyDescent="0.25">
      <c r="B1061" s="10"/>
      <c r="C1061" s="10"/>
      <c r="D1061" s="10"/>
      <c r="F1061" s="54"/>
      <c r="AA1061"/>
    </row>
    <row r="1062" spans="2:27" x14ac:dyDescent="0.25">
      <c r="B1062" s="10"/>
      <c r="C1062" s="10"/>
      <c r="D1062" s="10"/>
      <c r="F1062" s="54"/>
      <c r="AA1062"/>
    </row>
    <row r="1063" spans="2:27" x14ac:dyDescent="0.25">
      <c r="B1063" s="10"/>
      <c r="C1063" s="10"/>
      <c r="D1063" s="10"/>
      <c r="F1063" s="54"/>
      <c r="AA1063"/>
    </row>
    <row r="1064" spans="2:27" x14ac:dyDescent="0.25">
      <c r="B1064" s="10"/>
      <c r="C1064" s="10"/>
      <c r="D1064" s="10"/>
      <c r="F1064" s="54"/>
      <c r="AA1064"/>
    </row>
    <row r="1065" spans="2:27" x14ac:dyDescent="0.25">
      <c r="B1065" s="10"/>
      <c r="C1065" s="10"/>
      <c r="D1065" s="10"/>
      <c r="F1065" s="54"/>
      <c r="AA1065"/>
    </row>
    <row r="1066" spans="2:27" x14ac:dyDescent="0.25">
      <c r="B1066" s="10"/>
      <c r="C1066" s="10"/>
      <c r="D1066" s="10"/>
      <c r="F1066" s="54"/>
      <c r="AA1066"/>
    </row>
    <row r="1067" spans="2:27" x14ac:dyDescent="0.25">
      <c r="B1067" s="10"/>
      <c r="C1067" s="10"/>
      <c r="D1067" s="10"/>
      <c r="F1067" s="54"/>
      <c r="AA1067"/>
    </row>
    <row r="1068" spans="2:27" x14ac:dyDescent="0.25">
      <c r="B1068" s="10"/>
      <c r="C1068" s="10"/>
      <c r="D1068" s="10"/>
      <c r="F1068" s="54"/>
      <c r="AA1068"/>
    </row>
    <row r="1069" spans="2:27" x14ac:dyDescent="0.25">
      <c r="B1069" s="10"/>
      <c r="C1069" s="10"/>
      <c r="D1069" s="10"/>
      <c r="F1069" s="54"/>
      <c r="AA1069"/>
    </row>
    <row r="1070" spans="2:27" x14ac:dyDescent="0.25">
      <c r="B1070" s="10"/>
      <c r="C1070" s="10"/>
      <c r="D1070" s="10"/>
      <c r="F1070" s="54"/>
      <c r="AA1070"/>
    </row>
    <row r="1071" spans="2:27" x14ac:dyDescent="0.25">
      <c r="B1071" s="10"/>
      <c r="C1071" s="10"/>
      <c r="D1071" s="10"/>
      <c r="F1071" s="54"/>
      <c r="AA1071"/>
    </row>
    <row r="1072" spans="2:27" x14ac:dyDescent="0.25">
      <c r="B1072" s="10"/>
      <c r="C1072" s="10"/>
      <c r="D1072" s="10"/>
      <c r="F1072" s="54"/>
      <c r="AA1072"/>
    </row>
    <row r="1073" spans="2:27" x14ac:dyDescent="0.25">
      <c r="B1073" s="10"/>
      <c r="C1073" s="10"/>
      <c r="D1073" s="10"/>
      <c r="F1073" s="54"/>
      <c r="AA1073"/>
    </row>
    <row r="1074" spans="2:27" x14ac:dyDescent="0.25">
      <c r="B1074" s="10"/>
      <c r="C1074" s="10"/>
      <c r="D1074" s="10"/>
      <c r="F1074" s="54"/>
      <c r="AA1074"/>
    </row>
    <row r="1075" spans="2:27" x14ac:dyDescent="0.25">
      <c r="B1075" s="10"/>
      <c r="C1075" s="10"/>
      <c r="D1075" s="10"/>
      <c r="F1075" s="54"/>
      <c r="AA1075"/>
    </row>
    <row r="1076" spans="2:27" x14ac:dyDescent="0.25">
      <c r="B1076" s="10"/>
      <c r="C1076" s="10"/>
      <c r="D1076" s="10"/>
      <c r="F1076" s="54"/>
      <c r="AA1076"/>
    </row>
    <row r="1077" spans="2:27" x14ac:dyDescent="0.25">
      <c r="B1077" s="10"/>
      <c r="C1077" s="10"/>
      <c r="D1077" s="10"/>
      <c r="F1077" s="54"/>
      <c r="AA1077"/>
    </row>
    <row r="1078" spans="2:27" x14ac:dyDescent="0.25">
      <c r="B1078" s="10"/>
      <c r="C1078" s="10"/>
      <c r="D1078" s="10"/>
      <c r="F1078" s="54"/>
      <c r="AA1078"/>
    </row>
    <row r="1079" spans="2:27" x14ac:dyDescent="0.25">
      <c r="B1079" s="10"/>
      <c r="C1079" s="10"/>
      <c r="D1079" s="10"/>
      <c r="F1079" s="54"/>
      <c r="AA1079"/>
    </row>
    <row r="1080" spans="2:27" x14ac:dyDescent="0.25">
      <c r="B1080" s="10"/>
      <c r="C1080" s="10"/>
      <c r="D1080" s="10"/>
      <c r="F1080" s="54"/>
      <c r="AA1080"/>
    </row>
    <row r="1081" spans="2:27" x14ac:dyDescent="0.25">
      <c r="B1081" s="10"/>
      <c r="C1081" s="10"/>
      <c r="D1081" s="10"/>
      <c r="F1081" s="54"/>
      <c r="AA1081"/>
    </row>
    <row r="1082" spans="2:27" x14ac:dyDescent="0.25">
      <c r="B1082" s="10"/>
      <c r="C1082" s="10"/>
      <c r="D1082" s="10"/>
      <c r="F1082" s="54"/>
      <c r="AA1082"/>
    </row>
    <row r="1083" spans="2:27" x14ac:dyDescent="0.25">
      <c r="B1083" s="10"/>
      <c r="C1083" s="10"/>
      <c r="D1083" s="10"/>
      <c r="F1083" s="54"/>
      <c r="AA1083"/>
    </row>
    <row r="1084" spans="2:27" x14ac:dyDescent="0.25">
      <c r="B1084" s="10"/>
      <c r="C1084" s="10"/>
      <c r="D1084" s="10"/>
      <c r="F1084" s="54"/>
      <c r="AA1084"/>
    </row>
    <row r="1085" spans="2:27" x14ac:dyDescent="0.25">
      <c r="B1085" s="10"/>
      <c r="C1085" s="10"/>
      <c r="D1085" s="10"/>
      <c r="F1085" s="54"/>
      <c r="AA1085"/>
    </row>
    <row r="1086" spans="2:27" x14ac:dyDescent="0.25">
      <c r="B1086" s="10"/>
      <c r="C1086" s="10"/>
      <c r="D1086" s="10"/>
      <c r="F1086" s="54"/>
      <c r="AA1086"/>
    </row>
    <row r="1087" spans="2:27" x14ac:dyDescent="0.25">
      <c r="B1087" s="10"/>
      <c r="C1087" s="10"/>
      <c r="D1087" s="10"/>
      <c r="F1087" s="54"/>
      <c r="AA1087"/>
    </row>
    <row r="1088" spans="2:27" x14ac:dyDescent="0.25">
      <c r="B1088" s="10"/>
      <c r="C1088" s="10"/>
      <c r="D1088" s="10"/>
      <c r="F1088" s="54"/>
      <c r="AA1088"/>
    </row>
    <row r="1089" spans="2:27" x14ac:dyDescent="0.25">
      <c r="B1089" s="10"/>
      <c r="C1089" s="10"/>
      <c r="D1089" s="10"/>
      <c r="F1089" s="54"/>
      <c r="AA1089"/>
    </row>
    <row r="1090" spans="2:27" x14ac:dyDescent="0.25">
      <c r="B1090" s="10"/>
      <c r="C1090" s="10"/>
      <c r="D1090" s="10"/>
      <c r="F1090" s="54"/>
      <c r="AA1090"/>
    </row>
    <row r="1091" spans="2:27" x14ac:dyDescent="0.25">
      <c r="B1091" s="10"/>
      <c r="C1091" s="10"/>
      <c r="D1091" s="10"/>
      <c r="F1091" s="54"/>
      <c r="AA1091"/>
    </row>
    <row r="1092" spans="2:27" x14ac:dyDescent="0.25">
      <c r="B1092" s="10"/>
      <c r="C1092" s="10"/>
      <c r="D1092" s="10"/>
      <c r="F1092" s="54"/>
      <c r="AA1092"/>
    </row>
    <row r="1093" spans="2:27" x14ac:dyDescent="0.25">
      <c r="B1093" s="10"/>
      <c r="C1093" s="10"/>
      <c r="D1093" s="10"/>
      <c r="F1093" s="54"/>
      <c r="AA1093"/>
    </row>
    <row r="1094" spans="2:27" x14ac:dyDescent="0.25">
      <c r="B1094" s="10"/>
      <c r="C1094" s="10"/>
      <c r="D1094" s="10"/>
      <c r="F1094" s="54"/>
      <c r="AA1094"/>
    </row>
    <row r="1095" spans="2:27" x14ac:dyDescent="0.25">
      <c r="B1095" s="10"/>
      <c r="C1095" s="10"/>
      <c r="D1095" s="10"/>
      <c r="F1095" s="54"/>
      <c r="AA1095"/>
    </row>
    <row r="1096" spans="2:27" x14ac:dyDescent="0.25">
      <c r="B1096" s="10"/>
      <c r="C1096" s="10"/>
      <c r="D1096" s="10"/>
      <c r="F1096" s="54"/>
      <c r="AA1096"/>
    </row>
    <row r="1097" spans="2:27" x14ac:dyDescent="0.25">
      <c r="B1097" s="10"/>
      <c r="C1097" s="10"/>
      <c r="D1097" s="10"/>
      <c r="F1097" s="54"/>
      <c r="AA1097"/>
    </row>
    <row r="1098" spans="2:27" x14ac:dyDescent="0.25">
      <c r="B1098" s="10"/>
      <c r="C1098" s="10"/>
      <c r="D1098" s="10"/>
      <c r="F1098" s="54"/>
      <c r="AA1098"/>
    </row>
    <row r="1099" spans="2:27" x14ac:dyDescent="0.25">
      <c r="B1099" s="10"/>
      <c r="C1099" s="10"/>
      <c r="D1099" s="10"/>
      <c r="F1099" s="54"/>
      <c r="AA1099"/>
    </row>
    <row r="1100" spans="2:27" x14ac:dyDescent="0.25">
      <c r="B1100" s="10"/>
      <c r="C1100" s="10"/>
      <c r="D1100" s="10"/>
      <c r="F1100" s="54"/>
      <c r="AA1100"/>
    </row>
    <row r="1101" spans="2:27" x14ac:dyDescent="0.25">
      <c r="B1101" s="10"/>
      <c r="C1101" s="10"/>
      <c r="D1101" s="10"/>
      <c r="F1101" s="54"/>
      <c r="AA1101"/>
    </row>
    <row r="1102" spans="2:27" x14ac:dyDescent="0.25">
      <c r="B1102" s="10"/>
      <c r="C1102" s="10"/>
      <c r="D1102" s="10"/>
      <c r="F1102" s="54"/>
      <c r="AA1102"/>
    </row>
    <row r="1103" spans="2:27" x14ac:dyDescent="0.25">
      <c r="B1103" s="10"/>
      <c r="C1103" s="10"/>
      <c r="D1103" s="10"/>
      <c r="F1103" s="54"/>
      <c r="AA1103"/>
    </row>
    <row r="1104" spans="2:27" x14ac:dyDescent="0.25">
      <c r="B1104" s="10"/>
      <c r="C1104" s="10"/>
      <c r="D1104" s="10"/>
      <c r="F1104" s="54"/>
      <c r="AA1104"/>
    </row>
    <row r="1105" spans="2:27" x14ac:dyDescent="0.25">
      <c r="B1105" s="10"/>
      <c r="C1105" s="10"/>
      <c r="D1105" s="10"/>
      <c r="F1105" s="54"/>
      <c r="AA1105"/>
    </row>
    <row r="1106" spans="2:27" x14ac:dyDescent="0.25">
      <c r="B1106" s="10"/>
      <c r="C1106" s="10"/>
      <c r="D1106" s="10"/>
      <c r="F1106" s="54"/>
      <c r="AA1106"/>
    </row>
    <row r="1107" spans="2:27" x14ac:dyDescent="0.25">
      <c r="B1107" s="10"/>
      <c r="C1107" s="10"/>
      <c r="D1107" s="10"/>
      <c r="F1107" s="54"/>
      <c r="AA1107"/>
    </row>
    <row r="1108" spans="2:27" x14ac:dyDescent="0.25">
      <c r="B1108" s="10"/>
      <c r="C1108" s="10"/>
      <c r="D1108" s="10"/>
      <c r="F1108" s="54"/>
      <c r="AA1108"/>
    </row>
    <row r="1109" spans="2:27" x14ac:dyDescent="0.25">
      <c r="B1109" s="10"/>
      <c r="C1109" s="10"/>
      <c r="D1109" s="10"/>
      <c r="F1109" s="54"/>
      <c r="AA1109"/>
    </row>
    <row r="1110" spans="2:27" x14ac:dyDescent="0.25">
      <c r="B1110" s="10"/>
      <c r="C1110" s="10"/>
      <c r="D1110" s="10"/>
      <c r="F1110" s="54"/>
      <c r="AA1110"/>
    </row>
    <row r="1111" spans="2:27" x14ac:dyDescent="0.25">
      <c r="B1111" s="10"/>
      <c r="C1111" s="10"/>
      <c r="D1111" s="10"/>
      <c r="F1111" s="54"/>
      <c r="AA1111"/>
    </row>
    <row r="1112" spans="2:27" x14ac:dyDescent="0.25">
      <c r="B1112" s="10"/>
      <c r="C1112" s="10"/>
      <c r="D1112" s="10"/>
      <c r="F1112" s="54"/>
      <c r="AA1112"/>
    </row>
    <row r="1113" spans="2:27" x14ac:dyDescent="0.25">
      <c r="B1113" s="10"/>
      <c r="C1113" s="10"/>
      <c r="D1113" s="10"/>
      <c r="F1113" s="54"/>
      <c r="AA1113"/>
    </row>
    <row r="1114" spans="2:27" x14ac:dyDescent="0.25">
      <c r="B1114" s="10"/>
      <c r="C1114" s="10"/>
      <c r="D1114" s="10"/>
      <c r="F1114" s="54"/>
      <c r="AA1114"/>
    </row>
    <row r="1115" spans="2:27" x14ac:dyDescent="0.25">
      <c r="B1115" s="10"/>
      <c r="C1115" s="10"/>
      <c r="D1115" s="10"/>
      <c r="F1115" s="54"/>
      <c r="AA1115"/>
    </row>
    <row r="1116" spans="2:27" x14ac:dyDescent="0.25">
      <c r="B1116" s="10"/>
      <c r="C1116" s="10"/>
      <c r="D1116" s="10"/>
      <c r="F1116" s="54"/>
      <c r="AA1116"/>
    </row>
    <row r="1117" spans="2:27" x14ac:dyDescent="0.25">
      <c r="B1117" s="10"/>
      <c r="C1117" s="10"/>
      <c r="D1117" s="10"/>
      <c r="F1117" s="54"/>
      <c r="AA1117"/>
    </row>
    <row r="1118" spans="2:27" x14ac:dyDescent="0.25">
      <c r="B1118" s="10"/>
      <c r="C1118" s="10"/>
      <c r="D1118" s="10"/>
      <c r="F1118" s="54"/>
      <c r="AA1118"/>
    </row>
    <row r="1119" spans="2:27" x14ac:dyDescent="0.25">
      <c r="B1119" s="10"/>
      <c r="C1119" s="10"/>
      <c r="D1119" s="10"/>
      <c r="F1119" s="54"/>
      <c r="AA1119"/>
    </row>
    <row r="1120" spans="2:27" x14ac:dyDescent="0.25">
      <c r="B1120" s="10"/>
      <c r="C1120" s="10"/>
      <c r="D1120" s="10"/>
      <c r="F1120" s="54"/>
      <c r="AA1120"/>
    </row>
    <row r="1121" spans="2:27" x14ac:dyDescent="0.25">
      <c r="B1121" s="10"/>
      <c r="C1121" s="10"/>
      <c r="D1121" s="10"/>
      <c r="F1121" s="54"/>
      <c r="AA1121"/>
    </row>
    <row r="1122" spans="2:27" x14ac:dyDescent="0.25">
      <c r="B1122" s="10"/>
      <c r="C1122" s="10"/>
      <c r="D1122" s="10"/>
      <c r="F1122" s="54"/>
      <c r="AA1122"/>
    </row>
    <row r="1123" spans="2:27" x14ac:dyDescent="0.25">
      <c r="B1123" s="10"/>
      <c r="C1123" s="10"/>
      <c r="D1123" s="10"/>
      <c r="F1123" s="54"/>
      <c r="AA1123"/>
    </row>
    <row r="1124" spans="2:27" x14ac:dyDescent="0.25">
      <c r="B1124" s="10"/>
      <c r="C1124" s="10"/>
      <c r="D1124" s="10"/>
      <c r="F1124" s="54"/>
      <c r="AA1124"/>
    </row>
    <row r="1125" spans="2:27" x14ac:dyDescent="0.25">
      <c r="B1125" s="10"/>
      <c r="C1125" s="10"/>
      <c r="D1125" s="10"/>
      <c r="F1125" s="54"/>
      <c r="AA1125"/>
    </row>
    <row r="1126" spans="2:27" x14ac:dyDescent="0.25">
      <c r="B1126" s="10"/>
      <c r="C1126" s="10"/>
      <c r="D1126" s="10"/>
      <c r="F1126" s="54"/>
      <c r="AA1126"/>
    </row>
    <row r="1127" spans="2:27" x14ac:dyDescent="0.25">
      <c r="B1127" s="10"/>
      <c r="C1127" s="10"/>
      <c r="D1127" s="10"/>
      <c r="F1127" s="54"/>
      <c r="AA1127"/>
    </row>
    <row r="1128" spans="2:27" x14ac:dyDescent="0.25">
      <c r="B1128" s="10"/>
      <c r="C1128" s="10"/>
      <c r="D1128" s="10"/>
      <c r="F1128" s="54"/>
      <c r="AA1128"/>
    </row>
    <row r="1129" spans="2:27" x14ac:dyDescent="0.25">
      <c r="B1129" s="10"/>
      <c r="C1129" s="10"/>
      <c r="D1129" s="10"/>
      <c r="F1129" s="54"/>
      <c r="AA1129"/>
    </row>
    <row r="1130" spans="2:27" x14ac:dyDescent="0.25">
      <c r="B1130" s="10"/>
      <c r="C1130" s="10"/>
      <c r="D1130" s="10"/>
      <c r="F1130" s="54"/>
      <c r="AA1130"/>
    </row>
    <row r="1131" spans="2:27" x14ac:dyDescent="0.25">
      <c r="B1131" s="10"/>
      <c r="C1131" s="10"/>
      <c r="D1131" s="10"/>
      <c r="F1131" s="54"/>
      <c r="AA1131"/>
    </row>
    <row r="1132" spans="2:27" x14ac:dyDescent="0.25">
      <c r="B1132" s="10"/>
      <c r="C1132" s="10"/>
      <c r="D1132" s="10"/>
      <c r="F1132" s="54"/>
      <c r="AA1132"/>
    </row>
    <row r="1133" spans="2:27" x14ac:dyDescent="0.25">
      <c r="B1133" s="10"/>
      <c r="C1133" s="10"/>
      <c r="D1133" s="10"/>
      <c r="F1133" s="54"/>
      <c r="AA1133"/>
    </row>
    <row r="1134" spans="2:27" x14ac:dyDescent="0.25">
      <c r="B1134" s="10"/>
      <c r="C1134" s="10"/>
      <c r="D1134" s="10"/>
      <c r="F1134" s="54"/>
      <c r="AA1134"/>
    </row>
    <row r="1135" spans="2:27" x14ac:dyDescent="0.25">
      <c r="B1135" s="10"/>
      <c r="C1135" s="10"/>
      <c r="D1135" s="10"/>
      <c r="F1135" s="54"/>
      <c r="AA1135"/>
    </row>
    <row r="1136" spans="2:27" x14ac:dyDescent="0.25">
      <c r="B1136" s="10"/>
      <c r="C1136" s="10"/>
      <c r="D1136" s="10"/>
      <c r="F1136" s="54"/>
      <c r="AA1136"/>
    </row>
    <row r="1137" spans="2:27" x14ac:dyDescent="0.25">
      <c r="B1137" s="10"/>
      <c r="C1137" s="10"/>
      <c r="D1137" s="10"/>
      <c r="F1137" s="54"/>
      <c r="AA1137"/>
    </row>
    <row r="1138" spans="2:27" x14ac:dyDescent="0.25">
      <c r="B1138" s="10"/>
      <c r="C1138" s="10"/>
      <c r="D1138" s="10"/>
      <c r="F1138" s="54"/>
      <c r="AA1138"/>
    </row>
    <row r="1139" spans="2:27" x14ac:dyDescent="0.25">
      <c r="B1139" s="10"/>
      <c r="C1139" s="10"/>
      <c r="D1139" s="10"/>
      <c r="F1139" s="54"/>
      <c r="AA1139"/>
    </row>
    <row r="1140" spans="2:27" x14ac:dyDescent="0.25">
      <c r="B1140" s="10"/>
      <c r="C1140" s="10"/>
      <c r="D1140" s="10"/>
      <c r="F1140" s="54"/>
      <c r="AA1140"/>
    </row>
    <row r="1141" spans="2:27" x14ac:dyDescent="0.25">
      <c r="B1141" s="10"/>
      <c r="C1141" s="10"/>
      <c r="D1141" s="10"/>
      <c r="F1141" s="54"/>
      <c r="AA1141"/>
    </row>
    <row r="1142" spans="2:27" x14ac:dyDescent="0.25">
      <c r="B1142" s="10"/>
      <c r="C1142" s="10"/>
      <c r="D1142" s="10"/>
      <c r="F1142" s="54"/>
      <c r="AA1142"/>
    </row>
    <row r="1143" spans="2:27" x14ac:dyDescent="0.25">
      <c r="B1143" s="10"/>
      <c r="C1143" s="10"/>
      <c r="D1143" s="10"/>
      <c r="F1143" s="54"/>
      <c r="AA1143"/>
    </row>
    <row r="1144" spans="2:27" x14ac:dyDescent="0.25">
      <c r="B1144" s="10"/>
      <c r="C1144" s="10"/>
      <c r="D1144" s="10"/>
      <c r="F1144" s="54"/>
      <c r="AA1144"/>
    </row>
    <row r="1145" spans="2:27" x14ac:dyDescent="0.25">
      <c r="B1145" s="10"/>
      <c r="C1145" s="10"/>
      <c r="D1145" s="10"/>
      <c r="F1145" s="54"/>
      <c r="AA1145"/>
    </row>
    <row r="1146" spans="2:27" x14ac:dyDescent="0.25">
      <c r="B1146" s="10"/>
      <c r="C1146" s="10"/>
      <c r="D1146" s="10"/>
      <c r="F1146" s="54"/>
      <c r="AA1146"/>
    </row>
    <row r="1147" spans="2:27" x14ac:dyDescent="0.25">
      <c r="B1147" s="10"/>
      <c r="C1147" s="10"/>
      <c r="D1147" s="10"/>
      <c r="F1147" s="54"/>
      <c r="AA1147"/>
    </row>
    <row r="1148" spans="2:27" x14ac:dyDescent="0.25">
      <c r="B1148" s="10"/>
      <c r="C1148" s="10"/>
      <c r="D1148" s="10"/>
      <c r="F1148" s="54"/>
      <c r="AA1148"/>
    </row>
    <row r="1149" spans="2:27" x14ac:dyDescent="0.25">
      <c r="B1149" s="10"/>
      <c r="C1149" s="10"/>
      <c r="D1149" s="10"/>
      <c r="F1149" s="54"/>
      <c r="AA1149"/>
    </row>
    <row r="1150" spans="2:27" x14ac:dyDescent="0.25">
      <c r="B1150" s="10"/>
      <c r="C1150" s="10"/>
      <c r="D1150" s="10"/>
      <c r="F1150" s="54"/>
      <c r="AA1150"/>
    </row>
    <row r="1151" spans="2:27" x14ac:dyDescent="0.25">
      <c r="B1151" s="10"/>
      <c r="C1151" s="10"/>
      <c r="D1151" s="10"/>
      <c r="F1151" s="54"/>
      <c r="AA1151"/>
    </row>
    <row r="1152" spans="2:27" x14ac:dyDescent="0.25">
      <c r="B1152" s="10"/>
      <c r="C1152" s="10"/>
      <c r="D1152" s="10"/>
      <c r="F1152" s="54"/>
      <c r="AA1152"/>
    </row>
    <row r="1153" spans="2:27" x14ac:dyDescent="0.25">
      <c r="B1153" s="10"/>
      <c r="C1153" s="10"/>
      <c r="D1153" s="10"/>
      <c r="F1153" s="54"/>
      <c r="AA1153"/>
    </row>
    <row r="1154" spans="2:27" x14ac:dyDescent="0.25">
      <c r="B1154" s="10"/>
      <c r="C1154" s="10"/>
      <c r="D1154" s="10"/>
      <c r="F1154" s="54"/>
      <c r="AA1154"/>
    </row>
    <row r="1155" spans="2:27" x14ac:dyDescent="0.25">
      <c r="B1155" s="10"/>
      <c r="C1155" s="10"/>
      <c r="D1155" s="10"/>
      <c r="F1155" s="54"/>
      <c r="AA1155"/>
    </row>
    <row r="1156" spans="2:27" x14ac:dyDescent="0.25">
      <c r="B1156" s="10"/>
      <c r="C1156" s="10"/>
      <c r="D1156" s="10"/>
      <c r="F1156" s="54"/>
      <c r="AA1156"/>
    </row>
    <row r="1157" spans="2:27" x14ac:dyDescent="0.25">
      <c r="B1157" s="10"/>
      <c r="C1157" s="10"/>
      <c r="D1157" s="10"/>
      <c r="F1157" s="54"/>
      <c r="AA1157"/>
    </row>
    <row r="1158" spans="2:27" x14ac:dyDescent="0.25">
      <c r="B1158" s="10"/>
      <c r="C1158" s="10"/>
      <c r="D1158" s="10"/>
      <c r="F1158" s="54"/>
      <c r="AA1158"/>
    </row>
    <row r="1159" spans="2:27" x14ac:dyDescent="0.25">
      <c r="B1159" s="10"/>
      <c r="C1159" s="10"/>
      <c r="D1159" s="10"/>
      <c r="F1159" s="54"/>
      <c r="AA1159"/>
    </row>
    <row r="1160" spans="2:27" x14ac:dyDescent="0.25">
      <c r="B1160" s="10"/>
      <c r="C1160" s="10"/>
      <c r="D1160" s="10"/>
      <c r="F1160" s="54"/>
      <c r="AA1160"/>
    </row>
    <row r="1161" spans="2:27" x14ac:dyDescent="0.25">
      <c r="B1161" s="10"/>
      <c r="C1161" s="10"/>
      <c r="D1161" s="10"/>
      <c r="F1161" s="54"/>
      <c r="AA1161"/>
    </row>
    <row r="1162" spans="2:27" x14ac:dyDescent="0.25">
      <c r="B1162" s="10"/>
      <c r="C1162" s="10"/>
      <c r="D1162" s="10"/>
      <c r="F1162" s="54"/>
      <c r="AA1162"/>
    </row>
    <row r="1163" spans="2:27" x14ac:dyDescent="0.25">
      <c r="B1163" s="10"/>
      <c r="C1163" s="10"/>
      <c r="D1163" s="10"/>
      <c r="F1163" s="54"/>
      <c r="AA1163"/>
    </row>
    <row r="1164" spans="2:27" x14ac:dyDescent="0.25">
      <c r="B1164" s="10"/>
      <c r="C1164" s="10"/>
      <c r="D1164" s="10"/>
      <c r="F1164" s="54"/>
      <c r="AA1164"/>
    </row>
    <row r="1165" spans="2:27" x14ac:dyDescent="0.25">
      <c r="B1165" s="10"/>
      <c r="C1165" s="10"/>
      <c r="D1165" s="10"/>
      <c r="F1165" s="54"/>
      <c r="AA1165"/>
    </row>
    <row r="1166" spans="2:27" x14ac:dyDescent="0.25">
      <c r="B1166" s="10"/>
      <c r="C1166" s="10"/>
      <c r="D1166" s="10"/>
      <c r="F1166" s="54"/>
      <c r="AA1166"/>
    </row>
    <row r="1167" spans="2:27" x14ac:dyDescent="0.25">
      <c r="B1167" s="10"/>
      <c r="C1167" s="10"/>
      <c r="D1167" s="10"/>
      <c r="F1167" s="54"/>
      <c r="AA1167"/>
    </row>
    <row r="1168" spans="2:27" x14ac:dyDescent="0.25">
      <c r="B1168" s="10"/>
      <c r="C1168" s="10"/>
      <c r="D1168" s="10"/>
      <c r="F1168" s="54"/>
      <c r="AA1168"/>
    </row>
    <row r="1169" spans="2:27" x14ac:dyDescent="0.25">
      <c r="B1169" s="10"/>
      <c r="C1169" s="10"/>
      <c r="D1169" s="10"/>
      <c r="F1169" s="54"/>
      <c r="AA1169"/>
    </row>
    <row r="1170" spans="2:27" x14ac:dyDescent="0.25">
      <c r="B1170" s="10"/>
      <c r="C1170" s="10"/>
      <c r="D1170" s="10"/>
      <c r="F1170" s="54"/>
      <c r="AA1170"/>
    </row>
    <row r="1171" spans="2:27" x14ac:dyDescent="0.25">
      <c r="B1171" s="10"/>
      <c r="C1171" s="10"/>
      <c r="D1171" s="10"/>
      <c r="F1171" s="54"/>
      <c r="AA1171"/>
    </row>
    <row r="1172" spans="2:27" x14ac:dyDescent="0.25">
      <c r="B1172" s="10"/>
      <c r="C1172" s="10"/>
      <c r="D1172" s="10"/>
      <c r="F1172" s="54"/>
      <c r="AA1172"/>
    </row>
    <row r="1173" spans="2:27" x14ac:dyDescent="0.25">
      <c r="B1173" s="10"/>
      <c r="C1173" s="10"/>
      <c r="D1173" s="10"/>
      <c r="F1173" s="54"/>
      <c r="AA1173"/>
    </row>
    <row r="1174" spans="2:27" x14ac:dyDescent="0.25">
      <c r="B1174" s="10"/>
      <c r="C1174" s="10"/>
      <c r="D1174" s="10"/>
      <c r="F1174" s="54"/>
      <c r="AA1174"/>
    </row>
    <row r="1175" spans="2:27" x14ac:dyDescent="0.25">
      <c r="B1175" s="10"/>
      <c r="C1175" s="10"/>
      <c r="D1175" s="10"/>
      <c r="F1175" s="54"/>
      <c r="AA1175"/>
    </row>
    <row r="1176" spans="2:27" x14ac:dyDescent="0.25">
      <c r="B1176" s="10"/>
      <c r="C1176" s="10"/>
      <c r="D1176" s="10"/>
      <c r="F1176" s="54"/>
      <c r="AA1176"/>
    </row>
    <row r="1177" spans="2:27" x14ac:dyDescent="0.25">
      <c r="B1177" s="10"/>
      <c r="C1177" s="10"/>
      <c r="D1177" s="10"/>
      <c r="F1177" s="54"/>
      <c r="AA1177"/>
    </row>
    <row r="1178" spans="2:27" x14ac:dyDescent="0.25">
      <c r="B1178" s="10"/>
      <c r="C1178" s="10"/>
      <c r="D1178" s="10"/>
      <c r="F1178" s="54"/>
      <c r="AA1178"/>
    </row>
    <row r="1179" spans="2:27" x14ac:dyDescent="0.25">
      <c r="B1179" s="10"/>
      <c r="C1179" s="10"/>
      <c r="D1179" s="10"/>
      <c r="F1179" s="54"/>
      <c r="AA1179"/>
    </row>
    <row r="1180" spans="2:27" x14ac:dyDescent="0.25">
      <c r="B1180" s="10"/>
      <c r="C1180" s="10"/>
      <c r="D1180" s="10"/>
      <c r="F1180" s="54"/>
      <c r="AA1180"/>
    </row>
    <row r="1181" spans="2:27" x14ac:dyDescent="0.25">
      <c r="B1181" s="10"/>
      <c r="C1181" s="10"/>
      <c r="D1181" s="10"/>
      <c r="F1181" s="54"/>
      <c r="AA1181"/>
    </row>
    <row r="1182" spans="2:27" x14ac:dyDescent="0.25">
      <c r="B1182" s="10"/>
      <c r="C1182" s="10"/>
      <c r="D1182" s="10"/>
      <c r="F1182" s="54"/>
      <c r="AA1182"/>
    </row>
    <row r="1183" spans="2:27" x14ac:dyDescent="0.25">
      <c r="B1183" s="10"/>
      <c r="C1183" s="10"/>
      <c r="D1183" s="10"/>
      <c r="F1183" s="54"/>
      <c r="AA1183"/>
    </row>
    <row r="1184" spans="2:27" x14ac:dyDescent="0.25">
      <c r="B1184" s="10"/>
      <c r="C1184" s="10"/>
      <c r="D1184" s="10"/>
      <c r="F1184" s="54"/>
      <c r="AA1184"/>
    </row>
    <row r="1185" spans="2:27" x14ac:dyDescent="0.25">
      <c r="B1185" s="10"/>
      <c r="C1185" s="10"/>
      <c r="D1185" s="10"/>
      <c r="F1185" s="54"/>
      <c r="AA1185"/>
    </row>
    <row r="1186" spans="2:27" x14ac:dyDescent="0.25">
      <c r="B1186" s="10"/>
      <c r="C1186" s="10"/>
      <c r="D1186" s="10"/>
      <c r="F1186" s="54"/>
      <c r="AA1186"/>
    </row>
    <row r="1187" spans="2:27" x14ac:dyDescent="0.25">
      <c r="B1187" s="10"/>
      <c r="C1187" s="10"/>
      <c r="D1187" s="10"/>
      <c r="F1187" s="54"/>
      <c r="AA1187"/>
    </row>
    <row r="1188" spans="2:27" x14ac:dyDescent="0.25">
      <c r="B1188" s="10"/>
      <c r="C1188" s="10"/>
      <c r="D1188" s="10"/>
      <c r="F1188" s="54"/>
      <c r="AA1188"/>
    </row>
    <row r="1189" spans="2:27" x14ac:dyDescent="0.25">
      <c r="B1189" s="10"/>
      <c r="C1189" s="10"/>
      <c r="D1189" s="10"/>
      <c r="F1189" s="54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/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440</v>
      </c>
      <c r="C2" s="3"/>
      <c r="E2" s="3"/>
    </row>
    <row r="3" spans="2:7" ht="15" customHeight="1" x14ac:dyDescent="0.25">
      <c r="B3" s="89"/>
      <c r="C3" s="89"/>
    </row>
    <row r="4" spans="2:7" ht="15" customHeight="1" x14ac:dyDescent="0.25">
      <c r="B4" s="89"/>
      <c r="C4" s="89"/>
    </row>
    <row r="5" spans="2:7" ht="15" customHeight="1" x14ac:dyDescent="0.25">
      <c r="B5" s="89"/>
      <c r="C5" s="89"/>
    </row>
    <row r="6" spans="2:7" x14ac:dyDescent="0.25">
      <c r="B6" s="89"/>
      <c r="C6" s="89"/>
    </row>
    <row r="7" spans="2:7" x14ac:dyDescent="0.25">
      <c r="B7" s="89"/>
      <c r="C7" s="89"/>
    </row>
    <row r="9" spans="2:7" x14ac:dyDescent="0.25">
      <c r="C9" s="25" t="s">
        <v>170</v>
      </c>
      <c r="E9" s="55"/>
    </row>
    <row r="10" spans="2:7" x14ac:dyDescent="0.25">
      <c r="C10" s="25" t="s">
        <v>177</v>
      </c>
      <c r="E10" s="55"/>
    </row>
    <row r="11" spans="2:7" x14ac:dyDescent="0.25">
      <c r="C11" s="25" t="s">
        <v>178</v>
      </c>
      <c r="E11" s="55"/>
    </row>
    <row r="13" spans="2:7" ht="29.25" customHeight="1" x14ac:dyDescent="0.25">
      <c r="B13" s="26" t="s">
        <v>174</v>
      </c>
      <c r="C13" s="26" t="s">
        <v>175</v>
      </c>
      <c r="D13" s="26"/>
      <c r="E13" s="26" t="s">
        <v>176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88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9" customWidth="1"/>
    <col min="6" max="6" width="42.85546875" style="102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85546875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287</v>
      </c>
      <c r="C1" s="27" t="s">
        <v>288</v>
      </c>
      <c r="D1" s="27" t="s">
        <v>289</v>
      </c>
      <c r="E1" s="90" t="s">
        <v>576</v>
      </c>
      <c r="F1" s="105" t="s">
        <v>463</v>
      </c>
      <c r="G1" s="27" t="s">
        <v>290</v>
      </c>
      <c r="H1" s="27" t="s">
        <v>398</v>
      </c>
      <c r="I1" s="90" t="s">
        <v>560</v>
      </c>
      <c r="J1" s="27" t="s">
        <v>399</v>
      </c>
    </row>
    <row r="2" spans="1:12" x14ac:dyDescent="0.25">
      <c r="A2" s="59" t="s">
        <v>291</v>
      </c>
      <c r="B2" s="104" t="s">
        <v>464</v>
      </c>
      <c r="C2" s="104" t="s">
        <v>465</v>
      </c>
      <c r="D2" s="104" t="s">
        <v>466</v>
      </c>
      <c r="E2" s="104" t="s">
        <v>466</v>
      </c>
      <c r="F2" s="104" t="s">
        <v>467</v>
      </c>
      <c r="G2" s="104" t="s">
        <v>468</v>
      </c>
      <c r="H2" s="60" t="s">
        <v>166</v>
      </c>
      <c r="I2" s="92" t="s">
        <v>167</v>
      </c>
      <c r="J2" s="60" t="s">
        <v>168</v>
      </c>
    </row>
    <row r="3" spans="1:12" x14ac:dyDescent="0.25">
      <c r="A3" s="28" t="s">
        <v>181</v>
      </c>
      <c r="B3" s="57" t="s">
        <v>292</v>
      </c>
      <c r="C3" s="57" t="s">
        <v>292</v>
      </c>
      <c r="D3" s="57" t="s">
        <v>372</v>
      </c>
      <c r="E3" s="158" t="s">
        <v>292</v>
      </c>
      <c r="F3" s="106" t="s">
        <v>469</v>
      </c>
      <c r="G3" s="57" t="s">
        <v>589</v>
      </c>
      <c r="H3" s="68" t="s">
        <v>286</v>
      </c>
      <c r="I3" s="96" t="s">
        <v>286</v>
      </c>
      <c r="J3" s="57" t="s">
        <v>286</v>
      </c>
      <c r="L3" s="43" t="s">
        <v>385</v>
      </c>
    </row>
    <row r="4" spans="1:12" ht="30" x14ac:dyDescent="0.25">
      <c r="A4" s="51" t="s">
        <v>390</v>
      </c>
      <c r="B4" s="52" t="s">
        <v>286</v>
      </c>
      <c r="C4" s="52" t="s">
        <v>286</v>
      </c>
      <c r="D4" s="52" t="s">
        <v>286</v>
      </c>
      <c r="E4" s="156" t="s">
        <v>286</v>
      </c>
      <c r="F4" s="107" t="s">
        <v>286</v>
      </c>
      <c r="G4" s="156" t="s">
        <v>581</v>
      </c>
      <c r="H4" s="52" t="s">
        <v>286</v>
      </c>
      <c r="I4" s="155" t="s">
        <v>286</v>
      </c>
      <c r="J4" s="52" t="s">
        <v>286</v>
      </c>
      <c r="L4" s="78" t="s">
        <v>434</v>
      </c>
    </row>
    <row r="5" spans="1:12" s="10" customFormat="1" ht="30" x14ac:dyDescent="0.25">
      <c r="A5" s="51" t="s">
        <v>391</v>
      </c>
      <c r="B5" s="53" t="s">
        <v>286</v>
      </c>
      <c r="C5" s="52" t="s">
        <v>286</v>
      </c>
      <c r="D5" s="53" t="s">
        <v>286</v>
      </c>
      <c r="E5" s="156" t="s">
        <v>286</v>
      </c>
      <c r="F5" s="107" t="s">
        <v>286</v>
      </c>
      <c r="G5" s="156" t="s">
        <v>582</v>
      </c>
      <c r="H5" s="53" t="s">
        <v>286</v>
      </c>
      <c r="I5" s="156" t="s">
        <v>286</v>
      </c>
      <c r="J5" s="53" t="s">
        <v>286</v>
      </c>
      <c r="L5" s="79" t="s">
        <v>435</v>
      </c>
    </row>
    <row r="6" spans="1:12" x14ac:dyDescent="0.25">
      <c r="A6" s="28" t="s">
        <v>207</v>
      </c>
      <c r="B6" s="57" t="s">
        <v>373</v>
      </c>
      <c r="C6" s="57" t="s">
        <v>374</v>
      </c>
      <c r="D6" s="57" t="s">
        <v>292</v>
      </c>
      <c r="E6" s="158" t="s">
        <v>286</v>
      </c>
      <c r="F6" s="106" t="s">
        <v>470</v>
      </c>
      <c r="G6" s="57" t="s">
        <v>584</v>
      </c>
      <c r="H6" s="57" t="s">
        <v>286</v>
      </c>
      <c r="I6" s="158" t="s">
        <v>286</v>
      </c>
      <c r="J6" s="57" t="s">
        <v>286</v>
      </c>
      <c r="L6" s="80" t="s">
        <v>436</v>
      </c>
    </row>
    <row r="7" spans="1:12" x14ac:dyDescent="0.25">
      <c r="A7" s="28" t="s">
        <v>182</v>
      </c>
      <c r="B7" s="57" t="s">
        <v>292</v>
      </c>
      <c r="C7" s="57" t="s">
        <v>292</v>
      </c>
      <c r="D7" s="57" t="s">
        <v>292</v>
      </c>
      <c r="E7" s="158" t="s">
        <v>286</v>
      </c>
      <c r="F7" s="106" t="s">
        <v>292</v>
      </c>
      <c r="G7" s="57" t="s">
        <v>583</v>
      </c>
      <c r="H7" s="57" t="s">
        <v>286</v>
      </c>
      <c r="I7" s="158" t="s">
        <v>286</v>
      </c>
      <c r="J7" s="57" t="s">
        <v>286</v>
      </c>
      <c r="L7" s="80" t="s">
        <v>437</v>
      </c>
    </row>
    <row r="8" spans="1:12" s="10" customFormat="1" x14ac:dyDescent="0.25">
      <c r="A8" s="56" t="s">
        <v>294</v>
      </c>
      <c r="B8" s="68" t="s">
        <v>286</v>
      </c>
      <c r="C8" s="57" t="s">
        <v>292</v>
      </c>
      <c r="D8" s="68" t="s">
        <v>286</v>
      </c>
      <c r="E8" s="96" t="s">
        <v>286</v>
      </c>
      <c r="F8" s="108" t="s">
        <v>292</v>
      </c>
      <c r="G8" s="68" t="s">
        <v>286</v>
      </c>
      <c r="H8" s="68" t="s">
        <v>286</v>
      </c>
      <c r="I8" s="96" t="s">
        <v>561</v>
      </c>
      <c r="J8" s="68" t="s">
        <v>286</v>
      </c>
    </row>
    <row r="9" spans="1:12" s="10" customFormat="1" x14ac:dyDescent="0.25">
      <c r="A9" s="51" t="s">
        <v>591</v>
      </c>
      <c r="B9" s="53" t="s">
        <v>286</v>
      </c>
      <c r="C9" s="52" t="s">
        <v>292</v>
      </c>
      <c r="D9" s="53" t="s">
        <v>286</v>
      </c>
      <c r="E9" s="156" t="s">
        <v>286</v>
      </c>
      <c r="F9" s="109" t="s">
        <v>292</v>
      </c>
      <c r="G9" s="53" t="s">
        <v>286</v>
      </c>
      <c r="H9" s="53" t="s">
        <v>286</v>
      </c>
      <c r="I9" s="156" t="s">
        <v>561</v>
      </c>
      <c r="J9" s="53" t="s">
        <v>286</v>
      </c>
    </row>
    <row r="10" spans="1:12" x14ac:dyDescent="0.25">
      <c r="A10" s="29" t="s">
        <v>400</v>
      </c>
      <c r="B10" s="53" t="s">
        <v>286</v>
      </c>
      <c r="C10" s="52" t="s">
        <v>286</v>
      </c>
      <c r="D10" s="53" t="s">
        <v>286</v>
      </c>
      <c r="E10" s="156" t="s">
        <v>286</v>
      </c>
      <c r="F10" s="109" t="s">
        <v>286</v>
      </c>
      <c r="G10" s="53" t="s">
        <v>286</v>
      </c>
      <c r="H10" s="53" t="s">
        <v>403</v>
      </c>
      <c r="I10" s="156" t="s">
        <v>286</v>
      </c>
      <c r="J10" s="156" t="s">
        <v>286</v>
      </c>
    </row>
    <row r="11" spans="1:12" x14ac:dyDescent="0.25">
      <c r="A11" s="29" t="s">
        <v>401</v>
      </c>
      <c r="B11" s="53" t="s">
        <v>286</v>
      </c>
      <c r="C11" s="52" t="s">
        <v>286</v>
      </c>
      <c r="D11" s="53" t="s">
        <v>286</v>
      </c>
      <c r="E11" s="156" t="s">
        <v>286</v>
      </c>
      <c r="F11" s="109" t="s">
        <v>286</v>
      </c>
      <c r="G11" s="53" t="s">
        <v>286</v>
      </c>
      <c r="H11" s="53" t="s">
        <v>403</v>
      </c>
      <c r="I11" s="156" t="s">
        <v>286</v>
      </c>
      <c r="J11" s="53" t="s">
        <v>286</v>
      </c>
    </row>
    <row r="12" spans="1:12" x14ac:dyDescent="0.25">
      <c r="A12" s="29" t="s">
        <v>402</v>
      </c>
      <c r="B12" s="53" t="s">
        <v>286</v>
      </c>
      <c r="C12" s="52" t="s">
        <v>286</v>
      </c>
      <c r="D12" s="53" t="s">
        <v>286</v>
      </c>
      <c r="E12" s="156" t="s">
        <v>286</v>
      </c>
      <c r="F12" s="109" t="s">
        <v>286</v>
      </c>
      <c r="G12" s="53" t="s">
        <v>286</v>
      </c>
      <c r="H12" s="53" t="s">
        <v>403</v>
      </c>
      <c r="I12" s="156" t="s">
        <v>286</v>
      </c>
      <c r="J12" s="53" t="s">
        <v>286</v>
      </c>
    </row>
    <row r="13" spans="1:12" x14ac:dyDescent="0.25">
      <c r="A13" s="29" t="s">
        <v>404</v>
      </c>
      <c r="B13" s="53" t="s">
        <v>286</v>
      </c>
      <c r="C13" s="52" t="s">
        <v>286</v>
      </c>
      <c r="D13" s="53" t="s">
        <v>286</v>
      </c>
      <c r="E13" s="156" t="s">
        <v>286</v>
      </c>
      <c r="F13" s="109" t="s">
        <v>286</v>
      </c>
      <c r="G13" s="53" t="s">
        <v>286</v>
      </c>
      <c r="H13" s="53" t="s">
        <v>405</v>
      </c>
      <c r="I13" s="156" t="s">
        <v>286</v>
      </c>
      <c r="J13" s="53" t="s">
        <v>286</v>
      </c>
    </row>
    <row r="14" spans="1:12" x14ac:dyDescent="0.25">
      <c r="A14" s="29" t="s">
        <v>594</v>
      </c>
      <c r="B14" s="53" t="s">
        <v>286</v>
      </c>
      <c r="C14" s="53" t="s">
        <v>286</v>
      </c>
      <c r="D14" s="53" t="s">
        <v>286</v>
      </c>
      <c r="E14" s="156" t="s">
        <v>286</v>
      </c>
      <c r="F14" s="109" t="s">
        <v>286</v>
      </c>
      <c r="G14" s="53" t="s">
        <v>286</v>
      </c>
      <c r="H14" s="53" t="s">
        <v>286</v>
      </c>
      <c r="I14" s="156" t="s">
        <v>286</v>
      </c>
      <c r="J14" s="53" t="s">
        <v>449</v>
      </c>
    </row>
    <row r="15" spans="1:12" s="89" customFormat="1" x14ac:dyDescent="0.25">
      <c r="A15" s="29" t="s">
        <v>595</v>
      </c>
      <c r="B15" s="156" t="s">
        <v>286</v>
      </c>
      <c r="C15" s="156" t="s">
        <v>286</v>
      </c>
      <c r="D15" s="156" t="s">
        <v>286</v>
      </c>
      <c r="E15" s="156" t="s">
        <v>286</v>
      </c>
      <c r="F15" s="109" t="s">
        <v>286</v>
      </c>
      <c r="G15" s="156" t="s">
        <v>286</v>
      </c>
      <c r="H15" s="156" t="s">
        <v>286</v>
      </c>
      <c r="I15" s="156" t="s">
        <v>286</v>
      </c>
      <c r="J15" s="156" t="s">
        <v>449</v>
      </c>
    </row>
    <row r="16" spans="1:12" s="10" customFormat="1" ht="30" x14ac:dyDescent="0.25">
      <c r="A16" s="51" t="s">
        <v>447</v>
      </c>
      <c r="B16" s="53" t="s">
        <v>286</v>
      </c>
      <c r="C16" s="53" t="s">
        <v>286</v>
      </c>
      <c r="D16" s="53" t="s">
        <v>286</v>
      </c>
      <c r="E16" s="156" t="s">
        <v>286</v>
      </c>
      <c r="F16" s="109" t="s">
        <v>286</v>
      </c>
      <c r="G16" s="53" t="s">
        <v>286</v>
      </c>
      <c r="H16" s="53" t="s">
        <v>450</v>
      </c>
      <c r="I16" s="156" t="s">
        <v>286</v>
      </c>
      <c r="J16" s="53" t="s">
        <v>448</v>
      </c>
    </row>
    <row r="17" spans="1:18" x14ac:dyDescent="0.25">
      <c r="A17" s="29" t="s">
        <v>446</v>
      </c>
      <c r="B17" s="53" t="s">
        <v>286</v>
      </c>
      <c r="C17" s="52" t="s">
        <v>445</v>
      </c>
      <c r="D17" s="52" t="s">
        <v>445</v>
      </c>
      <c r="E17" s="155" t="s">
        <v>286</v>
      </c>
      <c r="F17" s="107" t="s">
        <v>445</v>
      </c>
      <c r="G17" s="53" t="s">
        <v>286</v>
      </c>
      <c r="H17" s="53" t="s">
        <v>445</v>
      </c>
      <c r="I17" s="156" t="s">
        <v>286</v>
      </c>
      <c r="J17" s="53" t="s">
        <v>286</v>
      </c>
    </row>
    <row r="18" spans="1:18" x14ac:dyDescent="0.25">
      <c r="A18" s="29" t="s">
        <v>443</v>
      </c>
      <c r="B18" s="53" t="s">
        <v>286</v>
      </c>
      <c r="C18" s="52" t="s">
        <v>444</v>
      </c>
      <c r="D18" s="52" t="s">
        <v>444</v>
      </c>
      <c r="E18" s="155" t="s">
        <v>286</v>
      </c>
      <c r="F18" s="107" t="s">
        <v>444</v>
      </c>
      <c r="G18" s="156" t="s">
        <v>286</v>
      </c>
      <c r="H18" s="52" t="s">
        <v>444</v>
      </c>
      <c r="I18" s="155" t="s">
        <v>286</v>
      </c>
      <c r="J18" s="53" t="s">
        <v>286</v>
      </c>
    </row>
    <row r="19" spans="1:18" x14ac:dyDescent="0.25">
      <c r="A19" s="29" t="s">
        <v>441</v>
      </c>
      <c r="B19" s="53" t="s">
        <v>286</v>
      </c>
      <c r="C19" s="52" t="s">
        <v>442</v>
      </c>
      <c r="D19" s="52" t="s">
        <v>442</v>
      </c>
      <c r="E19" s="155" t="s">
        <v>286</v>
      </c>
      <c r="F19" s="107" t="s">
        <v>442</v>
      </c>
      <c r="G19" s="53" t="s">
        <v>286</v>
      </c>
      <c r="H19" s="52" t="s">
        <v>442</v>
      </c>
      <c r="I19" s="155" t="s">
        <v>286</v>
      </c>
      <c r="J19" s="53" t="s">
        <v>286</v>
      </c>
    </row>
    <row r="20" spans="1:18" x14ac:dyDescent="0.25">
      <c r="A20" s="29" t="s">
        <v>406</v>
      </c>
      <c r="B20" s="53" t="s">
        <v>286</v>
      </c>
      <c r="C20" s="52" t="s">
        <v>286</v>
      </c>
      <c r="D20" s="53" t="s">
        <v>286</v>
      </c>
      <c r="E20" s="156" t="s">
        <v>286</v>
      </c>
      <c r="F20" s="109" t="s">
        <v>286</v>
      </c>
      <c r="G20" s="53" t="s">
        <v>286</v>
      </c>
      <c r="H20" s="156" t="s">
        <v>575</v>
      </c>
      <c r="I20" s="156" t="s">
        <v>286</v>
      </c>
      <c r="J20" s="53" t="s">
        <v>286</v>
      </c>
    </row>
    <row r="21" spans="1:18" x14ac:dyDescent="0.25">
      <c r="A21" s="29" t="s">
        <v>592</v>
      </c>
      <c r="B21" s="53" t="s">
        <v>286</v>
      </c>
      <c r="C21" s="52" t="s">
        <v>286</v>
      </c>
      <c r="D21" s="53" t="s">
        <v>286</v>
      </c>
      <c r="E21" s="156" t="s">
        <v>286</v>
      </c>
      <c r="F21" s="109" t="s">
        <v>471</v>
      </c>
      <c r="G21" s="156" t="s">
        <v>585</v>
      </c>
      <c r="H21" s="53" t="s">
        <v>407</v>
      </c>
      <c r="I21" s="156" t="s">
        <v>286</v>
      </c>
      <c r="J21" s="53" t="s">
        <v>292</v>
      </c>
    </row>
    <row r="22" spans="1:18" s="89" customFormat="1" x14ac:dyDescent="0.25">
      <c r="A22" s="29" t="s">
        <v>593</v>
      </c>
      <c r="B22" s="156" t="s">
        <v>286</v>
      </c>
      <c r="C22" s="155" t="s">
        <v>286</v>
      </c>
      <c r="D22" s="156" t="s">
        <v>286</v>
      </c>
      <c r="E22" s="156" t="s">
        <v>286</v>
      </c>
      <c r="F22" s="109" t="s">
        <v>471</v>
      </c>
      <c r="G22" s="156" t="s">
        <v>585</v>
      </c>
      <c r="H22" s="156" t="s">
        <v>407</v>
      </c>
      <c r="I22" s="156" t="s">
        <v>286</v>
      </c>
      <c r="J22" s="156" t="s">
        <v>292</v>
      </c>
    </row>
    <row r="23" spans="1:18" ht="30" x14ac:dyDescent="0.25">
      <c r="A23" s="51" t="s">
        <v>392</v>
      </c>
      <c r="B23" s="53" t="s">
        <v>286</v>
      </c>
      <c r="C23" s="52" t="s">
        <v>286</v>
      </c>
      <c r="D23" s="53" t="s">
        <v>286</v>
      </c>
      <c r="E23" s="156" t="s">
        <v>286</v>
      </c>
      <c r="F23" s="109" t="s">
        <v>292</v>
      </c>
      <c r="G23" s="156" t="s">
        <v>581</v>
      </c>
      <c r="H23" s="53" t="s">
        <v>403</v>
      </c>
      <c r="I23" s="156" t="s">
        <v>562</v>
      </c>
      <c r="J23" s="53" t="s">
        <v>292</v>
      </c>
    </row>
    <row r="24" spans="1:18" x14ac:dyDescent="0.25">
      <c r="A24" s="28" t="s">
        <v>563</v>
      </c>
      <c r="B24" s="68" t="s">
        <v>286</v>
      </c>
      <c r="C24" s="68" t="s">
        <v>286</v>
      </c>
      <c r="D24" s="68" t="s">
        <v>286</v>
      </c>
      <c r="E24" s="96" t="s">
        <v>286</v>
      </c>
      <c r="F24" s="108" t="s">
        <v>286</v>
      </c>
      <c r="G24" s="57" t="s">
        <v>286</v>
      </c>
      <c r="H24" s="68" t="s">
        <v>286</v>
      </c>
      <c r="I24" s="96" t="s">
        <v>286</v>
      </c>
      <c r="J24" s="68" t="s">
        <v>292</v>
      </c>
    </row>
    <row r="25" spans="1:18" x14ac:dyDescent="0.25">
      <c r="A25" s="29" t="s">
        <v>320</v>
      </c>
      <c r="B25" s="53" t="s">
        <v>286</v>
      </c>
      <c r="C25" s="52" t="s">
        <v>292</v>
      </c>
      <c r="D25" s="53" t="s">
        <v>286</v>
      </c>
      <c r="E25" s="156" t="s">
        <v>286</v>
      </c>
      <c r="F25" s="108" t="s">
        <v>455</v>
      </c>
      <c r="G25" s="53" t="s">
        <v>286</v>
      </c>
      <c r="H25" s="53" t="s">
        <v>286</v>
      </c>
      <c r="I25" s="156" t="s">
        <v>561</v>
      </c>
      <c r="J25" s="53" t="s">
        <v>286</v>
      </c>
    </row>
    <row r="26" spans="1:18" x14ac:dyDescent="0.25">
      <c r="A26" s="29" t="s">
        <v>321</v>
      </c>
      <c r="B26" s="53" t="s">
        <v>286</v>
      </c>
      <c r="C26" s="53" t="s">
        <v>292</v>
      </c>
      <c r="D26" s="53" t="s">
        <v>286</v>
      </c>
      <c r="E26" s="156" t="s">
        <v>286</v>
      </c>
      <c r="F26" s="108" t="s">
        <v>453</v>
      </c>
      <c r="G26" s="52" t="s">
        <v>286</v>
      </c>
      <c r="H26" s="53" t="s">
        <v>286</v>
      </c>
      <c r="I26" s="156" t="s">
        <v>561</v>
      </c>
      <c r="J26" s="53" t="s">
        <v>286</v>
      </c>
    </row>
    <row r="27" spans="1:18" s="102" customFormat="1" x14ac:dyDescent="0.25">
      <c r="A27" s="143" t="s">
        <v>168</v>
      </c>
      <c r="B27" s="108" t="s">
        <v>286</v>
      </c>
      <c r="C27" s="108" t="s">
        <v>286</v>
      </c>
      <c r="D27" s="108" t="s">
        <v>286</v>
      </c>
      <c r="E27" s="108" t="s">
        <v>286</v>
      </c>
      <c r="F27" s="108" t="s">
        <v>286</v>
      </c>
      <c r="G27" s="108" t="s">
        <v>286</v>
      </c>
      <c r="H27" s="108" t="s">
        <v>286</v>
      </c>
      <c r="I27" s="108" t="s">
        <v>286</v>
      </c>
      <c r="J27" s="108" t="s">
        <v>292</v>
      </c>
    </row>
    <row r="28" spans="1:18" s="102" customFormat="1" x14ac:dyDescent="0.25">
      <c r="A28" s="110" t="s">
        <v>579</v>
      </c>
      <c r="B28" s="109" t="s">
        <v>286</v>
      </c>
      <c r="C28" s="109" t="s">
        <v>286</v>
      </c>
      <c r="D28" s="109" t="s">
        <v>286</v>
      </c>
      <c r="E28" s="109" t="s">
        <v>292</v>
      </c>
      <c r="F28" s="109" t="s">
        <v>286</v>
      </c>
      <c r="G28" s="109" t="s">
        <v>286</v>
      </c>
      <c r="H28" s="109" t="s">
        <v>286</v>
      </c>
      <c r="I28" s="109" t="s">
        <v>286</v>
      </c>
      <c r="J28" s="109" t="s">
        <v>286</v>
      </c>
    </row>
    <row r="29" spans="1:18" s="102" customFormat="1" x14ac:dyDescent="0.25">
      <c r="A29" s="110" t="s">
        <v>580</v>
      </c>
      <c r="B29" s="109" t="s">
        <v>286</v>
      </c>
      <c r="C29" s="109" t="s">
        <v>286</v>
      </c>
      <c r="D29" s="109" t="s">
        <v>286</v>
      </c>
      <c r="E29" s="109" t="s">
        <v>292</v>
      </c>
      <c r="F29" s="109" t="s">
        <v>286</v>
      </c>
      <c r="G29" s="109" t="s">
        <v>286</v>
      </c>
      <c r="H29" s="109" t="s">
        <v>286</v>
      </c>
      <c r="I29" s="109" t="s">
        <v>286</v>
      </c>
      <c r="J29" s="109" t="s">
        <v>286</v>
      </c>
    </row>
    <row r="30" spans="1:18" s="102" customFormat="1" x14ac:dyDescent="0.25">
      <c r="A30" s="103" t="s">
        <v>167</v>
      </c>
      <c r="B30" s="100" t="s">
        <v>286</v>
      </c>
      <c r="C30" s="100" t="s">
        <v>286</v>
      </c>
      <c r="D30" s="100" t="s">
        <v>286</v>
      </c>
      <c r="E30" s="100" t="s">
        <v>286</v>
      </c>
      <c r="F30" s="100" t="s">
        <v>286</v>
      </c>
      <c r="G30" s="100" t="s">
        <v>286</v>
      </c>
      <c r="H30" s="100" t="s">
        <v>286</v>
      </c>
      <c r="I30" s="100" t="s">
        <v>292</v>
      </c>
      <c r="J30" s="100" t="s">
        <v>286</v>
      </c>
    </row>
    <row r="31" spans="1:18" x14ac:dyDescent="0.25">
      <c r="A31" s="59" t="s">
        <v>295</v>
      </c>
      <c r="B31" s="60"/>
      <c r="C31" s="61"/>
      <c r="D31" s="61"/>
      <c r="E31" s="93"/>
      <c r="F31" s="93"/>
      <c r="G31" s="61"/>
      <c r="H31" s="60"/>
      <c r="I31" s="92"/>
      <c r="J31" s="60"/>
    </row>
    <row r="32" spans="1:18" x14ac:dyDescent="0.25">
      <c r="A32" s="28" t="s">
        <v>191</v>
      </c>
      <c r="B32" s="57" t="s">
        <v>375</v>
      </c>
      <c r="C32" s="57" t="s">
        <v>375</v>
      </c>
      <c r="D32" s="57" t="s">
        <v>375</v>
      </c>
      <c r="E32" s="158" t="s">
        <v>577</v>
      </c>
      <c r="F32" s="106" t="s">
        <v>375</v>
      </c>
      <c r="G32" s="57" t="s">
        <v>292</v>
      </c>
      <c r="H32" s="68" t="s">
        <v>286</v>
      </c>
      <c r="I32" s="96" t="s">
        <v>286</v>
      </c>
      <c r="J32" s="68" t="s">
        <v>286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412</v>
      </c>
      <c r="B33" s="57" t="s">
        <v>292</v>
      </c>
      <c r="C33" s="57" t="s">
        <v>292</v>
      </c>
      <c r="D33" s="57" t="s">
        <v>292</v>
      </c>
      <c r="E33" s="158" t="s">
        <v>292</v>
      </c>
      <c r="F33" s="106" t="s">
        <v>292</v>
      </c>
      <c r="G33" s="57" t="s">
        <v>292</v>
      </c>
      <c r="H33" s="57" t="s">
        <v>292</v>
      </c>
      <c r="I33" s="158" t="s">
        <v>292</v>
      </c>
      <c r="J33" s="57" t="s">
        <v>292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383</v>
      </c>
      <c r="B34" s="57" t="s">
        <v>292</v>
      </c>
      <c r="C34" s="57" t="s">
        <v>292</v>
      </c>
      <c r="D34" s="57" t="s">
        <v>292</v>
      </c>
      <c r="E34" s="158" t="s">
        <v>292</v>
      </c>
      <c r="F34" s="106" t="s">
        <v>292</v>
      </c>
      <c r="G34" s="57" t="s">
        <v>292</v>
      </c>
      <c r="H34" s="68" t="s">
        <v>286</v>
      </c>
      <c r="I34" s="96" t="s">
        <v>292</v>
      </c>
      <c r="J34" s="57" t="s">
        <v>286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192</v>
      </c>
      <c r="B35" s="57" t="s">
        <v>292</v>
      </c>
      <c r="C35" s="57" t="s">
        <v>292</v>
      </c>
      <c r="D35" s="57" t="s">
        <v>292</v>
      </c>
      <c r="E35" s="158" t="s">
        <v>292</v>
      </c>
      <c r="F35" s="106" t="s">
        <v>292</v>
      </c>
      <c r="G35" s="57" t="s">
        <v>292</v>
      </c>
      <c r="H35" s="57" t="s">
        <v>292</v>
      </c>
      <c r="I35" s="158" t="s">
        <v>292</v>
      </c>
      <c r="J35" s="57" t="s">
        <v>292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193</v>
      </c>
      <c r="B36" s="57" t="s">
        <v>292</v>
      </c>
      <c r="C36" s="57" t="s">
        <v>292</v>
      </c>
      <c r="D36" s="57" t="s">
        <v>292</v>
      </c>
      <c r="E36" s="158" t="s">
        <v>292</v>
      </c>
      <c r="F36" s="106" t="s">
        <v>292</v>
      </c>
      <c r="G36" s="57" t="s">
        <v>292</v>
      </c>
      <c r="H36" s="96" t="s">
        <v>286</v>
      </c>
      <c r="I36" s="158" t="s">
        <v>292</v>
      </c>
      <c r="J36" s="96" t="s">
        <v>286</v>
      </c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28" t="s">
        <v>202</v>
      </c>
      <c r="B37" s="68" t="s">
        <v>286</v>
      </c>
      <c r="C37" s="68" t="s">
        <v>292</v>
      </c>
      <c r="D37" s="68" t="s">
        <v>292</v>
      </c>
      <c r="E37" s="96" t="s">
        <v>286</v>
      </c>
      <c r="F37" s="108" t="s">
        <v>292</v>
      </c>
      <c r="G37" s="68" t="s">
        <v>286</v>
      </c>
      <c r="H37" s="68" t="s">
        <v>292</v>
      </c>
      <c r="I37" s="96" t="s">
        <v>292</v>
      </c>
      <c r="J37" s="68" t="s">
        <v>286</v>
      </c>
      <c r="K37" s="30"/>
      <c r="L37" s="30"/>
      <c r="M37" s="30"/>
      <c r="N37" s="30"/>
      <c r="O37" s="30"/>
      <c r="P37" s="30"/>
      <c r="Q37" s="30"/>
      <c r="R37" s="30"/>
    </row>
    <row r="38" spans="1:18" x14ac:dyDescent="0.25">
      <c r="A38" s="28" t="s">
        <v>296</v>
      </c>
      <c r="B38" s="68" t="s">
        <v>286</v>
      </c>
      <c r="C38" s="68" t="s">
        <v>292</v>
      </c>
      <c r="D38" s="68" t="s">
        <v>292</v>
      </c>
      <c r="E38" s="96" t="s">
        <v>292</v>
      </c>
      <c r="F38" s="108" t="s">
        <v>292</v>
      </c>
      <c r="G38" s="68" t="s">
        <v>286</v>
      </c>
      <c r="H38" s="68" t="s">
        <v>292</v>
      </c>
      <c r="I38" s="96" t="s">
        <v>292</v>
      </c>
      <c r="J38" s="68" t="s">
        <v>286</v>
      </c>
      <c r="K38" s="30"/>
      <c r="L38" s="30"/>
      <c r="M38" s="30"/>
      <c r="N38" s="30"/>
      <c r="O38" s="30"/>
      <c r="P38" s="30"/>
      <c r="Q38" s="30"/>
      <c r="R38" s="30"/>
    </row>
    <row r="39" spans="1:18" x14ac:dyDescent="0.25">
      <c r="A39" s="28" t="s">
        <v>203</v>
      </c>
      <c r="B39" s="68" t="s">
        <v>286</v>
      </c>
      <c r="C39" s="68" t="s">
        <v>286</v>
      </c>
      <c r="D39" s="68" t="s">
        <v>286</v>
      </c>
      <c r="E39" s="96" t="s">
        <v>286</v>
      </c>
      <c r="F39" s="108" t="s">
        <v>292</v>
      </c>
      <c r="G39" s="96" t="s">
        <v>585</v>
      </c>
      <c r="H39" s="68" t="s">
        <v>292</v>
      </c>
      <c r="I39" s="96" t="s">
        <v>286</v>
      </c>
      <c r="J39" s="68" t="s">
        <v>292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204</v>
      </c>
      <c r="B40" s="68" t="s">
        <v>286</v>
      </c>
      <c r="C40" s="68" t="s">
        <v>286</v>
      </c>
      <c r="D40" s="68" t="s">
        <v>286</v>
      </c>
      <c r="E40" s="96" t="s">
        <v>286</v>
      </c>
      <c r="F40" s="108" t="s">
        <v>286</v>
      </c>
      <c r="G40" s="68" t="s">
        <v>286</v>
      </c>
      <c r="H40" s="68" t="s">
        <v>417</v>
      </c>
      <c r="I40" s="96" t="s">
        <v>286</v>
      </c>
      <c r="J40" s="68" t="s">
        <v>417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205</v>
      </c>
      <c r="B41" s="68" t="s">
        <v>286</v>
      </c>
      <c r="C41" s="68" t="s">
        <v>286</v>
      </c>
      <c r="D41" s="68" t="s">
        <v>286</v>
      </c>
      <c r="E41" s="96" t="s">
        <v>286</v>
      </c>
      <c r="F41" s="108" t="s">
        <v>292</v>
      </c>
      <c r="G41" s="96" t="s">
        <v>585</v>
      </c>
      <c r="H41" s="68" t="s">
        <v>292</v>
      </c>
      <c r="I41" s="96" t="s">
        <v>286</v>
      </c>
      <c r="J41" s="68" t="s">
        <v>292</v>
      </c>
      <c r="K41" s="30"/>
      <c r="L41" s="38" t="s">
        <v>322</v>
      </c>
      <c r="M41" s="37">
        <v>78</v>
      </c>
      <c r="N41" t="s">
        <v>323</v>
      </c>
      <c r="Q41" s="30"/>
      <c r="R41" s="30"/>
    </row>
    <row r="42" spans="1:18" x14ac:dyDescent="0.25">
      <c r="A42" s="29" t="s">
        <v>206</v>
      </c>
      <c r="B42" s="53" t="s">
        <v>286</v>
      </c>
      <c r="C42" s="53" t="s">
        <v>376</v>
      </c>
      <c r="D42" s="53" t="s">
        <v>376</v>
      </c>
      <c r="E42" s="156" t="s">
        <v>292</v>
      </c>
      <c r="F42" s="109" t="s">
        <v>292</v>
      </c>
      <c r="G42" s="156" t="s">
        <v>585</v>
      </c>
      <c r="H42" s="53" t="s">
        <v>292</v>
      </c>
      <c r="I42" s="156" t="s">
        <v>286</v>
      </c>
      <c r="J42" s="53" t="s">
        <v>292</v>
      </c>
      <c r="K42" s="30"/>
      <c r="L42" s="30"/>
      <c r="M42" s="30"/>
      <c r="N42" s="30"/>
    </row>
    <row r="43" spans="1:18" s="102" customFormat="1" x14ac:dyDescent="0.25">
      <c r="A43" s="110" t="s">
        <v>451</v>
      </c>
      <c r="B43" s="109" t="s">
        <v>286</v>
      </c>
      <c r="C43" s="109" t="s">
        <v>286</v>
      </c>
      <c r="D43" s="109" t="s">
        <v>286</v>
      </c>
      <c r="E43" s="109" t="s">
        <v>286</v>
      </c>
      <c r="F43" s="109" t="s">
        <v>286</v>
      </c>
      <c r="G43" s="109" t="s">
        <v>286</v>
      </c>
      <c r="H43" s="137" t="s">
        <v>456</v>
      </c>
      <c r="I43" s="173" t="s">
        <v>286</v>
      </c>
      <c r="J43" s="109" t="s">
        <v>292</v>
      </c>
      <c r="K43" s="101"/>
      <c r="L43" s="101"/>
      <c r="M43" s="101"/>
      <c r="N43" s="101"/>
      <c r="O43"/>
      <c r="P43"/>
    </row>
    <row r="44" spans="1:18" s="102" customFormat="1" x14ac:dyDescent="0.25">
      <c r="A44" s="103" t="s">
        <v>472</v>
      </c>
      <c r="B44" s="100" t="s">
        <v>473</v>
      </c>
      <c r="C44" s="100" t="s">
        <v>473</v>
      </c>
      <c r="D44" s="100" t="s">
        <v>473</v>
      </c>
      <c r="E44" s="100" t="s">
        <v>286</v>
      </c>
      <c r="F44" s="100" t="s">
        <v>473</v>
      </c>
      <c r="G44" s="100" t="s">
        <v>473</v>
      </c>
      <c r="H44" s="111" t="s">
        <v>286</v>
      </c>
      <c r="I44" s="174" t="s">
        <v>286</v>
      </c>
      <c r="J44" s="100" t="s">
        <v>286</v>
      </c>
      <c r="K44" s="101"/>
      <c r="L44" s="101"/>
      <c r="M44" s="101"/>
      <c r="N44" s="101"/>
      <c r="O44" s="185" t="s">
        <v>389</v>
      </c>
      <c r="P44" s="186"/>
    </row>
    <row r="45" spans="1:18" x14ac:dyDescent="0.25">
      <c r="A45" s="59" t="s">
        <v>297</v>
      </c>
      <c r="B45" s="60"/>
      <c r="C45" s="61"/>
      <c r="D45" s="61"/>
      <c r="E45" s="93"/>
      <c r="F45" s="93"/>
      <c r="G45" s="61"/>
      <c r="H45" s="60"/>
      <c r="I45" s="92"/>
      <c r="J45" s="60"/>
      <c r="L45" s="62" t="s">
        <v>326</v>
      </c>
      <c r="M45" s="63" t="s">
        <v>330</v>
      </c>
      <c r="N45" s="64" t="s">
        <v>388</v>
      </c>
      <c r="O45" s="62" t="s">
        <v>386</v>
      </c>
      <c r="P45" s="63" t="s">
        <v>387</v>
      </c>
    </row>
    <row r="46" spans="1:18" s="10" customFormat="1" x14ac:dyDescent="0.25">
      <c r="A46" s="56" t="s">
        <v>196</v>
      </c>
      <c r="B46" s="57" t="s">
        <v>292</v>
      </c>
      <c r="C46" s="57" t="s">
        <v>292</v>
      </c>
      <c r="D46" s="57" t="s">
        <v>292</v>
      </c>
      <c r="E46" s="158" t="s">
        <v>292</v>
      </c>
      <c r="F46" s="106" t="s">
        <v>292</v>
      </c>
      <c r="G46" s="57" t="s">
        <v>587</v>
      </c>
      <c r="H46" s="57" t="s">
        <v>286</v>
      </c>
      <c r="I46" s="158" t="s">
        <v>286</v>
      </c>
      <c r="J46" s="57" t="s">
        <v>286</v>
      </c>
      <c r="K46" s="58"/>
      <c r="L46" s="71" t="s">
        <v>324</v>
      </c>
      <c r="M46" s="72" t="s">
        <v>329</v>
      </c>
      <c r="N46" s="48">
        <v>0.2</v>
      </c>
      <c r="O46" s="44">
        <v>1</v>
      </c>
      <c r="P46" s="45">
        <v>1</v>
      </c>
    </row>
    <row r="47" spans="1:18" s="10" customFormat="1" x14ac:dyDescent="0.25">
      <c r="A47" s="56" t="s">
        <v>196</v>
      </c>
      <c r="B47" s="57" t="s">
        <v>286</v>
      </c>
      <c r="C47" s="57" t="s">
        <v>286</v>
      </c>
      <c r="D47" s="57" t="s">
        <v>286</v>
      </c>
      <c r="E47" s="158" t="s">
        <v>286</v>
      </c>
      <c r="F47" s="106" t="s">
        <v>286</v>
      </c>
      <c r="G47" s="57" t="s">
        <v>586</v>
      </c>
      <c r="H47" s="57" t="s">
        <v>286</v>
      </c>
      <c r="I47" s="158" t="s">
        <v>286</v>
      </c>
      <c r="J47" s="57" t="s">
        <v>286</v>
      </c>
      <c r="K47" s="128"/>
      <c r="L47" s="129" t="s">
        <v>395</v>
      </c>
      <c r="M47" s="130" t="s">
        <v>396</v>
      </c>
      <c r="N47" s="48">
        <v>0.2</v>
      </c>
      <c r="O47" s="44">
        <v>1</v>
      </c>
      <c r="P47" s="45">
        <v>1</v>
      </c>
    </row>
    <row r="48" spans="1:18" s="10" customFormat="1" x14ac:dyDescent="0.25">
      <c r="A48" s="56" t="s">
        <v>196</v>
      </c>
      <c r="B48" s="57" t="s">
        <v>286</v>
      </c>
      <c r="C48" s="57" t="s">
        <v>286</v>
      </c>
      <c r="D48" s="57" t="s">
        <v>286</v>
      </c>
      <c r="E48" s="158" t="s">
        <v>286</v>
      </c>
      <c r="F48" s="106" t="s">
        <v>286</v>
      </c>
      <c r="G48" s="96" t="s">
        <v>286</v>
      </c>
      <c r="H48" s="68" t="s">
        <v>286</v>
      </c>
      <c r="I48" s="96" t="s">
        <v>286</v>
      </c>
      <c r="J48" s="57" t="s">
        <v>286</v>
      </c>
      <c r="K48" s="128"/>
      <c r="L48" s="129" t="s">
        <v>393</v>
      </c>
      <c r="M48" s="130" t="s">
        <v>394</v>
      </c>
      <c r="N48" s="48">
        <v>0.25</v>
      </c>
      <c r="O48" s="44">
        <v>2</v>
      </c>
      <c r="P48" s="45">
        <v>2</v>
      </c>
    </row>
    <row r="49" spans="1:18" s="10" customFormat="1" ht="15" customHeight="1" x14ac:dyDescent="0.25">
      <c r="A49" s="56" t="s">
        <v>197</v>
      </c>
      <c r="B49" s="57" t="s">
        <v>571</v>
      </c>
      <c r="C49" s="57" t="s">
        <v>571</v>
      </c>
      <c r="D49" s="166" t="s">
        <v>571</v>
      </c>
      <c r="E49" s="166" t="s">
        <v>577</v>
      </c>
      <c r="F49" s="167" t="s">
        <v>571</v>
      </c>
      <c r="G49" s="67" t="s">
        <v>371</v>
      </c>
      <c r="H49" s="57" t="s">
        <v>286</v>
      </c>
      <c r="I49" s="158" t="s">
        <v>292</v>
      </c>
      <c r="J49" s="57" t="s">
        <v>286</v>
      </c>
      <c r="K49" s="128"/>
      <c r="L49" s="129" t="s">
        <v>325</v>
      </c>
      <c r="M49" s="131"/>
      <c r="N49" s="50">
        <f>IF(CELLREF&lt;76,(_xlfn.CEILING.MATH(CELLREF/25)*0.025),IF(CELLREF&gt;=76,(_xlfn.CEILING.MATH((CELLREF-76)/25)*0.013)+0.075))</f>
        <v>8.7999999999999995E-2</v>
      </c>
      <c r="O49" s="44">
        <v>2</v>
      </c>
      <c r="P49" s="45">
        <v>2</v>
      </c>
      <c r="R49" s="165"/>
    </row>
    <row r="50" spans="1:18" s="10" customFormat="1" x14ac:dyDescent="0.25">
      <c r="A50" s="56" t="s">
        <v>198</v>
      </c>
      <c r="B50" s="166" t="s">
        <v>571</v>
      </c>
      <c r="C50" s="166" t="s">
        <v>571</v>
      </c>
      <c r="D50" s="166" t="s">
        <v>571</v>
      </c>
      <c r="E50" s="166" t="s">
        <v>577</v>
      </c>
      <c r="F50" s="167" t="s">
        <v>571</v>
      </c>
      <c r="G50" s="67" t="s">
        <v>371</v>
      </c>
      <c r="H50" s="57" t="s">
        <v>286</v>
      </c>
      <c r="I50" s="158" t="s">
        <v>292</v>
      </c>
      <c r="J50" s="57" t="s">
        <v>286</v>
      </c>
      <c r="K50" s="128"/>
      <c r="L50" s="129" t="s">
        <v>325</v>
      </c>
      <c r="M50" s="131"/>
      <c r="N50" s="50">
        <f>IF(CELLREF&lt;76,(_xlfn.CEILING.MATH(CELLREF/25)*0.025),IF(CELLREF&gt;=76,(_xlfn.CEILING.MATH((CELLREF-76)/25)*0.013)+0.075))</f>
        <v>8.7999999999999995E-2</v>
      </c>
      <c r="O50" s="44">
        <v>2</v>
      </c>
      <c r="P50" s="45">
        <v>2</v>
      </c>
    </row>
    <row r="51" spans="1:18" s="10" customFormat="1" x14ac:dyDescent="0.25">
      <c r="A51" s="56" t="s">
        <v>199</v>
      </c>
      <c r="B51" s="167" t="s">
        <v>571</v>
      </c>
      <c r="C51" s="167" t="s">
        <v>571</v>
      </c>
      <c r="D51" s="167" t="s">
        <v>571</v>
      </c>
      <c r="E51" s="166" t="s">
        <v>577</v>
      </c>
      <c r="F51" s="167" t="s">
        <v>571</v>
      </c>
      <c r="G51" s="67" t="s">
        <v>371</v>
      </c>
      <c r="H51" s="57" t="s">
        <v>286</v>
      </c>
      <c r="I51" s="158" t="s">
        <v>292</v>
      </c>
      <c r="J51" s="57" t="s">
        <v>286</v>
      </c>
      <c r="K51" s="128"/>
      <c r="L51" s="129" t="s">
        <v>325</v>
      </c>
      <c r="M51" s="130"/>
      <c r="N51" s="50">
        <f>IF(CELLREF&lt;76,(_xlfn.CEILING.MATH(CELLREF/25)*0.025),IF(CELLREF&gt;=76,(_xlfn.CEILING.MATH((CELLREF-76)/25)*0.013)+0.075))</f>
        <v>8.7999999999999995E-2</v>
      </c>
      <c r="O51" s="44">
        <v>2</v>
      </c>
      <c r="P51" s="45">
        <v>2</v>
      </c>
    </row>
    <row r="52" spans="1:18" s="10" customFormat="1" x14ac:dyDescent="0.25">
      <c r="A52" s="157" t="s">
        <v>564</v>
      </c>
      <c r="B52" s="106" t="s">
        <v>572</v>
      </c>
      <c r="C52" s="106" t="s">
        <v>572</v>
      </c>
      <c r="D52" s="106" t="s">
        <v>572</v>
      </c>
      <c r="E52" s="166" t="s">
        <v>578</v>
      </c>
      <c r="F52" s="106" t="s">
        <v>572</v>
      </c>
      <c r="G52" s="158" t="s">
        <v>286</v>
      </c>
      <c r="H52" s="158" t="s">
        <v>286</v>
      </c>
      <c r="I52" s="158" t="s">
        <v>286</v>
      </c>
      <c r="J52" s="158" t="s">
        <v>286</v>
      </c>
      <c r="K52" s="128"/>
      <c r="L52" s="129"/>
      <c r="M52" s="162"/>
      <c r="N52" s="50"/>
      <c r="O52" s="44"/>
      <c r="P52" s="45"/>
    </row>
    <row r="53" spans="1:18" s="10" customFormat="1" x14ac:dyDescent="0.25">
      <c r="A53" s="157" t="s">
        <v>565</v>
      </c>
      <c r="B53" s="106" t="s">
        <v>572</v>
      </c>
      <c r="C53" s="106" t="s">
        <v>572</v>
      </c>
      <c r="D53" s="106" t="s">
        <v>572</v>
      </c>
      <c r="E53" s="166" t="s">
        <v>578</v>
      </c>
      <c r="F53" s="106" t="s">
        <v>572</v>
      </c>
      <c r="G53" s="158" t="s">
        <v>286</v>
      </c>
      <c r="H53" s="158" t="s">
        <v>286</v>
      </c>
      <c r="I53" s="158" t="s">
        <v>286</v>
      </c>
      <c r="J53" s="158" t="s">
        <v>286</v>
      </c>
      <c r="K53" s="128"/>
      <c r="L53" s="129"/>
      <c r="M53" s="162"/>
      <c r="N53" s="50"/>
      <c r="O53" s="44"/>
      <c r="P53" s="45"/>
    </row>
    <row r="54" spans="1:18" s="10" customFormat="1" x14ac:dyDescent="0.25">
      <c r="A54" s="157" t="s">
        <v>566</v>
      </c>
      <c r="B54" s="106" t="s">
        <v>572</v>
      </c>
      <c r="C54" s="106" t="s">
        <v>572</v>
      </c>
      <c r="D54" s="106" t="s">
        <v>572</v>
      </c>
      <c r="E54" s="166" t="s">
        <v>578</v>
      </c>
      <c r="F54" s="106" t="s">
        <v>572</v>
      </c>
      <c r="G54" s="158" t="s">
        <v>286</v>
      </c>
      <c r="H54" s="158" t="s">
        <v>286</v>
      </c>
      <c r="I54" s="158" t="s">
        <v>286</v>
      </c>
      <c r="J54" s="158" t="s">
        <v>286</v>
      </c>
      <c r="K54" s="128"/>
      <c r="L54" s="129"/>
      <c r="M54" s="162"/>
      <c r="N54" s="50"/>
      <c r="O54" s="44"/>
      <c r="P54" s="45"/>
    </row>
    <row r="55" spans="1:18" s="10" customFormat="1" x14ac:dyDescent="0.25">
      <c r="A55" s="157" t="s">
        <v>567</v>
      </c>
      <c r="B55" s="106" t="s">
        <v>572</v>
      </c>
      <c r="C55" s="106" t="s">
        <v>572</v>
      </c>
      <c r="D55" s="106" t="s">
        <v>572</v>
      </c>
      <c r="E55" s="166" t="s">
        <v>578</v>
      </c>
      <c r="F55" s="106" t="s">
        <v>572</v>
      </c>
      <c r="G55" s="158" t="s">
        <v>286</v>
      </c>
      <c r="H55" s="158" t="s">
        <v>286</v>
      </c>
      <c r="I55" s="158" t="s">
        <v>286</v>
      </c>
      <c r="J55" s="158" t="s">
        <v>286</v>
      </c>
      <c r="K55" s="128"/>
      <c r="L55" s="129"/>
      <c r="M55" s="162"/>
      <c r="N55" s="50"/>
      <c r="O55" s="44"/>
      <c r="P55" s="45"/>
    </row>
    <row r="56" spans="1:18" s="10" customFormat="1" x14ac:dyDescent="0.25">
      <c r="A56" s="157" t="s">
        <v>568</v>
      </c>
      <c r="B56" s="106" t="s">
        <v>572</v>
      </c>
      <c r="C56" s="106" t="s">
        <v>572</v>
      </c>
      <c r="D56" s="106" t="s">
        <v>572</v>
      </c>
      <c r="E56" s="166" t="s">
        <v>578</v>
      </c>
      <c r="F56" s="106" t="s">
        <v>572</v>
      </c>
      <c r="G56" s="158" t="s">
        <v>286</v>
      </c>
      <c r="H56" s="158" t="s">
        <v>286</v>
      </c>
      <c r="I56" s="158" t="s">
        <v>286</v>
      </c>
      <c r="J56" s="158" t="s">
        <v>286</v>
      </c>
      <c r="K56" s="128"/>
      <c r="L56" s="129"/>
      <c r="M56" s="162"/>
      <c r="N56" s="50"/>
      <c r="O56" s="44"/>
      <c r="P56" s="45"/>
    </row>
    <row r="57" spans="1:18" s="10" customFormat="1" x14ac:dyDescent="0.25">
      <c r="A57" s="157" t="s">
        <v>569</v>
      </c>
      <c r="B57" s="106" t="s">
        <v>572</v>
      </c>
      <c r="C57" s="106" t="s">
        <v>572</v>
      </c>
      <c r="D57" s="106" t="s">
        <v>572</v>
      </c>
      <c r="E57" s="166" t="s">
        <v>578</v>
      </c>
      <c r="F57" s="106" t="s">
        <v>572</v>
      </c>
      <c r="G57" s="158" t="s">
        <v>286</v>
      </c>
      <c r="H57" s="158" t="s">
        <v>286</v>
      </c>
      <c r="I57" s="158" t="s">
        <v>286</v>
      </c>
      <c r="J57" s="158" t="s">
        <v>286</v>
      </c>
      <c r="K57" s="128"/>
      <c r="L57" s="129"/>
      <c r="M57" s="162"/>
      <c r="N57" s="50"/>
      <c r="O57" s="44"/>
      <c r="P57" s="45"/>
    </row>
    <row r="58" spans="1:18" s="10" customFormat="1" x14ac:dyDescent="0.25">
      <c r="A58" s="157" t="s">
        <v>570</v>
      </c>
      <c r="B58" s="106" t="s">
        <v>572</v>
      </c>
      <c r="C58" s="106" t="s">
        <v>572</v>
      </c>
      <c r="D58" s="106" t="s">
        <v>572</v>
      </c>
      <c r="E58" s="166" t="s">
        <v>578</v>
      </c>
      <c r="F58" s="106" t="s">
        <v>572</v>
      </c>
      <c r="G58" s="158" t="s">
        <v>286</v>
      </c>
      <c r="H58" s="158" t="s">
        <v>286</v>
      </c>
      <c r="I58" s="158" t="s">
        <v>286</v>
      </c>
      <c r="J58" s="158" t="s">
        <v>286</v>
      </c>
      <c r="K58" s="128"/>
      <c r="L58" s="129"/>
      <c r="M58" s="162"/>
      <c r="N58" s="50"/>
      <c r="O58" s="44"/>
      <c r="P58" s="45"/>
    </row>
    <row r="59" spans="1:18" s="10" customFormat="1" x14ac:dyDescent="0.25">
      <c r="A59" s="56" t="s">
        <v>200</v>
      </c>
      <c r="B59" s="106" t="s">
        <v>292</v>
      </c>
      <c r="C59" s="106" t="s">
        <v>292</v>
      </c>
      <c r="D59" s="106" t="s">
        <v>292</v>
      </c>
      <c r="E59" s="106" t="s">
        <v>286</v>
      </c>
      <c r="F59" s="106" t="s">
        <v>292</v>
      </c>
      <c r="G59" s="67" t="s">
        <v>371</v>
      </c>
      <c r="H59" s="57" t="s">
        <v>286</v>
      </c>
      <c r="I59" s="158" t="s">
        <v>286</v>
      </c>
      <c r="J59" s="57" t="s">
        <v>286</v>
      </c>
      <c r="K59" s="128"/>
      <c r="L59" s="129" t="s">
        <v>209</v>
      </c>
      <c r="M59" s="130" t="s">
        <v>327</v>
      </c>
      <c r="N59" s="48">
        <f>IF(CELLREF&lt;=6, 0.25, 1.5)</f>
        <v>1.5</v>
      </c>
      <c r="O59" s="44">
        <v>1</v>
      </c>
      <c r="P59" s="45">
        <v>1</v>
      </c>
    </row>
    <row r="60" spans="1:18" s="10" customFormat="1" x14ac:dyDescent="0.25">
      <c r="A60" s="56" t="s">
        <v>418</v>
      </c>
      <c r="B60" s="106" t="s">
        <v>474</v>
      </c>
      <c r="C60" s="106" t="s">
        <v>474</v>
      </c>
      <c r="D60" s="106" t="s">
        <v>474</v>
      </c>
      <c r="E60" s="106" t="s">
        <v>286</v>
      </c>
      <c r="F60" s="106" t="s">
        <v>475</v>
      </c>
      <c r="G60" s="68" t="s">
        <v>286</v>
      </c>
      <c r="H60" s="57" t="s">
        <v>286</v>
      </c>
      <c r="I60" s="158" t="s">
        <v>286</v>
      </c>
      <c r="J60" s="57" t="s">
        <v>286</v>
      </c>
      <c r="K60" s="128"/>
      <c r="L60" s="148" t="s">
        <v>485</v>
      </c>
      <c r="M60" s="149" t="s">
        <v>486</v>
      </c>
      <c r="N60" s="48">
        <v>0.25</v>
      </c>
      <c r="O60" s="44">
        <v>1</v>
      </c>
      <c r="P60" s="45">
        <v>1</v>
      </c>
    </row>
    <row r="61" spans="1:18" s="10" customFormat="1" x14ac:dyDescent="0.25">
      <c r="A61" s="56" t="s">
        <v>384</v>
      </c>
      <c r="B61" s="106" t="s">
        <v>377</v>
      </c>
      <c r="C61" s="106" t="s">
        <v>377</v>
      </c>
      <c r="D61" s="106" t="s">
        <v>377</v>
      </c>
      <c r="E61" s="106" t="s">
        <v>286</v>
      </c>
      <c r="F61" s="106" t="s">
        <v>377</v>
      </c>
      <c r="G61" s="68" t="s">
        <v>286</v>
      </c>
      <c r="H61" s="57" t="s">
        <v>286</v>
      </c>
      <c r="I61" s="158" t="s">
        <v>286</v>
      </c>
      <c r="J61" s="57" t="s">
        <v>286</v>
      </c>
      <c r="K61" s="128"/>
      <c r="L61" s="133" t="s">
        <v>242</v>
      </c>
      <c r="M61" s="130" t="s">
        <v>328</v>
      </c>
      <c r="N61" s="48">
        <v>0.5</v>
      </c>
      <c r="O61" s="44">
        <v>1</v>
      </c>
      <c r="P61" s="45">
        <v>1</v>
      </c>
    </row>
    <row r="62" spans="1:18" s="10" customFormat="1" x14ac:dyDescent="0.25">
      <c r="A62" s="56" t="s">
        <v>419</v>
      </c>
      <c r="B62" s="57" t="s">
        <v>377</v>
      </c>
      <c r="C62" s="57" t="s">
        <v>377</v>
      </c>
      <c r="D62" s="57" t="s">
        <v>377</v>
      </c>
      <c r="E62" s="158" t="s">
        <v>286</v>
      </c>
      <c r="F62" s="106" t="s">
        <v>377</v>
      </c>
      <c r="G62" s="68" t="s">
        <v>286</v>
      </c>
      <c r="H62" s="57" t="s">
        <v>286</v>
      </c>
      <c r="I62" s="158" t="s">
        <v>286</v>
      </c>
      <c r="J62" s="57" t="s">
        <v>286</v>
      </c>
      <c r="K62" s="128"/>
      <c r="L62" s="132" t="s">
        <v>483</v>
      </c>
      <c r="M62" s="130" t="s">
        <v>484</v>
      </c>
      <c r="N62" s="48">
        <v>1</v>
      </c>
      <c r="O62" s="44">
        <v>2</v>
      </c>
      <c r="P62" s="45">
        <v>2</v>
      </c>
    </row>
    <row r="63" spans="1:18" s="10" customFormat="1" x14ac:dyDescent="0.25">
      <c r="A63" s="56" t="s">
        <v>420</v>
      </c>
      <c r="B63" s="57" t="s">
        <v>378</v>
      </c>
      <c r="C63" s="57" t="s">
        <v>378</v>
      </c>
      <c r="D63" s="57" t="s">
        <v>378</v>
      </c>
      <c r="E63" s="158" t="s">
        <v>286</v>
      </c>
      <c r="F63" s="106" t="s">
        <v>286</v>
      </c>
      <c r="G63" s="57" t="s">
        <v>588</v>
      </c>
      <c r="H63" s="57" t="s">
        <v>286</v>
      </c>
      <c r="I63" s="158" t="s">
        <v>286</v>
      </c>
      <c r="J63" s="57" t="s">
        <v>286</v>
      </c>
      <c r="K63" s="128"/>
      <c r="L63" s="134" t="s">
        <v>457</v>
      </c>
      <c r="M63" s="130"/>
      <c r="N63" s="48">
        <v>0</v>
      </c>
      <c r="O63" s="44">
        <v>0</v>
      </c>
      <c r="P63" s="45">
        <v>0</v>
      </c>
    </row>
    <row r="64" spans="1:18" s="10" customFormat="1" x14ac:dyDescent="0.25">
      <c r="A64" s="56" t="s">
        <v>421</v>
      </c>
      <c r="B64" s="57" t="s">
        <v>378</v>
      </c>
      <c r="C64" s="57" t="s">
        <v>378</v>
      </c>
      <c r="D64" s="57" t="s">
        <v>378</v>
      </c>
      <c r="E64" s="158" t="s">
        <v>286</v>
      </c>
      <c r="F64" s="106" t="s">
        <v>286</v>
      </c>
      <c r="G64" s="57" t="s">
        <v>588</v>
      </c>
      <c r="H64" s="57" t="s">
        <v>286</v>
      </c>
      <c r="I64" s="158" t="s">
        <v>286</v>
      </c>
      <c r="J64" s="57" t="s">
        <v>286</v>
      </c>
      <c r="K64" s="128"/>
      <c r="L64" s="133" t="s">
        <v>458</v>
      </c>
      <c r="M64" s="130"/>
      <c r="N64" s="48"/>
      <c r="O64" s="44"/>
      <c r="P64" s="45"/>
    </row>
    <row r="65" spans="1:16" s="10" customFormat="1" x14ac:dyDescent="0.25">
      <c r="A65" s="56" t="s">
        <v>422</v>
      </c>
      <c r="B65" s="57" t="s">
        <v>378</v>
      </c>
      <c r="C65" s="57" t="s">
        <v>378</v>
      </c>
      <c r="D65" s="57" t="s">
        <v>378</v>
      </c>
      <c r="E65" s="158" t="s">
        <v>286</v>
      </c>
      <c r="F65" s="106" t="s">
        <v>286</v>
      </c>
      <c r="G65" s="57" t="s">
        <v>588</v>
      </c>
      <c r="H65" s="57" t="s">
        <v>286</v>
      </c>
      <c r="I65" s="158" t="s">
        <v>286</v>
      </c>
      <c r="J65" s="95" t="s">
        <v>286</v>
      </c>
      <c r="K65" s="106"/>
      <c r="L65" s="133" t="s">
        <v>459</v>
      </c>
      <c r="M65" s="130" t="s">
        <v>460</v>
      </c>
      <c r="N65" s="48">
        <v>0.15</v>
      </c>
      <c r="O65" s="44">
        <v>2</v>
      </c>
      <c r="P65" s="45">
        <v>2</v>
      </c>
    </row>
    <row r="66" spans="1:16" s="10" customFormat="1" x14ac:dyDescent="0.25">
      <c r="A66" s="56" t="s">
        <v>423</v>
      </c>
      <c r="B66" s="57" t="s">
        <v>379</v>
      </c>
      <c r="C66" s="57" t="s">
        <v>380</v>
      </c>
      <c r="D66" s="57" t="s">
        <v>381</v>
      </c>
      <c r="E66" s="158" t="s">
        <v>286</v>
      </c>
      <c r="F66" s="106" t="s">
        <v>476</v>
      </c>
      <c r="G66" s="57" t="s">
        <v>586</v>
      </c>
      <c r="H66" s="57" t="s">
        <v>286</v>
      </c>
      <c r="I66" s="158" t="s">
        <v>286</v>
      </c>
      <c r="J66" s="57" t="s">
        <v>286</v>
      </c>
      <c r="K66" s="128"/>
      <c r="L66" s="133" t="s">
        <v>397</v>
      </c>
      <c r="M66" s="130" t="s">
        <v>370</v>
      </c>
      <c r="N66" s="48">
        <v>0.25</v>
      </c>
      <c r="O66" s="44">
        <v>2</v>
      </c>
      <c r="P66" s="45">
        <v>2</v>
      </c>
    </row>
    <row r="67" spans="1:16" s="10" customFormat="1" x14ac:dyDescent="0.25">
      <c r="A67" s="56" t="s">
        <v>424</v>
      </c>
      <c r="B67" s="57" t="s">
        <v>379</v>
      </c>
      <c r="C67" s="57" t="s">
        <v>380</v>
      </c>
      <c r="D67" s="68" t="s">
        <v>286</v>
      </c>
      <c r="E67" s="96" t="s">
        <v>286</v>
      </c>
      <c r="F67" s="106" t="s">
        <v>476</v>
      </c>
      <c r="G67" s="68" t="s">
        <v>286</v>
      </c>
      <c r="H67" s="57" t="s">
        <v>286</v>
      </c>
      <c r="I67" s="158" t="s">
        <v>286</v>
      </c>
      <c r="J67" s="57" t="s">
        <v>286</v>
      </c>
      <c r="K67" s="128"/>
      <c r="L67" s="133" t="s">
        <v>368</v>
      </c>
      <c r="M67" s="130" t="s">
        <v>369</v>
      </c>
      <c r="N67" s="48">
        <v>0.25</v>
      </c>
      <c r="O67" s="44">
        <v>2</v>
      </c>
      <c r="P67" s="45">
        <v>2</v>
      </c>
    </row>
    <row r="68" spans="1:16" s="10" customFormat="1" x14ac:dyDescent="0.25">
      <c r="A68" s="51" t="s">
        <v>425</v>
      </c>
      <c r="B68" s="52" t="s">
        <v>379</v>
      </c>
      <c r="C68" s="52" t="s">
        <v>380</v>
      </c>
      <c r="D68" s="53" t="s">
        <v>292</v>
      </c>
      <c r="E68" s="156" t="s">
        <v>292</v>
      </c>
      <c r="F68" s="109" t="s">
        <v>292</v>
      </c>
      <c r="G68" s="156" t="s">
        <v>586</v>
      </c>
      <c r="H68" s="53" t="s">
        <v>286</v>
      </c>
      <c r="I68" s="156" t="s">
        <v>286</v>
      </c>
      <c r="J68" s="52" t="s">
        <v>286</v>
      </c>
      <c r="K68" s="128"/>
      <c r="L68" s="135" t="s">
        <v>366</v>
      </c>
      <c r="M68" s="136" t="s">
        <v>367</v>
      </c>
      <c r="N68" s="75">
        <v>0.25</v>
      </c>
      <c r="O68" s="76">
        <v>2</v>
      </c>
      <c r="P68" s="77">
        <v>2</v>
      </c>
    </row>
    <row r="69" spans="1:16" s="10" customFormat="1" x14ac:dyDescent="0.25">
      <c r="A69" s="51" t="s">
        <v>425</v>
      </c>
      <c r="B69" s="52" t="s">
        <v>286</v>
      </c>
      <c r="C69" s="52" t="s">
        <v>286</v>
      </c>
      <c r="D69" s="53" t="s">
        <v>286</v>
      </c>
      <c r="E69" s="156" t="s">
        <v>286</v>
      </c>
      <c r="F69" s="109" t="s">
        <v>286</v>
      </c>
      <c r="G69" s="53" t="s">
        <v>286</v>
      </c>
      <c r="H69" s="52" t="s">
        <v>292</v>
      </c>
      <c r="I69" s="155" t="s">
        <v>286</v>
      </c>
      <c r="J69" s="52" t="s">
        <v>292</v>
      </c>
      <c r="K69" s="128"/>
      <c r="L69" s="135" t="s">
        <v>366</v>
      </c>
      <c r="M69" s="136" t="s">
        <v>367</v>
      </c>
      <c r="N69" s="75">
        <f>0.01*CELLREF</f>
        <v>0.78</v>
      </c>
      <c r="O69" s="76">
        <v>2</v>
      </c>
      <c r="P69" s="77">
        <v>2</v>
      </c>
    </row>
    <row r="70" spans="1:16" s="10" customFormat="1" x14ac:dyDescent="0.25">
      <c r="A70" s="51" t="s">
        <v>426</v>
      </c>
      <c r="B70" s="52" t="s">
        <v>286</v>
      </c>
      <c r="C70" s="52" t="s">
        <v>286</v>
      </c>
      <c r="D70" s="53" t="s">
        <v>286</v>
      </c>
      <c r="E70" s="156" t="s">
        <v>286</v>
      </c>
      <c r="F70" s="109" t="s">
        <v>286</v>
      </c>
      <c r="G70" s="53" t="s">
        <v>286</v>
      </c>
      <c r="H70" s="52" t="s">
        <v>292</v>
      </c>
      <c r="I70" s="155" t="s">
        <v>286</v>
      </c>
      <c r="J70" s="53" t="s">
        <v>286</v>
      </c>
      <c r="K70" s="128"/>
      <c r="L70" s="135" t="s">
        <v>325</v>
      </c>
      <c r="M70" s="136"/>
      <c r="N70" s="75">
        <f>0.001*CELLREF</f>
        <v>7.8E-2</v>
      </c>
      <c r="O70" s="124">
        <v>2</v>
      </c>
      <c r="P70" s="125">
        <v>2</v>
      </c>
    </row>
    <row r="71" spans="1:16" s="10" customFormat="1" x14ac:dyDescent="0.25">
      <c r="A71" s="51" t="s">
        <v>427</v>
      </c>
      <c r="B71" s="52" t="s">
        <v>286</v>
      </c>
      <c r="C71" s="52" t="s">
        <v>286</v>
      </c>
      <c r="D71" s="53" t="s">
        <v>286</v>
      </c>
      <c r="E71" s="156" t="s">
        <v>286</v>
      </c>
      <c r="F71" s="109" t="s">
        <v>286</v>
      </c>
      <c r="G71" s="53" t="s">
        <v>286</v>
      </c>
      <c r="H71" s="52" t="s">
        <v>286</v>
      </c>
      <c r="I71" s="155" t="s">
        <v>286</v>
      </c>
      <c r="J71" s="53" t="s">
        <v>292</v>
      </c>
      <c r="K71" s="128"/>
      <c r="L71" s="132" t="s">
        <v>461</v>
      </c>
      <c r="M71" s="136" t="s">
        <v>462</v>
      </c>
      <c r="N71" s="75">
        <v>1</v>
      </c>
      <c r="O71" s="124">
        <v>1</v>
      </c>
      <c r="P71" s="125">
        <v>1</v>
      </c>
    </row>
    <row r="72" spans="1:16" s="10" customFormat="1" x14ac:dyDescent="0.25">
      <c r="A72" s="51" t="s">
        <v>428</v>
      </c>
      <c r="B72" s="52" t="s">
        <v>286</v>
      </c>
      <c r="C72" s="52" t="s">
        <v>286</v>
      </c>
      <c r="D72" s="53" t="s">
        <v>286</v>
      </c>
      <c r="E72" s="156" t="s">
        <v>286</v>
      </c>
      <c r="F72" s="109" t="s">
        <v>292</v>
      </c>
      <c r="G72" s="109" t="s">
        <v>286</v>
      </c>
      <c r="H72" s="52" t="s">
        <v>543</v>
      </c>
      <c r="I72" s="155" t="s">
        <v>286</v>
      </c>
      <c r="J72" s="52" t="s">
        <v>292</v>
      </c>
      <c r="K72" s="128"/>
      <c r="L72" s="135" t="s">
        <v>408</v>
      </c>
      <c r="M72" s="136" t="s">
        <v>409</v>
      </c>
      <c r="N72" s="151">
        <v>12</v>
      </c>
      <c r="O72" s="76">
        <v>0</v>
      </c>
      <c r="P72" s="77">
        <v>0</v>
      </c>
    </row>
    <row r="73" spans="1:16" s="10" customFormat="1" x14ac:dyDescent="0.25">
      <c r="A73" s="51" t="s">
        <v>428</v>
      </c>
      <c r="B73" s="52" t="s">
        <v>286</v>
      </c>
      <c r="C73" s="52" t="s">
        <v>286</v>
      </c>
      <c r="D73" s="53" t="s">
        <v>286</v>
      </c>
      <c r="E73" s="156" t="s">
        <v>286</v>
      </c>
      <c r="F73" s="109" t="s">
        <v>292</v>
      </c>
      <c r="G73" s="109" t="s">
        <v>585</v>
      </c>
      <c r="H73" s="52" t="s">
        <v>544</v>
      </c>
      <c r="I73" s="155" t="s">
        <v>286</v>
      </c>
      <c r="J73" s="107" t="s">
        <v>286</v>
      </c>
      <c r="K73" s="128"/>
      <c r="L73" s="135" t="s">
        <v>408</v>
      </c>
      <c r="M73" s="136" t="s">
        <v>409</v>
      </c>
      <c r="N73" s="151">
        <v>6</v>
      </c>
      <c r="O73" s="76">
        <v>0</v>
      </c>
      <c r="P73" s="77">
        <v>0</v>
      </c>
    </row>
    <row r="74" spans="1:16" s="10" customFormat="1" x14ac:dyDescent="0.25">
      <c r="A74" s="51" t="s">
        <v>429</v>
      </c>
      <c r="B74" s="52" t="s">
        <v>286</v>
      </c>
      <c r="C74" s="52" t="s">
        <v>286</v>
      </c>
      <c r="D74" s="53" t="s">
        <v>286</v>
      </c>
      <c r="E74" s="156" t="s">
        <v>286</v>
      </c>
      <c r="F74" s="109" t="s">
        <v>286</v>
      </c>
      <c r="G74" s="53" t="s">
        <v>286</v>
      </c>
      <c r="H74" s="107" t="s">
        <v>292</v>
      </c>
      <c r="I74" s="107" t="s">
        <v>286</v>
      </c>
      <c r="J74" s="52" t="s">
        <v>286</v>
      </c>
      <c r="K74" s="128"/>
      <c r="L74" s="135" t="s">
        <v>410</v>
      </c>
      <c r="M74" s="136" t="s">
        <v>411</v>
      </c>
      <c r="N74" s="75">
        <v>3</v>
      </c>
      <c r="O74" s="76">
        <v>0</v>
      </c>
      <c r="P74" s="77">
        <v>0</v>
      </c>
    </row>
    <row r="75" spans="1:16" s="10" customFormat="1" x14ac:dyDescent="0.25">
      <c r="A75" s="51" t="s">
        <v>430</v>
      </c>
      <c r="B75" s="52" t="s">
        <v>286</v>
      </c>
      <c r="C75" s="52" t="s">
        <v>286</v>
      </c>
      <c r="D75" s="53" t="s">
        <v>286</v>
      </c>
      <c r="E75" s="156" t="s">
        <v>286</v>
      </c>
      <c r="F75" s="109" t="s">
        <v>286</v>
      </c>
      <c r="G75" s="53" t="s">
        <v>286</v>
      </c>
      <c r="H75" s="107" t="s">
        <v>292</v>
      </c>
      <c r="I75" s="107" t="s">
        <v>286</v>
      </c>
      <c r="J75" s="52" t="s">
        <v>286</v>
      </c>
      <c r="K75" s="128"/>
      <c r="L75" s="135" t="s">
        <v>413</v>
      </c>
      <c r="M75" s="136" t="s">
        <v>414</v>
      </c>
      <c r="N75" s="75">
        <v>3</v>
      </c>
      <c r="O75" s="76">
        <v>0</v>
      </c>
      <c r="P75" s="77">
        <v>0</v>
      </c>
    </row>
    <row r="76" spans="1:16" s="10" customFormat="1" x14ac:dyDescent="0.25">
      <c r="A76" s="51" t="s">
        <v>431</v>
      </c>
      <c r="B76" s="52" t="s">
        <v>286</v>
      </c>
      <c r="C76" s="52" t="s">
        <v>286</v>
      </c>
      <c r="D76" s="53" t="s">
        <v>286</v>
      </c>
      <c r="E76" s="156" t="s">
        <v>286</v>
      </c>
      <c r="F76" s="109" t="s">
        <v>286</v>
      </c>
      <c r="G76" s="53" t="s">
        <v>286</v>
      </c>
      <c r="H76" s="107" t="s">
        <v>292</v>
      </c>
      <c r="I76" s="107" t="s">
        <v>286</v>
      </c>
      <c r="J76" s="52" t="s">
        <v>286</v>
      </c>
      <c r="K76" s="128"/>
      <c r="L76" s="135" t="s">
        <v>415</v>
      </c>
      <c r="M76" s="136" t="s">
        <v>416</v>
      </c>
      <c r="N76" s="75">
        <v>3</v>
      </c>
      <c r="O76" s="76">
        <v>0</v>
      </c>
      <c r="P76" s="77">
        <v>0</v>
      </c>
    </row>
    <row r="77" spans="1:16" s="10" customFormat="1" x14ac:dyDescent="0.25">
      <c r="A77" s="51" t="s">
        <v>478</v>
      </c>
      <c r="B77" s="52" t="s">
        <v>286</v>
      </c>
      <c r="C77" s="52" t="s">
        <v>286</v>
      </c>
      <c r="D77" s="53" t="s">
        <v>286</v>
      </c>
      <c r="E77" s="156" t="s">
        <v>286</v>
      </c>
      <c r="F77" s="109" t="s">
        <v>286</v>
      </c>
      <c r="G77" s="53" t="s">
        <v>286</v>
      </c>
      <c r="H77" s="52" t="s">
        <v>292</v>
      </c>
      <c r="I77" s="155" t="s">
        <v>286</v>
      </c>
      <c r="J77" s="53" t="s">
        <v>286</v>
      </c>
      <c r="K77" s="128"/>
      <c r="L77" s="148" t="s">
        <v>479</v>
      </c>
      <c r="M77" s="150" t="s">
        <v>480</v>
      </c>
      <c r="N77" s="75">
        <v>0.25</v>
      </c>
      <c r="O77" s="76">
        <v>1</v>
      </c>
      <c r="P77" s="77">
        <v>1</v>
      </c>
    </row>
    <row r="78" spans="1:16" s="10" customFormat="1" x14ac:dyDescent="0.25">
      <c r="A78" s="51" t="s">
        <v>477</v>
      </c>
      <c r="B78" s="52" t="s">
        <v>286</v>
      </c>
      <c r="C78" s="52" t="s">
        <v>286</v>
      </c>
      <c r="D78" s="53" t="s">
        <v>286</v>
      </c>
      <c r="E78" s="156" t="s">
        <v>286</v>
      </c>
      <c r="F78" s="109" t="s">
        <v>286</v>
      </c>
      <c r="G78" s="53" t="s">
        <v>286</v>
      </c>
      <c r="H78" s="52" t="s">
        <v>292</v>
      </c>
      <c r="I78" s="155" t="s">
        <v>286</v>
      </c>
      <c r="J78" s="53" t="s">
        <v>286</v>
      </c>
      <c r="K78" s="128"/>
      <c r="L78" s="148" t="s">
        <v>481</v>
      </c>
      <c r="M78" s="149" t="s">
        <v>482</v>
      </c>
      <c r="N78" s="75">
        <v>0.25</v>
      </c>
      <c r="O78" s="76">
        <v>1</v>
      </c>
      <c r="P78" s="77">
        <v>1</v>
      </c>
    </row>
    <row r="79" spans="1:16" s="10" customFormat="1" x14ac:dyDescent="0.25">
      <c r="A79" s="51" t="s">
        <v>432</v>
      </c>
      <c r="B79" s="52" t="s">
        <v>286</v>
      </c>
      <c r="C79" s="52" t="s">
        <v>286</v>
      </c>
      <c r="D79" s="53" t="s">
        <v>286</v>
      </c>
      <c r="E79" s="156" t="s">
        <v>286</v>
      </c>
      <c r="F79" s="109" t="s">
        <v>286</v>
      </c>
      <c r="G79" s="53" t="s">
        <v>286</v>
      </c>
      <c r="H79" s="52" t="s">
        <v>286</v>
      </c>
      <c r="I79" s="155" t="s">
        <v>286</v>
      </c>
      <c r="J79" s="52" t="s">
        <v>449</v>
      </c>
      <c r="K79" s="128"/>
      <c r="L79" s="135" t="s">
        <v>324</v>
      </c>
      <c r="M79" s="136" t="s">
        <v>329</v>
      </c>
      <c r="N79" s="75">
        <v>12</v>
      </c>
      <c r="O79" s="124">
        <v>0</v>
      </c>
      <c r="P79" s="125">
        <v>0</v>
      </c>
    </row>
    <row r="80" spans="1:16" s="10" customFormat="1" x14ac:dyDescent="0.25">
      <c r="A80" s="97" t="s">
        <v>433</v>
      </c>
      <c r="B80" s="95" t="s">
        <v>286</v>
      </c>
      <c r="C80" s="95" t="s">
        <v>286</v>
      </c>
      <c r="D80" s="96" t="s">
        <v>286</v>
      </c>
      <c r="E80" s="96" t="s">
        <v>286</v>
      </c>
      <c r="F80" s="108" t="s">
        <v>286</v>
      </c>
      <c r="G80" s="96" t="s">
        <v>286</v>
      </c>
      <c r="H80" s="95" t="s">
        <v>286</v>
      </c>
      <c r="I80" s="158" t="s">
        <v>286</v>
      </c>
      <c r="J80" s="95" t="s">
        <v>292</v>
      </c>
      <c r="K80" s="58"/>
      <c r="L80" s="152" t="s">
        <v>410</v>
      </c>
      <c r="M80" s="72" t="s">
        <v>411</v>
      </c>
      <c r="N80" s="48">
        <v>5</v>
      </c>
      <c r="O80" s="44">
        <v>0</v>
      </c>
      <c r="P80" s="45">
        <v>0</v>
      </c>
    </row>
    <row r="81" spans="1:16" s="10" customFormat="1" ht="30" x14ac:dyDescent="0.25">
      <c r="A81" s="157" t="s">
        <v>545</v>
      </c>
      <c r="B81" s="95" t="s">
        <v>286</v>
      </c>
      <c r="C81" s="95" t="s">
        <v>286</v>
      </c>
      <c r="D81" s="96" t="s">
        <v>286</v>
      </c>
      <c r="E81" s="96" t="s">
        <v>286</v>
      </c>
      <c r="F81" s="108" t="s">
        <v>286</v>
      </c>
      <c r="G81" s="96" t="s">
        <v>286</v>
      </c>
      <c r="H81" s="106" t="s">
        <v>286</v>
      </c>
      <c r="I81" s="106" t="s">
        <v>286</v>
      </c>
      <c r="J81" s="158" t="s">
        <v>558</v>
      </c>
      <c r="K81" s="128"/>
      <c r="L81" s="133" t="s">
        <v>368</v>
      </c>
      <c r="M81" s="162" t="s">
        <v>369</v>
      </c>
      <c r="N81" s="153">
        <v>1</v>
      </c>
      <c r="O81" s="44">
        <v>0</v>
      </c>
      <c r="P81" s="45">
        <v>0</v>
      </c>
    </row>
    <row r="82" spans="1:16" s="10" customFormat="1" x14ac:dyDescent="0.25">
      <c r="A82" s="157" t="s">
        <v>545</v>
      </c>
      <c r="B82" s="158" t="s">
        <v>286</v>
      </c>
      <c r="C82" s="158" t="s">
        <v>286</v>
      </c>
      <c r="D82" s="96" t="s">
        <v>286</v>
      </c>
      <c r="E82" s="96" t="s">
        <v>286</v>
      </c>
      <c r="F82" s="108" t="s">
        <v>286</v>
      </c>
      <c r="G82" s="96" t="s">
        <v>286</v>
      </c>
      <c r="H82" s="106" t="s">
        <v>286</v>
      </c>
      <c r="I82" s="106" t="s">
        <v>286</v>
      </c>
      <c r="J82" s="158" t="s">
        <v>559</v>
      </c>
      <c r="K82" s="128"/>
      <c r="L82" s="133" t="s">
        <v>368</v>
      </c>
      <c r="M82" s="162" t="s">
        <v>369</v>
      </c>
      <c r="N82" s="153">
        <v>1</v>
      </c>
      <c r="O82" s="44">
        <v>0</v>
      </c>
      <c r="P82" s="45">
        <v>0</v>
      </c>
    </row>
    <row r="83" spans="1:16" s="10" customFormat="1" x14ac:dyDescent="0.25">
      <c r="A83" s="154" t="s">
        <v>546</v>
      </c>
      <c r="B83" s="52" t="s">
        <v>286</v>
      </c>
      <c r="C83" s="52" t="s">
        <v>286</v>
      </c>
      <c r="D83" s="53" t="s">
        <v>286</v>
      </c>
      <c r="E83" s="156" t="s">
        <v>286</v>
      </c>
      <c r="F83" s="109" t="s">
        <v>286</v>
      </c>
      <c r="G83" s="53" t="s">
        <v>286</v>
      </c>
      <c r="H83" s="52" t="s">
        <v>286</v>
      </c>
      <c r="I83" s="155" t="s">
        <v>286</v>
      </c>
      <c r="J83" s="156" t="s">
        <v>292</v>
      </c>
      <c r="K83" s="128"/>
      <c r="L83" s="163" t="s">
        <v>550</v>
      </c>
      <c r="M83" s="150" t="s">
        <v>557</v>
      </c>
      <c r="N83" s="161">
        <v>3</v>
      </c>
      <c r="O83" s="76">
        <v>0</v>
      </c>
      <c r="P83" s="77">
        <v>0</v>
      </c>
    </row>
    <row r="84" spans="1:16" s="10" customFormat="1" x14ac:dyDescent="0.25">
      <c r="A84" s="154" t="s">
        <v>547</v>
      </c>
      <c r="B84" s="52" t="s">
        <v>286</v>
      </c>
      <c r="C84" s="52" t="s">
        <v>286</v>
      </c>
      <c r="D84" s="53" t="s">
        <v>286</v>
      </c>
      <c r="E84" s="156" t="s">
        <v>286</v>
      </c>
      <c r="F84" s="109" t="s">
        <v>286</v>
      </c>
      <c r="G84" s="53" t="s">
        <v>286</v>
      </c>
      <c r="H84" s="52" t="s">
        <v>286</v>
      </c>
      <c r="I84" s="155" t="s">
        <v>286</v>
      </c>
      <c r="J84" s="156" t="s">
        <v>449</v>
      </c>
      <c r="K84" s="128"/>
      <c r="L84" s="163" t="s">
        <v>551</v>
      </c>
      <c r="M84" s="164" t="s">
        <v>552</v>
      </c>
      <c r="N84" s="161">
        <v>3</v>
      </c>
      <c r="O84" s="76">
        <v>0</v>
      </c>
      <c r="P84" s="77">
        <v>0</v>
      </c>
    </row>
    <row r="85" spans="1:16" s="10" customFormat="1" x14ac:dyDescent="0.25">
      <c r="A85" s="154" t="s">
        <v>548</v>
      </c>
      <c r="B85" s="52" t="s">
        <v>286</v>
      </c>
      <c r="C85" s="52" t="s">
        <v>286</v>
      </c>
      <c r="D85" s="53" t="s">
        <v>286</v>
      </c>
      <c r="E85" s="156" t="s">
        <v>286</v>
      </c>
      <c r="F85" s="109" t="s">
        <v>286</v>
      </c>
      <c r="G85" s="53" t="s">
        <v>286</v>
      </c>
      <c r="H85" s="52" t="s">
        <v>286</v>
      </c>
      <c r="I85" s="155" t="s">
        <v>286</v>
      </c>
      <c r="J85" s="155" t="s">
        <v>449</v>
      </c>
      <c r="K85" s="128"/>
      <c r="L85" s="135" t="s">
        <v>555</v>
      </c>
      <c r="M85" s="136" t="s">
        <v>556</v>
      </c>
      <c r="N85" s="75">
        <v>0.25</v>
      </c>
      <c r="O85" s="124">
        <v>1</v>
      </c>
      <c r="P85" s="125">
        <v>1</v>
      </c>
    </row>
    <row r="86" spans="1:16" s="10" customFormat="1" x14ac:dyDescent="0.25">
      <c r="A86" s="159" t="s">
        <v>549</v>
      </c>
      <c r="B86" s="69" t="s">
        <v>286</v>
      </c>
      <c r="C86" s="69" t="s">
        <v>286</v>
      </c>
      <c r="D86" s="70" t="s">
        <v>286</v>
      </c>
      <c r="E86" s="70" t="s">
        <v>286</v>
      </c>
      <c r="F86" s="100" t="s">
        <v>286</v>
      </c>
      <c r="G86" s="70" t="s">
        <v>286</v>
      </c>
      <c r="H86" s="69" t="s">
        <v>286</v>
      </c>
      <c r="I86" s="160" t="s">
        <v>286</v>
      </c>
      <c r="J86" s="160" t="s">
        <v>449</v>
      </c>
      <c r="K86" s="58"/>
      <c r="L86" s="73" t="s">
        <v>553</v>
      </c>
      <c r="M86" s="74" t="s">
        <v>554</v>
      </c>
      <c r="N86" s="49">
        <v>1</v>
      </c>
      <c r="O86" s="46">
        <v>0</v>
      </c>
      <c r="P86" s="47">
        <v>0</v>
      </c>
    </row>
    <row r="88" spans="1:16" x14ac:dyDescent="0.25">
      <c r="L88" s="39" t="s">
        <v>382</v>
      </c>
    </row>
  </sheetData>
  <mergeCells count="1">
    <mergeCell ref="O44:P44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/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9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9"/>
      <c r="B1" s="90" t="s">
        <v>287</v>
      </c>
      <c r="C1" s="90" t="s">
        <v>288</v>
      </c>
      <c r="D1" s="90" t="s">
        <v>289</v>
      </c>
      <c r="E1" s="90" t="s">
        <v>576</v>
      </c>
      <c r="F1" s="90" t="s">
        <v>463</v>
      </c>
      <c r="G1" s="90" t="s">
        <v>290</v>
      </c>
      <c r="H1" s="90" t="s">
        <v>398</v>
      </c>
      <c r="I1" s="90" t="s">
        <v>560</v>
      </c>
      <c r="J1" s="90" t="s">
        <v>399</v>
      </c>
    </row>
    <row r="2" spans="1:10" x14ac:dyDescent="0.25">
      <c r="A2" s="91" t="s">
        <v>291</v>
      </c>
      <c r="B2" s="92"/>
      <c r="C2" s="93"/>
      <c r="D2" s="93"/>
      <c r="E2" s="93"/>
      <c r="F2" s="93"/>
      <c r="G2" s="93"/>
      <c r="H2" s="92"/>
      <c r="I2" s="92"/>
      <c r="J2" s="92"/>
    </row>
    <row r="3" spans="1:10" x14ac:dyDescent="0.25">
      <c r="A3" s="94" t="s">
        <v>181</v>
      </c>
      <c r="B3" s="98" t="s">
        <v>452</v>
      </c>
      <c r="C3" s="98" t="s">
        <v>452</v>
      </c>
      <c r="D3" s="98" t="s">
        <v>452</v>
      </c>
      <c r="E3" s="171" t="s">
        <v>286</v>
      </c>
      <c r="F3" s="98" t="s">
        <v>452</v>
      </c>
      <c r="G3" s="98" t="s">
        <v>452</v>
      </c>
      <c r="H3" s="96" t="s">
        <v>286</v>
      </c>
      <c r="I3" s="96" t="s">
        <v>286</v>
      </c>
      <c r="J3" s="95" t="s">
        <v>286</v>
      </c>
    </row>
    <row r="4" spans="1:10" x14ac:dyDescent="0.25">
      <c r="A4" s="97" t="s">
        <v>390</v>
      </c>
      <c r="B4" s="95" t="s">
        <v>286</v>
      </c>
      <c r="C4" s="95" t="s">
        <v>286</v>
      </c>
      <c r="D4" s="95" t="s">
        <v>286</v>
      </c>
      <c r="E4" s="158" t="s">
        <v>286</v>
      </c>
      <c r="F4" s="96" t="s">
        <v>286</v>
      </c>
      <c r="G4" s="98" t="s">
        <v>452</v>
      </c>
      <c r="H4" s="95" t="s">
        <v>286</v>
      </c>
      <c r="I4" s="158" t="s">
        <v>286</v>
      </c>
      <c r="J4" s="95" t="s">
        <v>286</v>
      </c>
    </row>
    <row r="5" spans="1:10" x14ac:dyDescent="0.25">
      <c r="A5" s="97" t="s">
        <v>391</v>
      </c>
      <c r="B5" s="96" t="s">
        <v>286</v>
      </c>
      <c r="C5" s="95" t="s">
        <v>286</v>
      </c>
      <c r="D5" s="96" t="s">
        <v>286</v>
      </c>
      <c r="E5" s="96" t="s">
        <v>286</v>
      </c>
      <c r="F5" s="96" t="s">
        <v>286</v>
      </c>
      <c r="G5" s="98" t="s">
        <v>452</v>
      </c>
      <c r="H5" s="96" t="s">
        <v>286</v>
      </c>
      <c r="I5" s="96" t="s">
        <v>286</v>
      </c>
      <c r="J5" s="96" t="s">
        <v>286</v>
      </c>
    </row>
    <row r="6" spans="1:10" x14ac:dyDescent="0.25">
      <c r="A6" s="94" t="s">
        <v>207</v>
      </c>
      <c r="B6" s="98" t="s">
        <v>453</v>
      </c>
      <c r="C6" s="98" t="s">
        <v>453</v>
      </c>
      <c r="D6" s="98" t="s">
        <v>454</v>
      </c>
      <c r="E6" s="170" t="s">
        <v>286</v>
      </c>
      <c r="F6" s="98" t="s">
        <v>454</v>
      </c>
      <c r="G6" s="98" t="s">
        <v>452</v>
      </c>
      <c r="H6" s="95" t="s">
        <v>286</v>
      </c>
      <c r="I6" s="158" t="s">
        <v>286</v>
      </c>
      <c r="J6" s="95" t="s">
        <v>286</v>
      </c>
    </row>
    <row r="7" spans="1:10" x14ac:dyDescent="0.25">
      <c r="A7" s="94" t="s">
        <v>182</v>
      </c>
      <c r="B7" s="98" t="s">
        <v>452</v>
      </c>
      <c r="C7" s="98" t="s">
        <v>452</v>
      </c>
      <c r="D7" s="98" t="s">
        <v>452</v>
      </c>
      <c r="E7" s="170" t="s">
        <v>286</v>
      </c>
      <c r="F7" s="98" t="s">
        <v>452</v>
      </c>
      <c r="G7" s="98" t="s">
        <v>452</v>
      </c>
      <c r="H7" s="95" t="s">
        <v>286</v>
      </c>
      <c r="I7" s="158" t="s">
        <v>286</v>
      </c>
      <c r="J7" s="95" t="s">
        <v>286</v>
      </c>
    </row>
    <row r="8" spans="1:10" x14ac:dyDescent="0.25">
      <c r="A8" s="97" t="s">
        <v>294</v>
      </c>
      <c r="B8" s="96" t="s">
        <v>286</v>
      </c>
      <c r="C8" s="98" t="s">
        <v>454</v>
      </c>
      <c r="D8" s="96" t="s">
        <v>286</v>
      </c>
      <c r="E8" s="96" t="s">
        <v>286</v>
      </c>
      <c r="F8" s="98" t="s">
        <v>454</v>
      </c>
      <c r="G8" s="96" t="s">
        <v>286</v>
      </c>
      <c r="H8" s="96" t="s">
        <v>286</v>
      </c>
      <c r="I8" s="140" t="s">
        <v>454</v>
      </c>
      <c r="J8" s="96" t="s">
        <v>286</v>
      </c>
    </row>
    <row r="9" spans="1:10" x14ac:dyDescent="0.25">
      <c r="A9" s="97" t="s">
        <v>591</v>
      </c>
      <c r="B9" s="96" t="s">
        <v>286</v>
      </c>
      <c r="C9" s="98" t="s">
        <v>454</v>
      </c>
      <c r="D9" s="96" t="s">
        <v>286</v>
      </c>
      <c r="E9" s="96" t="s">
        <v>286</v>
      </c>
      <c r="F9" s="98" t="s">
        <v>454</v>
      </c>
      <c r="G9" s="96" t="s">
        <v>286</v>
      </c>
      <c r="H9" s="96" t="s">
        <v>286</v>
      </c>
      <c r="I9" s="140" t="s">
        <v>454</v>
      </c>
      <c r="J9" s="96" t="s">
        <v>286</v>
      </c>
    </row>
    <row r="10" spans="1:10" x14ac:dyDescent="0.25">
      <c r="A10" s="94" t="s">
        <v>400</v>
      </c>
      <c r="B10" s="96" t="s">
        <v>286</v>
      </c>
      <c r="C10" s="95" t="s">
        <v>286</v>
      </c>
      <c r="D10" s="96" t="s">
        <v>286</v>
      </c>
      <c r="E10" s="96" t="s">
        <v>286</v>
      </c>
      <c r="F10" s="96" t="s">
        <v>286</v>
      </c>
      <c r="G10" s="96" t="s">
        <v>286</v>
      </c>
      <c r="H10" s="98" t="s">
        <v>454</v>
      </c>
      <c r="I10" s="170" t="s">
        <v>286</v>
      </c>
      <c r="J10" s="96" t="s">
        <v>286</v>
      </c>
    </row>
    <row r="11" spans="1:10" x14ac:dyDescent="0.25">
      <c r="A11" s="94" t="s">
        <v>401</v>
      </c>
      <c r="B11" s="96" t="s">
        <v>286</v>
      </c>
      <c r="C11" s="95" t="s">
        <v>286</v>
      </c>
      <c r="D11" s="96" t="s">
        <v>286</v>
      </c>
      <c r="E11" s="96" t="s">
        <v>286</v>
      </c>
      <c r="F11" s="96" t="s">
        <v>286</v>
      </c>
      <c r="G11" s="96" t="s">
        <v>286</v>
      </c>
      <c r="H11" s="98" t="s">
        <v>454</v>
      </c>
      <c r="I11" s="170" t="s">
        <v>286</v>
      </c>
      <c r="J11" s="96" t="s">
        <v>286</v>
      </c>
    </row>
    <row r="12" spans="1:10" x14ac:dyDescent="0.25">
      <c r="A12" s="94" t="s">
        <v>402</v>
      </c>
      <c r="B12" s="96" t="s">
        <v>286</v>
      </c>
      <c r="C12" s="95" t="s">
        <v>286</v>
      </c>
      <c r="D12" s="96" t="s">
        <v>286</v>
      </c>
      <c r="E12" s="96" t="s">
        <v>286</v>
      </c>
      <c r="F12" s="96" t="s">
        <v>286</v>
      </c>
      <c r="G12" s="96" t="s">
        <v>286</v>
      </c>
      <c r="H12" s="98" t="s">
        <v>452</v>
      </c>
      <c r="I12" s="170" t="s">
        <v>286</v>
      </c>
      <c r="J12" s="96" t="s">
        <v>286</v>
      </c>
    </row>
    <row r="13" spans="1:10" x14ac:dyDescent="0.25">
      <c r="A13" s="94" t="s">
        <v>404</v>
      </c>
      <c r="B13" s="96" t="s">
        <v>286</v>
      </c>
      <c r="C13" s="95" t="s">
        <v>286</v>
      </c>
      <c r="D13" s="96" t="s">
        <v>286</v>
      </c>
      <c r="E13" s="96" t="s">
        <v>286</v>
      </c>
      <c r="F13" s="96" t="s">
        <v>286</v>
      </c>
      <c r="G13" s="96" t="s">
        <v>286</v>
      </c>
      <c r="H13" s="98" t="s">
        <v>452</v>
      </c>
      <c r="I13" s="170" t="s">
        <v>286</v>
      </c>
      <c r="J13" s="96" t="s">
        <v>286</v>
      </c>
    </row>
    <row r="14" spans="1:10" x14ac:dyDescent="0.25">
      <c r="A14" s="94" t="s">
        <v>594</v>
      </c>
      <c r="B14" s="96" t="s">
        <v>286</v>
      </c>
      <c r="C14" s="96" t="s">
        <v>286</v>
      </c>
      <c r="D14" s="96" t="s">
        <v>286</v>
      </c>
      <c r="E14" s="96" t="s">
        <v>286</v>
      </c>
      <c r="F14" s="96" t="s">
        <v>286</v>
      </c>
      <c r="G14" s="96" t="s">
        <v>286</v>
      </c>
      <c r="H14" s="96" t="s">
        <v>286</v>
      </c>
      <c r="I14" s="108" t="s">
        <v>286</v>
      </c>
      <c r="J14" s="98" t="s">
        <v>454</v>
      </c>
    </row>
    <row r="15" spans="1:10" s="89" customFormat="1" x14ac:dyDescent="0.25">
      <c r="A15" s="94" t="s">
        <v>595</v>
      </c>
      <c r="B15" s="96" t="s">
        <v>286</v>
      </c>
      <c r="C15" s="96" t="s">
        <v>286</v>
      </c>
      <c r="D15" s="96" t="s">
        <v>286</v>
      </c>
      <c r="E15" s="96" t="s">
        <v>286</v>
      </c>
      <c r="F15" s="96" t="s">
        <v>286</v>
      </c>
      <c r="G15" s="96" t="s">
        <v>286</v>
      </c>
      <c r="H15" s="96" t="s">
        <v>286</v>
      </c>
      <c r="I15" s="108" t="s">
        <v>286</v>
      </c>
      <c r="J15" s="98" t="s">
        <v>454</v>
      </c>
    </row>
    <row r="16" spans="1:10" x14ac:dyDescent="0.25">
      <c r="A16" s="97" t="s">
        <v>447</v>
      </c>
      <c r="B16" s="96" t="s">
        <v>286</v>
      </c>
      <c r="C16" s="96" t="s">
        <v>286</v>
      </c>
      <c r="D16" s="96" t="s">
        <v>286</v>
      </c>
      <c r="E16" s="96" t="s">
        <v>286</v>
      </c>
      <c r="F16" s="96" t="s">
        <v>286</v>
      </c>
      <c r="G16" s="96" t="s">
        <v>286</v>
      </c>
      <c r="H16" s="98" t="s">
        <v>454</v>
      </c>
      <c r="I16" s="170" t="s">
        <v>286</v>
      </c>
      <c r="J16" s="98" t="s">
        <v>454</v>
      </c>
    </row>
    <row r="17" spans="1:10" x14ac:dyDescent="0.25">
      <c r="A17" s="94" t="s">
        <v>446</v>
      </c>
      <c r="B17" s="96" t="s">
        <v>286</v>
      </c>
      <c r="C17" s="98" t="s">
        <v>454</v>
      </c>
      <c r="D17" s="98" t="s">
        <v>454</v>
      </c>
      <c r="E17" s="170" t="s">
        <v>286</v>
      </c>
      <c r="F17" s="98" t="s">
        <v>454</v>
      </c>
      <c r="G17" s="96" t="s">
        <v>286</v>
      </c>
      <c r="H17" s="98" t="s">
        <v>454</v>
      </c>
      <c r="I17" s="170" t="s">
        <v>286</v>
      </c>
      <c r="J17" s="96" t="s">
        <v>286</v>
      </c>
    </row>
    <row r="18" spans="1:10" x14ac:dyDescent="0.25">
      <c r="A18" s="94" t="s">
        <v>443</v>
      </c>
      <c r="B18" s="96" t="s">
        <v>286</v>
      </c>
      <c r="C18" s="98" t="s">
        <v>454</v>
      </c>
      <c r="D18" s="98" t="s">
        <v>454</v>
      </c>
      <c r="E18" s="170" t="s">
        <v>286</v>
      </c>
      <c r="F18" s="98" t="s">
        <v>454</v>
      </c>
      <c r="G18" s="96" t="s">
        <v>286</v>
      </c>
      <c r="H18" s="98" t="s">
        <v>454</v>
      </c>
      <c r="I18" s="170" t="s">
        <v>286</v>
      </c>
      <c r="J18" s="96" t="s">
        <v>286</v>
      </c>
    </row>
    <row r="19" spans="1:10" x14ac:dyDescent="0.25">
      <c r="A19" s="94" t="s">
        <v>441</v>
      </c>
      <c r="B19" s="96" t="s">
        <v>286</v>
      </c>
      <c r="C19" s="98" t="s">
        <v>454</v>
      </c>
      <c r="D19" s="98" t="s">
        <v>454</v>
      </c>
      <c r="E19" s="170" t="s">
        <v>286</v>
      </c>
      <c r="F19" s="98" t="s">
        <v>454</v>
      </c>
      <c r="G19" s="96" t="s">
        <v>286</v>
      </c>
      <c r="H19" s="98" t="s">
        <v>454</v>
      </c>
      <c r="I19" s="170" t="s">
        <v>286</v>
      </c>
      <c r="J19" s="96" t="s">
        <v>286</v>
      </c>
    </row>
    <row r="20" spans="1:10" x14ac:dyDescent="0.25">
      <c r="A20" s="94" t="s">
        <v>406</v>
      </c>
      <c r="B20" s="96" t="s">
        <v>286</v>
      </c>
      <c r="C20" s="95" t="s">
        <v>286</v>
      </c>
      <c r="D20" s="96" t="s">
        <v>286</v>
      </c>
      <c r="E20" s="96" t="s">
        <v>286</v>
      </c>
      <c r="F20" s="96" t="s">
        <v>286</v>
      </c>
      <c r="G20" s="96" t="s">
        <v>286</v>
      </c>
      <c r="H20" s="98" t="s">
        <v>454</v>
      </c>
      <c r="I20" s="170" t="s">
        <v>286</v>
      </c>
      <c r="J20" s="96" t="s">
        <v>286</v>
      </c>
    </row>
    <row r="21" spans="1:10" x14ac:dyDescent="0.25">
      <c r="A21" s="94" t="s">
        <v>592</v>
      </c>
      <c r="B21" s="96" t="s">
        <v>286</v>
      </c>
      <c r="C21" s="95" t="s">
        <v>286</v>
      </c>
      <c r="D21" s="96" t="s">
        <v>286</v>
      </c>
      <c r="E21" s="96" t="s">
        <v>286</v>
      </c>
      <c r="F21" s="98" t="s">
        <v>454</v>
      </c>
      <c r="G21" s="98" t="s">
        <v>454</v>
      </c>
      <c r="H21" s="98" t="s">
        <v>454</v>
      </c>
      <c r="I21" s="170" t="s">
        <v>286</v>
      </c>
      <c r="J21" s="98" t="s">
        <v>454</v>
      </c>
    </row>
    <row r="22" spans="1:10" s="89" customFormat="1" x14ac:dyDescent="0.25">
      <c r="A22" s="94" t="s">
        <v>593</v>
      </c>
      <c r="B22" s="96"/>
      <c r="C22" s="158"/>
      <c r="D22" s="96"/>
      <c r="E22" s="96"/>
      <c r="F22" s="98" t="s">
        <v>454</v>
      </c>
      <c r="G22" s="98" t="s">
        <v>454</v>
      </c>
      <c r="H22" s="98" t="s">
        <v>454</v>
      </c>
      <c r="I22" s="170" t="s">
        <v>286</v>
      </c>
      <c r="J22" s="98" t="s">
        <v>454</v>
      </c>
    </row>
    <row r="23" spans="1:10" x14ac:dyDescent="0.25">
      <c r="A23" s="97" t="s">
        <v>392</v>
      </c>
      <c r="B23" s="96" t="s">
        <v>286</v>
      </c>
      <c r="C23" s="95" t="s">
        <v>286</v>
      </c>
      <c r="D23" s="96" t="s">
        <v>286</v>
      </c>
      <c r="E23" s="96" t="s">
        <v>286</v>
      </c>
      <c r="F23" s="98" t="s">
        <v>454</v>
      </c>
      <c r="G23" s="98" t="s">
        <v>454</v>
      </c>
      <c r="H23" s="98" t="s">
        <v>454</v>
      </c>
      <c r="I23" s="171" t="s">
        <v>454</v>
      </c>
      <c r="J23" s="98" t="s">
        <v>454</v>
      </c>
    </row>
    <row r="24" spans="1:10" x14ac:dyDescent="0.25">
      <c r="A24" s="94" t="s">
        <v>293</v>
      </c>
      <c r="B24" s="96" t="s">
        <v>286</v>
      </c>
      <c r="C24" s="96" t="s">
        <v>286</v>
      </c>
      <c r="D24" s="96" t="s">
        <v>286</v>
      </c>
      <c r="E24" s="96" t="s">
        <v>286</v>
      </c>
      <c r="F24" s="96" t="s">
        <v>286</v>
      </c>
      <c r="G24" s="98" t="s">
        <v>454</v>
      </c>
      <c r="H24" s="98" t="s">
        <v>454</v>
      </c>
      <c r="I24" s="170" t="s">
        <v>286</v>
      </c>
      <c r="J24" s="98" t="s">
        <v>454</v>
      </c>
    </row>
    <row r="25" spans="1:10" x14ac:dyDescent="0.25">
      <c r="A25" s="94" t="s">
        <v>320</v>
      </c>
      <c r="B25" s="96" t="s">
        <v>286</v>
      </c>
      <c r="C25" s="98" t="s">
        <v>455</v>
      </c>
      <c r="D25" s="96" t="s">
        <v>286</v>
      </c>
      <c r="E25" s="96" t="s">
        <v>286</v>
      </c>
      <c r="F25" s="98" t="s">
        <v>455</v>
      </c>
      <c r="G25" s="96" t="s">
        <v>286</v>
      </c>
      <c r="H25" s="96" t="s">
        <v>286</v>
      </c>
      <c r="I25" s="108" t="s">
        <v>286</v>
      </c>
      <c r="J25" s="96" t="s">
        <v>286</v>
      </c>
    </row>
    <row r="26" spans="1:10" x14ac:dyDescent="0.25">
      <c r="A26" s="94" t="s">
        <v>321</v>
      </c>
      <c r="B26" s="96" t="s">
        <v>286</v>
      </c>
      <c r="C26" s="98" t="s">
        <v>453</v>
      </c>
      <c r="D26" s="96" t="s">
        <v>286</v>
      </c>
      <c r="E26" s="96" t="s">
        <v>286</v>
      </c>
      <c r="F26" s="98" t="s">
        <v>453</v>
      </c>
      <c r="G26" s="95" t="s">
        <v>286</v>
      </c>
      <c r="H26" s="96" t="s">
        <v>286</v>
      </c>
      <c r="I26" s="96" t="s">
        <v>286</v>
      </c>
      <c r="J26" s="96" t="s">
        <v>286</v>
      </c>
    </row>
    <row r="27" spans="1:10" s="89" customFormat="1" x14ac:dyDescent="0.25">
      <c r="A27" s="94" t="s">
        <v>168</v>
      </c>
      <c r="B27" s="96" t="s">
        <v>286</v>
      </c>
      <c r="C27" s="96" t="s">
        <v>286</v>
      </c>
      <c r="D27" s="96" t="s">
        <v>286</v>
      </c>
      <c r="E27" s="96" t="s">
        <v>286</v>
      </c>
      <c r="F27" s="96" t="s">
        <v>286</v>
      </c>
      <c r="G27" s="96" t="s">
        <v>286</v>
      </c>
      <c r="H27" s="96" t="s">
        <v>286</v>
      </c>
      <c r="I27" s="96" t="s">
        <v>286</v>
      </c>
      <c r="J27" s="140" t="s">
        <v>452</v>
      </c>
    </row>
    <row r="28" spans="1:10" s="89" customFormat="1" x14ac:dyDescent="0.25">
      <c r="A28" s="29" t="s">
        <v>579</v>
      </c>
      <c r="B28" s="156" t="s">
        <v>286</v>
      </c>
      <c r="C28" s="156" t="s">
        <v>286</v>
      </c>
      <c r="D28" s="156" t="s">
        <v>286</v>
      </c>
      <c r="E28" s="177" t="s">
        <v>286</v>
      </c>
      <c r="F28" s="156" t="s">
        <v>286</v>
      </c>
      <c r="G28" s="156" t="s">
        <v>286</v>
      </c>
      <c r="H28" s="156" t="s">
        <v>286</v>
      </c>
      <c r="I28" s="156" t="s">
        <v>286</v>
      </c>
      <c r="J28" s="109" t="s">
        <v>286</v>
      </c>
    </row>
    <row r="29" spans="1:10" s="89" customFormat="1" x14ac:dyDescent="0.25">
      <c r="A29" s="29" t="s">
        <v>580</v>
      </c>
      <c r="B29" s="156" t="s">
        <v>286</v>
      </c>
      <c r="C29" s="156" t="s">
        <v>286</v>
      </c>
      <c r="D29" s="156" t="s">
        <v>286</v>
      </c>
      <c r="E29" s="177" t="s">
        <v>286</v>
      </c>
      <c r="F29" s="156" t="s">
        <v>286</v>
      </c>
      <c r="G29" s="156" t="s">
        <v>286</v>
      </c>
      <c r="H29" s="156" t="s">
        <v>286</v>
      </c>
      <c r="I29" s="156" t="s">
        <v>286</v>
      </c>
      <c r="J29" s="109" t="s">
        <v>286</v>
      </c>
    </row>
    <row r="30" spans="1:10" x14ac:dyDescent="0.25">
      <c r="A30" s="103" t="s">
        <v>167</v>
      </c>
      <c r="B30" s="70" t="s">
        <v>286</v>
      </c>
      <c r="C30" s="70" t="s">
        <v>286</v>
      </c>
      <c r="D30" s="70" t="s">
        <v>286</v>
      </c>
      <c r="E30" s="70" t="s">
        <v>286</v>
      </c>
      <c r="F30" s="70" t="s">
        <v>286</v>
      </c>
      <c r="G30" s="70" t="s">
        <v>286</v>
      </c>
      <c r="H30" s="70" t="s">
        <v>286</v>
      </c>
      <c r="I30" s="168" t="s">
        <v>452</v>
      </c>
      <c r="J30" s="169" t="s">
        <v>286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/>
  </sheetViews>
  <sheetFormatPr defaultRowHeight="15" x14ac:dyDescent="0.25"/>
  <cols>
    <col min="1" max="1" width="15.28515625" style="89" bestFit="1" customWidth="1"/>
    <col min="2" max="4" width="7.42578125" style="89" bestFit="1" customWidth="1"/>
    <col min="5" max="5" width="7.42578125" style="89" customWidth="1"/>
    <col min="6" max="10" width="7.42578125" style="89" bestFit="1" customWidth="1"/>
    <col min="11" max="16384" width="9.140625" style="89"/>
  </cols>
  <sheetData>
    <row r="1" spans="1:10" x14ac:dyDescent="0.25">
      <c r="B1" s="90" t="s">
        <v>287</v>
      </c>
      <c r="C1" s="90" t="s">
        <v>288</v>
      </c>
      <c r="D1" s="90" t="s">
        <v>289</v>
      </c>
      <c r="E1" s="90" t="s">
        <v>576</v>
      </c>
      <c r="F1" s="90" t="s">
        <v>463</v>
      </c>
      <c r="G1" s="90" t="s">
        <v>290</v>
      </c>
      <c r="H1" s="90" t="s">
        <v>398</v>
      </c>
      <c r="I1" s="90" t="s">
        <v>560</v>
      </c>
      <c r="J1" s="90" t="s">
        <v>399</v>
      </c>
    </row>
    <row r="2" spans="1:10" x14ac:dyDescent="0.25">
      <c r="A2" s="91" t="s">
        <v>540</v>
      </c>
      <c r="B2" s="139" t="s">
        <v>286</v>
      </c>
      <c r="C2" s="139" t="s">
        <v>286</v>
      </c>
      <c r="D2" s="139" t="s">
        <v>286</v>
      </c>
      <c r="E2" s="139" t="s">
        <v>286</v>
      </c>
      <c r="F2" s="104" t="s">
        <v>527</v>
      </c>
      <c r="G2" s="104" t="s">
        <v>527</v>
      </c>
      <c r="H2" s="104" t="s">
        <v>527</v>
      </c>
      <c r="I2" s="104" t="s">
        <v>527</v>
      </c>
      <c r="J2" s="104" t="s">
        <v>527</v>
      </c>
    </row>
    <row r="3" spans="1:10" x14ac:dyDescent="0.25">
      <c r="A3" s="89" t="s">
        <v>539</v>
      </c>
      <c r="B3" s="96" t="s">
        <v>286</v>
      </c>
      <c r="C3" s="96" t="s">
        <v>286</v>
      </c>
      <c r="D3" s="96" t="s">
        <v>286</v>
      </c>
      <c r="E3" s="96" t="s">
        <v>286</v>
      </c>
      <c r="F3" s="96">
        <v>3</v>
      </c>
      <c r="G3" s="96">
        <v>17</v>
      </c>
      <c r="H3" s="96">
        <v>28</v>
      </c>
      <c r="I3" s="96">
        <v>42</v>
      </c>
      <c r="J3" s="96">
        <v>55</v>
      </c>
    </row>
    <row r="4" spans="1:10" x14ac:dyDescent="0.25">
      <c r="A4" s="89" t="s">
        <v>541</v>
      </c>
      <c r="B4" s="96" t="s">
        <v>286</v>
      </c>
      <c r="C4" s="96" t="s">
        <v>286</v>
      </c>
      <c r="D4" s="96" t="s">
        <v>286</v>
      </c>
      <c r="E4" s="96" t="s">
        <v>286</v>
      </c>
      <c r="F4" s="96">
        <v>14</v>
      </c>
      <c r="G4" s="96">
        <v>25</v>
      </c>
      <c r="H4" s="96">
        <v>39</v>
      </c>
      <c r="I4" s="96">
        <v>52</v>
      </c>
      <c r="J4" s="96">
        <v>66</v>
      </c>
    </row>
    <row r="5" spans="1:10" x14ac:dyDescent="0.25">
      <c r="A5" s="94" t="s">
        <v>526</v>
      </c>
      <c r="B5" s="95" t="s">
        <v>286</v>
      </c>
      <c r="C5" s="95" t="s">
        <v>286</v>
      </c>
      <c r="D5" s="95" t="s">
        <v>286</v>
      </c>
      <c r="E5" s="158" t="s">
        <v>286</v>
      </c>
      <c r="F5" s="95" t="s">
        <v>527</v>
      </c>
      <c r="G5" s="95" t="s">
        <v>527</v>
      </c>
      <c r="H5" s="95" t="s">
        <v>527</v>
      </c>
      <c r="I5" s="158" t="s">
        <v>527</v>
      </c>
      <c r="J5" s="95" t="s">
        <v>527</v>
      </c>
    </row>
    <row r="6" spans="1:10" x14ac:dyDescent="0.25">
      <c r="A6" s="97" t="s">
        <v>528</v>
      </c>
      <c r="B6" s="96" t="s">
        <v>286</v>
      </c>
      <c r="C6" s="96" t="s">
        <v>286</v>
      </c>
      <c r="D6" s="96" t="s">
        <v>286</v>
      </c>
      <c r="E6" s="96" t="s">
        <v>286</v>
      </c>
      <c r="F6" s="96" t="s">
        <v>527</v>
      </c>
      <c r="G6" s="96" t="s">
        <v>527</v>
      </c>
      <c r="H6" s="96" t="s">
        <v>527</v>
      </c>
      <c r="I6" s="96" t="s">
        <v>527</v>
      </c>
      <c r="J6" s="96" t="s">
        <v>286</v>
      </c>
    </row>
    <row r="7" spans="1:10" x14ac:dyDescent="0.25">
      <c r="A7" s="138" t="s">
        <v>536</v>
      </c>
      <c r="B7" s="96" t="s">
        <v>286</v>
      </c>
      <c r="C7" s="96" t="s">
        <v>286</v>
      </c>
      <c r="D7" s="96" t="s">
        <v>286</v>
      </c>
      <c r="E7" s="96" t="s">
        <v>286</v>
      </c>
      <c r="F7" s="96" t="s">
        <v>286</v>
      </c>
      <c r="G7" s="96" t="s">
        <v>286</v>
      </c>
      <c r="H7" s="96" t="s">
        <v>286</v>
      </c>
      <c r="I7" s="96" t="s">
        <v>286</v>
      </c>
      <c r="J7" s="96" t="s">
        <v>527</v>
      </c>
    </row>
    <row r="8" spans="1:10" x14ac:dyDescent="0.25">
      <c r="A8" s="97" t="s">
        <v>155</v>
      </c>
      <c r="B8" s="95" t="s">
        <v>286</v>
      </c>
      <c r="C8" s="95" t="s">
        <v>286</v>
      </c>
      <c r="D8" s="95" t="s">
        <v>286</v>
      </c>
      <c r="E8" s="158" t="s">
        <v>286</v>
      </c>
      <c r="F8" s="95" t="s">
        <v>527</v>
      </c>
      <c r="G8" s="95" t="s">
        <v>527</v>
      </c>
      <c r="H8" s="95" t="s">
        <v>527</v>
      </c>
      <c r="I8" s="158" t="s">
        <v>527</v>
      </c>
      <c r="J8" s="95" t="s">
        <v>527</v>
      </c>
    </row>
    <row r="9" spans="1:10" x14ac:dyDescent="0.25">
      <c r="A9" s="94" t="s">
        <v>529</v>
      </c>
      <c r="B9" s="96" t="s">
        <v>286</v>
      </c>
      <c r="C9" s="96" t="s">
        <v>286</v>
      </c>
      <c r="D9" s="96" t="s">
        <v>286</v>
      </c>
      <c r="E9" s="96" t="s">
        <v>286</v>
      </c>
      <c r="F9" s="96" t="s">
        <v>527</v>
      </c>
      <c r="G9" s="96" t="s">
        <v>527</v>
      </c>
      <c r="H9" s="96" t="s">
        <v>527</v>
      </c>
      <c r="I9" s="96" t="s">
        <v>527</v>
      </c>
      <c r="J9" s="96" t="s">
        <v>527</v>
      </c>
    </row>
    <row r="10" spans="1:10" x14ac:dyDescent="0.25">
      <c r="A10" s="94" t="s">
        <v>531</v>
      </c>
      <c r="B10" s="96" t="s">
        <v>286</v>
      </c>
      <c r="C10" s="96" t="s">
        <v>286</v>
      </c>
      <c r="D10" s="96" t="s">
        <v>286</v>
      </c>
      <c r="E10" s="96" t="s">
        <v>286</v>
      </c>
      <c r="F10" s="96" t="s">
        <v>527</v>
      </c>
      <c r="G10" s="96" t="s">
        <v>527</v>
      </c>
      <c r="H10" s="96" t="s">
        <v>527</v>
      </c>
      <c r="I10" s="96" t="s">
        <v>527</v>
      </c>
      <c r="J10" s="96" t="s">
        <v>527</v>
      </c>
    </row>
    <row r="11" spans="1:10" x14ac:dyDescent="0.25">
      <c r="A11" s="97" t="s">
        <v>532</v>
      </c>
      <c r="B11" s="96" t="s">
        <v>286</v>
      </c>
      <c r="C11" s="96" t="s">
        <v>286</v>
      </c>
      <c r="D11" s="96" t="s">
        <v>286</v>
      </c>
      <c r="E11" s="96" t="s">
        <v>286</v>
      </c>
      <c r="F11" s="96" t="s">
        <v>527</v>
      </c>
      <c r="G11" s="96" t="s">
        <v>527</v>
      </c>
      <c r="H11" s="96" t="s">
        <v>527</v>
      </c>
      <c r="I11" s="96" t="s">
        <v>527</v>
      </c>
      <c r="J11" s="96" t="s">
        <v>527</v>
      </c>
    </row>
    <row r="12" spans="1:10" x14ac:dyDescent="0.25">
      <c r="A12" s="138" t="s">
        <v>537</v>
      </c>
      <c r="B12" s="96" t="s">
        <v>286</v>
      </c>
      <c r="C12" s="96" t="s">
        <v>286</v>
      </c>
      <c r="D12" s="96" t="s">
        <v>286</v>
      </c>
      <c r="E12" s="96" t="s">
        <v>286</v>
      </c>
      <c r="F12" s="96" t="s">
        <v>286</v>
      </c>
      <c r="G12" s="96" t="s">
        <v>286</v>
      </c>
      <c r="H12" s="96" t="s">
        <v>286</v>
      </c>
      <c r="I12" s="96" t="s">
        <v>286</v>
      </c>
      <c r="J12" s="96" t="s">
        <v>527</v>
      </c>
    </row>
    <row r="13" spans="1:10" x14ac:dyDescent="0.25">
      <c r="A13" s="138" t="s">
        <v>530</v>
      </c>
      <c r="B13" s="96" t="s">
        <v>286</v>
      </c>
      <c r="C13" s="96" t="s">
        <v>286</v>
      </c>
      <c r="D13" s="96" t="s">
        <v>286</v>
      </c>
      <c r="E13" s="96" t="s">
        <v>286</v>
      </c>
      <c r="F13" s="96" t="s">
        <v>286</v>
      </c>
      <c r="G13" s="96" t="s">
        <v>286</v>
      </c>
      <c r="H13" s="96" t="s">
        <v>286</v>
      </c>
      <c r="I13" s="96" t="s">
        <v>286</v>
      </c>
      <c r="J13" s="96" t="s">
        <v>527</v>
      </c>
    </row>
    <row r="14" spans="1:10" x14ac:dyDescent="0.25">
      <c r="A14" s="97" t="s">
        <v>533</v>
      </c>
      <c r="B14" s="96" t="s">
        <v>286</v>
      </c>
      <c r="C14" s="96" t="s">
        <v>286</v>
      </c>
      <c r="D14" s="96" t="s">
        <v>286</v>
      </c>
      <c r="E14" s="96" t="s">
        <v>286</v>
      </c>
      <c r="F14" s="96" t="s">
        <v>527</v>
      </c>
      <c r="G14" s="96" t="s">
        <v>286</v>
      </c>
      <c r="H14" s="96" t="s">
        <v>527</v>
      </c>
      <c r="I14" s="96" t="s">
        <v>527</v>
      </c>
      <c r="J14" s="96" t="s">
        <v>286</v>
      </c>
    </row>
    <row r="15" spans="1:10" x14ac:dyDescent="0.25">
      <c r="A15" s="94" t="s">
        <v>534</v>
      </c>
      <c r="B15" s="96" t="s">
        <v>286</v>
      </c>
      <c r="C15" s="96" t="s">
        <v>286</v>
      </c>
      <c r="D15" s="96" t="s">
        <v>286</v>
      </c>
      <c r="E15" s="96" t="s">
        <v>286</v>
      </c>
      <c r="F15" s="96" t="s">
        <v>527</v>
      </c>
      <c r="G15" s="140" t="s">
        <v>371</v>
      </c>
      <c r="H15" s="96" t="s">
        <v>527</v>
      </c>
      <c r="I15" s="96" t="s">
        <v>527</v>
      </c>
      <c r="J15" s="96" t="s">
        <v>286</v>
      </c>
    </row>
    <row r="16" spans="1:10" x14ac:dyDescent="0.25">
      <c r="A16" s="94" t="s">
        <v>535</v>
      </c>
      <c r="B16" s="96" t="s">
        <v>286</v>
      </c>
      <c r="C16" s="96" t="s">
        <v>286</v>
      </c>
      <c r="D16" s="96" t="s">
        <v>286</v>
      </c>
      <c r="E16" s="96" t="s">
        <v>286</v>
      </c>
      <c r="F16" s="96" t="s">
        <v>527</v>
      </c>
      <c r="G16" s="96" t="s">
        <v>286</v>
      </c>
      <c r="H16" s="96" t="s">
        <v>527</v>
      </c>
      <c r="I16" s="96" t="s">
        <v>527</v>
      </c>
      <c r="J16" s="96" t="s">
        <v>527</v>
      </c>
    </row>
    <row r="17" spans="1:10" x14ac:dyDescent="0.25">
      <c r="A17" s="175" t="s">
        <v>574</v>
      </c>
      <c r="B17" s="176" t="s">
        <v>286</v>
      </c>
      <c r="C17" s="176" t="s">
        <v>286</v>
      </c>
      <c r="D17" s="176" t="s">
        <v>286</v>
      </c>
      <c r="E17" s="176" t="s">
        <v>286</v>
      </c>
      <c r="F17" s="176" t="s">
        <v>527</v>
      </c>
      <c r="G17" s="176" t="s">
        <v>286</v>
      </c>
      <c r="H17" s="176" t="s">
        <v>527</v>
      </c>
      <c r="I17" s="176" t="s">
        <v>286</v>
      </c>
      <c r="J17" s="176" t="s">
        <v>527</v>
      </c>
    </row>
    <row r="18" spans="1:10" x14ac:dyDescent="0.25">
      <c r="A18" s="88" t="s">
        <v>538</v>
      </c>
      <c r="B18" s="99" t="s">
        <v>286</v>
      </c>
      <c r="C18" s="99" t="s">
        <v>286</v>
      </c>
      <c r="D18" s="99" t="s">
        <v>286</v>
      </c>
      <c r="E18" s="99" t="s">
        <v>286</v>
      </c>
      <c r="F18" s="99" t="s">
        <v>527</v>
      </c>
      <c r="G18" s="99" t="s">
        <v>527</v>
      </c>
      <c r="H18" s="99" t="s">
        <v>527</v>
      </c>
      <c r="I18" s="99" t="s">
        <v>527</v>
      </c>
      <c r="J18" s="99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sqref="A1:B1"/>
    </sheetView>
  </sheetViews>
  <sheetFormatPr defaultRowHeight="15" x14ac:dyDescent="0.25"/>
  <cols>
    <col min="1" max="1" width="5.7109375" style="180" customWidth="1"/>
    <col min="2" max="2" width="17.7109375" style="180" customWidth="1"/>
    <col min="3" max="3" width="26.7109375" style="180" customWidth="1"/>
    <col min="4" max="8" width="9.7109375" style="180" customWidth="1"/>
    <col min="9" max="16384" width="9.140625" style="87"/>
  </cols>
  <sheetData>
    <row r="1" spans="1:8" x14ac:dyDescent="0.25">
      <c r="A1" s="187" t="s">
        <v>170</v>
      </c>
      <c r="B1" s="188"/>
      <c r="C1" s="193">
        <f>Summary!E9</f>
        <v>0</v>
      </c>
      <c r="D1" s="193"/>
      <c r="E1" s="193"/>
      <c r="F1" s="193"/>
      <c r="G1" s="193"/>
      <c r="H1" s="194"/>
    </row>
    <row r="2" spans="1:8" x14ac:dyDescent="0.25">
      <c r="A2" s="189" t="s">
        <v>299</v>
      </c>
      <c r="B2" s="190"/>
      <c r="C2" s="195">
        <f>Summary!E10</f>
        <v>0</v>
      </c>
      <c r="D2" s="195"/>
      <c r="E2" s="195"/>
      <c r="F2" s="195"/>
      <c r="G2" s="195"/>
      <c r="H2" s="196"/>
    </row>
    <row r="3" spans="1:8" x14ac:dyDescent="0.25">
      <c r="A3" s="191" t="s">
        <v>298</v>
      </c>
      <c r="B3" s="192"/>
      <c r="C3" s="197">
        <f>Summary!E11</f>
        <v>0</v>
      </c>
      <c r="D3" s="197"/>
      <c r="E3" s="197"/>
      <c r="F3" s="197"/>
      <c r="G3" s="197"/>
      <c r="H3" s="198"/>
    </row>
    <row r="4" spans="1:8" x14ac:dyDescent="0.25">
      <c r="A4" s="87"/>
      <c r="B4" s="87"/>
      <c r="C4" s="87"/>
      <c r="D4" s="87"/>
      <c r="E4" s="87"/>
      <c r="F4" s="87"/>
      <c r="G4" s="87"/>
      <c r="H4" s="87"/>
    </row>
    <row r="5" spans="1:8" x14ac:dyDescent="0.25">
      <c r="A5" s="82" t="s">
        <v>7</v>
      </c>
      <c r="B5" s="82" t="s">
        <v>208</v>
      </c>
      <c r="C5" s="83" t="s">
        <v>297</v>
      </c>
      <c r="D5" s="83" t="s">
        <v>194</v>
      </c>
      <c r="E5" s="84" t="s">
        <v>310</v>
      </c>
      <c r="F5" s="84" t="s">
        <v>311</v>
      </c>
      <c r="G5" s="83" t="s">
        <v>195</v>
      </c>
      <c r="H5" s="83" t="s">
        <v>189</v>
      </c>
    </row>
    <row r="6" spans="1:8" s="86" customFormat="1" x14ac:dyDescent="0.25">
      <c r="A6" s="178"/>
      <c r="B6" s="178"/>
      <c r="C6" s="179"/>
      <c r="D6" s="179"/>
      <c r="E6" s="179"/>
      <c r="F6" s="179"/>
      <c r="G6" s="179"/>
      <c r="H6" s="179"/>
    </row>
    <row r="7" spans="1:8" s="86" customFormat="1" x14ac:dyDescent="0.25">
      <c r="A7" s="178"/>
      <c r="B7" s="178"/>
      <c r="C7" s="178"/>
      <c r="D7" s="178"/>
      <c r="E7" s="178"/>
      <c r="F7" s="178"/>
      <c r="G7" s="178"/>
      <c r="H7" s="178"/>
    </row>
    <row r="8" spans="1:8" s="86" customFormat="1" x14ac:dyDescent="0.25">
      <c r="A8" s="178"/>
      <c r="B8" s="178"/>
      <c r="C8" s="178"/>
      <c r="D8" s="178"/>
      <c r="E8" s="178"/>
      <c r="F8" s="178"/>
      <c r="G8" s="178"/>
      <c r="H8" s="178"/>
    </row>
    <row r="9" spans="1:8" s="86" customFormat="1" x14ac:dyDescent="0.25">
      <c r="A9" s="178"/>
      <c r="B9" s="178"/>
      <c r="C9" s="178"/>
      <c r="D9" s="178"/>
      <c r="E9" s="178"/>
      <c r="F9" s="178"/>
      <c r="G9" s="178"/>
      <c r="H9" s="178"/>
    </row>
    <row r="10" spans="1:8" s="86" customFormat="1" x14ac:dyDescent="0.25">
      <c r="A10" s="178"/>
      <c r="B10" s="178"/>
      <c r="C10" s="178"/>
      <c r="D10" s="178"/>
      <c r="E10" s="178"/>
      <c r="F10" s="178"/>
      <c r="G10" s="178"/>
      <c r="H10" s="178"/>
    </row>
    <row r="11" spans="1:8" s="86" customFormat="1" x14ac:dyDescent="0.25">
      <c r="A11" s="178"/>
      <c r="B11" s="178"/>
      <c r="C11" s="178"/>
      <c r="D11" s="178"/>
      <c r="E11" s="178"/>
      <c r="F11" s="178"/>
      <c r="G11" s="178"/>
      <c r="H11" s="178"/>
    </row>
    <row r="12" spans="1:8" s="86" customFormat="1" x14ac:dyDescent="0.25">
      <c r="A12" s="178"/>
      <c r="B12" s="178"/>
      <c r="C12" s="178"/>
      <c r="D12" s="178"/>
      <c r="E12" s="178"/>
      <c r="F12" s="178"/>
      <c r="G12" s="178"/>
      <c r="H12" s="178"/>
    </row>
    <row r="13" spans="1:8" s="86" customFormat="1" x14ac:dyDescent="0.25">
      <c r="A13" s="178"/>
      <c r="B13" s="178"/>
      <c r="C13" s="178"/>
      <c r="D13" s="178"/>
      <c r="E13" s="178"/>
      <c r="F13" s="178"/>
      <c r="G13" s="178"/>
      <c r="H13" s="178"/>
    </row>
    <row r="14" spans="1:8" s="86" customFormat="1" x14ac:dyDescent="0.25">
      <c r="A14" s="178"/>
      <c r="B14" s="178"/>
      <c r="C14" s="178"/>
      <c r="D14" s="178"/>
      <c r="E14" s="178"/>
      <c r="F14" s="178"/>
      <c r="G14" s="178"/>
      <c r="H14" s="178"/>
    </row>
    <row r="15" spans="1:8" s="86" customFormat="1" x14ac:dyDescent="0.25">
      <c r="A15" s="178"/>
      <c r="B15" s="178"/>
      <c r="C15" s="178"/>
      <c r="D15" s="178"/>
      <c r="E15" s="178"/>
      <c r="F15" s="178"/>
      <c r="G15" s="178"/>
      <c r="H15" s="178"/>
    </row>
    <row r="16" spans="1:8" s="86" customFormat="1" x14ac:dyDescent="0.25">
      <c r="A16" s="178"/>
      <c r="B16" s="178"/>
      <c r="C16" s="178"/>
      <c r="D16" s="178"/>
      <c r="E16" s="178"/>
      <c r="F16" s="178"/>
      <c r="G16" s="178"/>
      <c r="H16" s="178"/>
    </row>
    <row r="17" spans="1:8" s="86" customFormat="1" x14ac:dyDescent="0.25">
      <c r="A17" s="178"/>
      <c r="B17" s="178"/>
      <c r="C17" s="178"/>
      <c r="D17" s="178"/>
      <c r="E17" s="178"/>
      <c r="F17" s="178"/>
      <c r="G17" s="178"/>
      <c r="H17" s="178"/>
    </row>
    <row r="18" spans="1:8" s="86" customFormat="1" x14ac:dyDescent="0.25">
      <c r="A18" s="178"/>
      <c r="B18" s="178"/>
      <c r="C18" s="178"/>
      <c r="D18" s="178"/>
      <c r="E18" s="178"/>
      <c r="F18" s="178"/>
      <c r="G18" s="178"/>
      <c r="H18" s="178"/>
    </row>
    <row r="19" spans="1:8" s="86" customFormat="1" x14ac:dyDescent="0.25">
      <c r="A19" s="178"/>
      <c r="B19" s="178"/>
      <c r="C19" s="178"/>
      <c r="D19" s="178"/>
      <c r="E19" s="178"/>
      <c r="F19" s="178"/>
      <c r="G19" s="178"/>
      <c r="H19" s="178"/>
    </row>
    <row r="20" spans="1:8" s="86" customFormat="1" x14ac:dyDescent="0.25">
      <c r="A20" s="178"/>
      <c r="B20" s="178"/>
      <c r="C20" s="178"/>
      <c r="D20" s="178"/>
      <c r="E20" s="178"/>
      <c r="F20" s="178"/>
      <c r="G20" s="178"/>
      <c r="H20" s="178"/>
    </row>
    <row r="21" spans="1:8" s="86" customFormat="1" x14ac:dyDescent="0.25">
      <c r="A21" s="178"/>
      <c r="B21" s="178"/>
      <c r="C21" s="178"/>
      <c r="D21" s="178"/>
      <c r="E21" s="178"/>
      <c r="F21" s="178"/>
      <c r="G21" s="178"/>
      <c r="H21" s="178"/>
    </row>
    <row r="22" spans="1:8" s="86" customFormat="1" x14ac:dyDescent="0.25">
      <c r="A22" s="178"/>
      <c r="B22" s="178"/>
      <c r="C22" s="178"/>
      <c r="D22" s="178"/>
      <c r="E22" s="178"/>
      <c r="F22" s="178"/>
      <c r="G22" s="178"/>
      <c r="H22" s="178"/>
    </row>
    <row r="23" spans="1:8" s="86" customFormat="1" x14ac:dyDescent="0.25">
      <c r="A23" s="178"/>
      <c r="B23" s="178"/>
      <c r="C23" s="178"/>
      <c r="D23" s="178"/>
      <c r="E23" s="178"/>
      <c r="F23" s="178"/>
      <c r="G23" s="178"/>
      <c r="H23" s="178"/>
    </row>
    <row r="24" spans="1:8" s="86" customFormat="1" x14ac:dyDescent="0.25">
      <c r="A24" s="178"/>
      <c r="B24" s="178"/>
      <c r="C24" s="178"/>
      <c r="D24" s="178"/>
      <c r="E24" s="178"/>
      <c r="F24" s="178"/>
      <c r="G24" s="178"/>
      <c r="H24" s="178"/>
    </row>
    <row r="25" spans="1:8" s="86" customFormat="1" x14ac:dyDescent="0.25">
      <c r="A25" s="178"/>
      <c r="B25" s="178"/>
      <c r="C25" s="178"/>
      <c r="D25" s="178"/>
      <c r="E25" s="178"/>
      <c r="F25" s="178"/>
      <c r="G25" s="178"/>
      <c r="H25" s="178"/>
    </row>
    <row r="26" spans="1:8" s="86" customFormat="1" x14ac:dyDescent="0.25">
      <c r="A26" s="178"/>
      <c r="B26" s="178"/>
      <c r="C26" s="178"/>
      <c r="D26" s="178"/>
      <c r="E26" s="178"/>
      <c r="F26" s="178"/>
      <c r="G26" s="178"/>
      <c r="H26" s="178"/>
    </row>
    <row r="27" spans="1:8" s="86" customFormat="1" x14ac:dyDescent="0.25">
      <c r="A27" s="178"/>
      <c r="B27" s="178"/>
      <c r="C27" s="178"/>
      <c r="D27" s="178"/>
      <c r="E27" s="178"/>
      <c r="F27" s="178"/>
      <c r="G27" s="178"/>
      <c r="H27" s="178"/>
    </row>
    <row r="28" spans="1:8" s="86" customFormat="1" x14ac:dyDescent="0.25">
      <c r="A28" s="178"/>
      <c r="B28" s="178"/>
      <c r="C28" s="178"/>
      <c r="D28" s="178"/>
      <c r="E28" s="178"/>
      <c r="F28" s="178"/>
      <c r="G28" s="178"/>
      <c r="H28" s="178"/>
    </row>
    <row r="29" spans="1:8" s="86" customFormat="1" x14ac:dyDescent="0.25">
      <c r="A29" s="178"/>
      <c r="B29" s="178"/>
      <c r="C29" s="178"/>
      <c r="D29" s="178"/>
      <c r="E29" s="178"/>
      <c r="F29" s="178"/>
      <c r="G29" s="178"/>
      <c r="H29" s="178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sqref="A1:B1"/>
    </sheetView>
  </sheetViews>
  <sheetFormatPr defaultRowHeight="15" x14ac:dyDescent="0.25"/>
  <cols>
    <col min="1" max="1" width="5.7109375" style="182" customWidth="1"/>
    <col min="2" max="2" width="17.7109375" style="182" customWidth="1"/>
    <col min="3" max="3" width="20.7109375" style="182" customWidth="1"/>
    <col min="4" max="5" width="18.28515625" style="182" customWidth="1"/>
    <col min="6" max="6" width="18.28515625" style="183" customWidth="1"/>
    <col min="7" max="8" width="17.85546875" style="85" customWidth="1"/>
    <col min="9" max="16384" width="9.140625" style="85"/>
  </cols>
  <sheetData>
    <row r="1" spans="1:7" x14ac:dyDescent="0.25">
      <c r="A1" s="199" t="s">
        <v>170</v>
      </c>
      <c r="B1" s="200"/>
      <c r="C1" s="205">
        <f>Summary!E9</f>
        <v>0</v>
      </c>
      <c r="D1" s="205"/>
      <c r="E1" s="205"/>
      <c r="F1" s="206"/>
    </row>
    <row r="2" spans="1:7" x14ac:dyDescent="0.25">
      <c r="A2" s="201" t="s">
        <v>299</v>
      </c>
      <c r="B2" s="202"/>
      <c r="C2" s="207">
        <f>Summary!E10</f>
        <v>0</v>
      </c>
      <c r="D2" s="207"/>
      <c r="E2" s="207"/>
      <c r="F2" s="208"/>
    </row>
    <row r="3" spans="1:7" x14ac:dyDescent="0.25">
      <c r="A3" s="203" t="s">
        <v>298</v>
      </c>
      <c r="B3" s="204"/>
      <c r="C3" s="209">
        <f>Summary!E11</f>
        <v>0</v>
      </c>
      <c r="D3" s="209"/>
      <c r="E3" s="209"/>
      <c r="F3" s="210"/>
    </row>
    <row r="4" spans="1:7" x14ac:dyDescent="0.25">
      <c r="A4" s="85"/>
      <c r="B4" s="85"/>
      <c r="C4" s="85"/>
      <c r="D4" s="85"/>
      <c r="E4" s="85"/>
      <c r="F4" s="112"/>
    </row>
    <row r="5" spans="1:7" x14ac:dyDescent="0.25">
      <c r="A5" s="82" t="s">
        <v>7</v>
      </c>
      <c r="B5" s="82" t="s">
        <v>208</v>
      </c>
      <c r="C5" s="83" t="s">
        <v>438</v>
      </c>
      <c r="D5" s="84" t="s">
        <v>305</v>
      </c>
      <c r="E5" s="84" t="s">
        <v>307</v>
      </c>
      <c r="F5" s="84" t="s">
        <v>306</v>
      </c>
      <c r="G5" s="86"/>
    </row>
    <row r="6" spans="1:7" s="86" customFormat="1" x14ac:dyDescent="0.25">
      <c r="A6" s="178"/>
      <c r="B6" s="178"/>
      <c r="C6" s="178"/>
      <c r="D6" s="178"/>
      <c r="E6" s="178"/>
      <c r="F6" s="181"/>
    </row>
    <row r="7" spans="1:7" s="86" customFormat="1" x14ac:dyDescent="0.25">
      <c r="A7" s="178"/>
      <c r="B7" s="178"/>
      <c r="C7" s="178"/>
      <c r="D7" s="178"/>
      <c r="E7" s="178"/>
      <c r="F7" s="181"/>
    </row>
    <row r="8" spans="1:7" s="86" customFormat="1" x14ac:dyDescent="0.25">
      <c r="A8" s="178"/>
      <c r="B8" s="178"/>
      <c r="C8" s="178"/>
      <c r="D8" s="178"/>
      <c r="E8" s="178"/>
      <c r="F8" s="181"/>
    </row>
    <row r="9" spans="1:7" s="86" customFormat="1" x14ac:dyDescent="0.25">
      <c r="A9" s="178"/>
      <c r="B9" s="178"/>
      <c r="C9" s="178"/>
      <c r="D9" s="178"/>
      <c r="E9" s="178"/>
      <c r="F9" s="181"/>
    </row>
    <row r="10" spans="1:7" s="86" customFormat="1" x14ac:dyDescent="0.25">
      <c r="A10" s="178"/>
      <c r="B10" s="178"/>
      <c r="C10" s="178"/>
      <c r="D10" s="178"/>
      <c r="E10" s="178"/>
      <c r="F10" s="181"/>
    </row>
    <row r="11" spans="1:7" s="86" customFormat="1" x14ac:dyDescent="0.25">
      <c r="A11" s="178"/>
      <c r="B11" s="178"/>
      <c r="C11" s="178"/>
      <c r="D11" s="178"/>
      <c r="E11" s="178"/>
      <c r="F11" s="181"/>
    </row>
    <row r="12" spans="1:7" s="86" customFormat="1" x14ac:dyDescent="0.25">
      <c r="A12" s="178"/>
      <c r="B12" s="178"/>
      <c r="C12" s="178"/>
      <c r="D12" s="178"/>
      <c r="E12" s="178"/>
      <c r="F12" s="181"/>
    </row>
    <row r="13" spans="1:7" s="86" customFormat="1" x14ac:dyDescent="0.25">
      <c r="A13" s="178"/>
      <c r="B13" s="178"/>
      <c r="C13" s="178"/>
      <c r="D13" s="178"/>
      <c r="E13" s="178"/>
      <c r="F13" s="181"/>
    </row>
    <row r="14" spans="1:7" s="86" customFormat="1" x14ac:dyDescent="0.25">
      <c r="A14" s="178"/>
      <c r="B14" s="178"/>
      <c r="C14" s="178"/>
      <c r="D14" s="178"/>
      <c r="E14" s="178"/>
      <c r="F14" s="181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9"/>
  <sheetViews>
    <sheetView showGridLines="0" zoomScaleNormal="100" workbookViewId="0"/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13" t="s">
        <v>170</v>
      </c>
      <c r="B1" s="222"/>
      <c r="C1" s="222"/>
      <c r="D1" s="222"/>
      <c r="E1" s="222"/>
      <c r="F1" s="222"/>
      <c r="G1" s="223"/>
    </row>
    <row r="2" spans="1:7" x14ac:dyDescent="0.25">
      <c r="A2" s="114" t="s">
        <v>299</v>
      </c>
      <c r="B2" s="216"/>
      <c r="C2" s="216"/>
      <c r="D2" s="216"/>
      <c r="E2" s="216"/>
      <c r="F2" s="216"/>
      <c r="G2" s="217"/>
    </row>
    <row r="3" spans="1:7" x14ac:dyDescent="0.25">
      <c r="A3" s="114" t="s">
        <v>298</v>
      </c>
      <c r="B3" s="216"/>
      <c r="C3" s="216"/>
      <c r="D3" s="216"/>
      <c r="E3" s="216"/>
      <c r="F3" s="216"/>
      <c r="G3" s="217"/>
    </row>
    <row r="4" spans="1:7" x14ac:dyDescent="0.25">
      <c r="A4" s="114" t="s">
        <v>300</v>
      </c>
      <c r="B4" s="216"/>
      <c r="C4" s="216"/>
      <c r="D4" s="216"/>
      <c r="E4" s="216"/>
      <c r="F4" s="216"/>
      <c r="G4" s="217"/>
    </row>
    <row r="5" spans="1:7" x14ac:dyDescent="0.25">
      <c r="A5" s="114" t="s">
        <v>301</v>
      </c>
      <c r="B5" s="216"/>
      <c r="C5" s="216"/>
      <c r="D5" s="216"/>
      <c r="E5" s="216"/>
      <c r="F5" s="216"/>
      <c r="G5" s="217"/>
    </row>
    <row r="6" spans="1:7" x14ac:dyDescent="0.25">
      <c r="A6" s="114" t="s">
        <v>302</v>
      </c>
      <c r="B6" s="216"/>
      <c r="C6" s="216"/>
      <c r="D6" s="216"/>
      <c r="E6" s="216"/>
      <c r="F6" s="216"/>
      <c r="G6" s="217"/>
    </row>
    <row r="7" spans="1:7" s="89" customFormat="1" x14ac:dyDescent="0.25">
      <c r="A7" s="114" t="s">
        <v>303</v>
      </c>
      <c r="B7" s="216"/>
      <c r="C7" s="216"/>
      <c r="D7" s="216"/>
      <c r="E7" s="216"/>
      <c r="F7" s="216"/>
      <c r="G7" s="217"/>
    </row>
    <row r="8" spans="1:7" x14ac:dyDescent="0.25">
      <c r="A8" s="115" t="s">
        <v>180</v>
      </c>
      <c r="B8" s="218"/>
      <c r="C8" s="218"/>
      <c r="D8" s="218"/>
      <c r="E8" s="218"/>
      <c r="F8" s="218"/>
      <c r="G8" s="219"/>
    </row>
    <row r="10" spans="1:7" x14ac:dyDescent="0.25">
      <c r="A10" s="116" t="s">
        <v>291</v>
      </c>
      <c r="B10" s="65"/>
      <c r="C10" s="65"/>
      <c r="D10" s="65"/>
      <c r="E10" s="65"/>
      <c r="F10" s="65"/>
      <c r="G10" s="66"/>
    </row>
    <row r="11" spans="1:7" x14ac:dyDescent="0.25">
      <c r="A11" s="117" t="s">
        <v>304</v>
      </c>
      <c r="B11" s="211" t="s">
        <v>573</v>
      </c>
      <c r="C11" s="211"/>
      <c r="D11" s="221" t="s">
        <v>307</v>
      </c>
      <c r="E11" s="221"/>
      <c r="F11" s="211" t="s">
        <v>306</v>
      </c>
      <c r="G11" s="220"/>
    </row>
    <row r="13" spans="1:7" x14ac:dyDescent="0.25">
      <c r="A13" s="116" t="s">
        <v>295</v>
      </c>
      <c r="B13" s="65"/>
      <c r="C13" s="65"/>
      <c r="D13" s="65"/>
      <c r="E13" s="65"/>
      <c r="F13" s="65"/>
      <c r="G13" s="66"/>
    </row>
    <row r="14" spans="1:7" x14ac:dyDescent="0.25">
      <c r="A14" s="117" t="s">
        <v>187</v>
      </c>
      <c r="B14" s="211" t="s">
        <v>188</v>
      </c>
      <c r="C14" s="211"/>
      <c r="D14" s="211"/>
      <c r="E14" s="211"/>
      <c r="F14" s="81" t="s">
        <v>189</v>
      </c>
      <c r="G14" s="40" t="s">
        <v>312</v>
      </c>
    </row>
    <row r="16" spans="1:7" x14ac:dyDescent="0.25">
      <c r="A16" s="116" t="s">
        <v>308</v>
      </c>
      <c r="B16" s="65"/>
      <c r="C16" s="65"/>
      <c r="D16" s="65"/>
      <c r="E16" s="65"/>
      <c r="F16" s="65"/>
      <c r="G16" s="66"/>
    </row>
    <row r="17" spans="1:7" x14ac:dyDescent="0.25">
      <c r="A17" s="118" t="s">
        <v>309</v>
      </c>
      <c r="B17" s="41" t="s">
        <v>194</v>
      </c>
      <c r="C17" s="41" t="s">
        <v>310</v>
      </c>
      <c r="D17" s="41" t="s">
        <v>311</v>
      </c>
      <c r="E17" s="41" t="s">
        <v>195</v>
      </c>
      <c r="F17" s="81" t="s">
        <v>189</v>
      </c>
      <c r="G17" s="40" t="s">
        <v>190</v>
      </c>
    </row>
    <row r="19" spans="1:7" x14ac:dyDescent="0.25">
      <c r="A19" s="116" t="s">
        <v>183</v>
      </c>
      <c r="B19" s="65"/>
      <c r="C19" s="65"/>
      <c r="D19" s="65"/>
      <c r="E19" s="65"/>
      <c r="F19" s="65"/>
      <c r="G19" s="66"/>
    </row>
    <row r="20" spans="1:7" x14ac:dyDescent="0.25">
      <c r="A20" s="119" t="s">
        <v>184</v>
      </c>
      <c r="B20" s="212" t="s">
        <v>319</v>
      </c>
      <c r="C20" s="213"/>
      <c r="D20" s="33" t="s">
        <v>313</v>
      </c>
      <c r="E20" s="212" t="s">
        <v>185</v>
      </c>
      <c r="F20" s="213"/>
      <c r="G20" s="34" t="s">
        <v>186</v>
      </c>
    </row>
    <row r="21" spans="1:7" x14ac:dyDescent="0.25">
      <c r="A21" s="120"/>
      <c r="B21" s="212"/>
      <c r="C21" s="213"/>
      <c r="D21" s="35"/>
      <c r="E21" s="212"/>
      <c r="F21" s="213"/>
      <c r="G21" s="31"/>
    </row>
    <row r="22" spans="1:7" x14ac:dyDescent="0.25">
      <c r="A22" s="121"/>
      <c r="B22" s="214"/>
      <c r="C22" s="215"/>
      <c r="D22" s="36"/>
      <c r="E22" s="214"/>
      <c r="F22" s="215"/>
      <c r="G22" s="32"/>
    </row>
    <row r="24" spans="1:7" x14ac:dyDescent="0.25">
      <c r="A24" s="116" t="s">
        <v>201</v>
      </c>
      <c r="B24" s="65"/>
      <c r="C24" s="65"/>
      <c r="D24" s="65"/>
      <c r="E24" s="65"/>
      <c r="F24" s="65"/>
      <c r="G24" s="66"/>
    </row>
    <row r="25" spans="1:7" x14ac:dyDescent="0.25">
      <c r="A25" s="120" t="s">
        <v>314</v>
      </c>
      <c r="B25" s="216" t="s">
        <v>180</v>
      </c>
      <c r="C25" s="216"/>
      <c r="D25" s="216"/>
      <c r="E25" s="216" t="s">
        <v>315</v>
      </c>
      <c r="F25" s="216"/>
      <c r="G25" s="31" t="s">
        <v>190</v>
      </c>
    </row>
    <row r="26" spans="1:7" x14ac:dyDescent="0.25">
      <c r="A26" s="120"/>
      <c r="B26" s="216"/>
      <c r="C26" s="216"/>
      <c r="D26" s="216"/>
      <c r="E26" s="216"/>
      <c r="F26" s="216"/>
      <c r="G26" s="31"/>
    </row>
    <row r="27" spans="1:7" x14ac:dyDescent="0.25">
      <c r="A27" s="121"/>
      <c r="B27" s="218"/>
      <c r="C27" s="218"/>
      <c r="D27" s="218"/>
      <c r="E27" s="218"/>
      <c r="F27" s="218"/>
      <c r="G27" s="32"/>
    </row>
    <row r="29" spans="1:7" x14ac:dyDescent="0.25">
      <c r="A29" s="24" t="s">
        <v>316</v>
      </c>
      <c r="C29" t="s">
        <v>317</v>
      </c>
      <c r="F29" t="s">
        <v>318</v>
      </c>
    </row>
    <row r="31" spans="1:7" x14ac:dyDescent="0.25">
      <c r="A31" s="113" t="s">
        <v>170</v>
      </c>
      <c r="B31" s="222" t="str">
        <f t="shared" ref="B31:B36" si="0">IF(B1&lt;&gt;"",B1,"")</f>
        <v/>
      </c>
      <c r="C31" s="222"/>
      <c r="D31" s="222"/>
      <c r="E31" s="222"/>
      <c r="F31" s="222"/>
      <c r="G31" s="223"/>
    </row>
    <row r="32" spans="1:7" x14ac:dyDescent="0.25">
      <c r="A32" s="114" t="s">
        <v>299</v>
      </c>
      <c r="B32" s="216" t="str">
        <f t="shared" si="0"/>
        <v/>
      </c>
      <c r="C32" s="216"/>
      <c r="D32" s="216"/>
      <c r="E32" s="216"/>
      <c r="F32" s="216"/>
      <c r="G32" s="217"/>
    </row>
    <row r="33" spans="1:7" s="89" customFormat="1" x14ac:dyDescent="0.25">
      <c r="A33" s="114" t="s">
        <v>298</v>
      </c>
      <c r="B33" s="216" t="str">
        <f t="shared" si="0"/>
        <v/>
      </c>
      <c r="C33" s="216"/>
      <c r="D33" s="216"/>
      <c r="E33" s="216"/>
      <c r="F33" s="216"/>
      <c r="G33" s="217"/>
    </row>
    <row r="34" spans="1:7" s="89" customFormat="1" x14ac:dyDescent="0.25">
      <c r="A34" s="114" t="s">
        <v>300</v>
      </c>
      <c r="B34" s="216" t="str">
        <f t="shared" si="0"/>
        <v/>
      </c>
      <c r="C34" s="216"/>
      <c r="D34" s="216"/>
      <c r="E34" s="216"/>
      <c r="F34" s="216"/>
      <c r="G34" s="217"/>
    </row>
    <row r="35" spans="1:7" s="89" customFormat="1" x14ac:dyDescent="0.25">
      <c r="A35" s="114" t="s">
        <v>301</v>
      </c>
      <c r="B35" s="216" t="str">
        <f t="shared" si="0"/>
        <v/>
      </c>
      <c r="C35" s="216"/>
      <c r="D35" s="216"/>
      <c r="E35" s="216"/>
      <c r="F35" s="216"/>
      <c r="G35" s="217"/>
    </row>
    <row r="36" spans="1:7" s="89" customFormat="1" x14ac:dyDescent="0.25">
      <c r="A36" s="115" t="s">
        <v>302</v>
      </c>
      <c r="B36" s="218" t="str">
        <f t="shared" si="0"/>
        <v/>
      </c>
      <c r="C36" s="218"/>
      <c r="D36" s="218"/>
      <c r="E36" s="218"/>
      <c r="F36" s="218"/>
      <c r="G36" s="219"/>
    </row>
    <row r="37" spans="1:7" s="89" customFormat="1" x14ac:dyDescent="0.25">
      <c r="A37" s="126"/>
      <c r="B37" s="126"/>
      <c r="C37" s="126"/>
      <c r="D37" s="126"/>
      <c r="E37" s="126"/>
      <c r="F37" s="126"/>
      <c r="G37" s="126"/>
    </row>
    <row r="38" spans="1:7" s="89" customFormat="1" x14ac:dyDescent="0.25">
      <c r="A38" s="126" t="s">
        <v>498</v>
      </c>
      <c r="B38" s="126"/>
      <c r="C38" s="126"/>
      <c r="D38" s="126"/>
      <c r="E38" s="126"/>
      <c r="F38" s="126"/>
      <c r="G38" s="126"/>
    </row>
    <row r="39" spans="1:7" s="89" customFormat="1" x14ac:dyDescent="0.25">
      <c r="A39" s="126"/>
      <c r="B39" s="126"/>
      <c r="C39" s="126"/>
      <c r="D39" s="126"/>
      <c r="E39" s="126"/>
      <c r="F39" s="126"/>
      <c r="G39" s="126"/>
    </row>
    <row r="40" spans="1:7" s="89" customFormat="1" x14ac:dyDescent="0.25">
      <c r="A40" s="126"/>
      <c r="B40" s="126"/>
      <c r="C40" s="126"/>
      <c r="D40" s="126"/>
      <c r="E40" s="126"/>
      <c r="F40" s="126"/>
      <c r="G40" s="126"/>
    </row>
    <row r="41" spans="1:7" s="89" customFormat="1" x14ac:dyDescent="0.25">
      <c r="A41" s="126"/>
      <c r="B41" s="126"/>
      <c r="C41" s="126"/>
      <c r="D41" s="126"/>
      <c r="E41" s="126"/>
      <c r="F41" s="126"/>
      <c r="G41" s="126"/>
    </row>
    <row r="42" spans="1:7" s="89" customFormat="1" x14ac:dyDescent="0.25">
      <c r="A42" s="126"/>
      <c r="B42" s="126"/>
      <c r="C42" s="126"/>
      <c r="D42" s="126"/>
      <c r="E42" s="126"/>
      <c r="F42" s="126"/>
      <c r="G42" s="126"/>
    </row>
    <row r="43" spans="1:7" s="89" customFormat="1" x14ac:dyDescent="0.25">
      <c r="A43" s="126"/>
      <c r="B43" s="126"/>
      <c r="C43" s="126"/>
      <c r="D43" s="126"/>
      <c r="E43" s="126"/>
      <c r="F43" s="126"/>
      <c r="G43" s="126"/>
    </row>
    <row r="44" spans="1:7" s="89" customFormat="1" x14ac:dyDescent="0.25">
      <c r="A44" s="126"/>
      <c r="B44" s="126"/>
      <c r="C44" s="126"/>
      <c r="D44" s="126"/>
      <c r="E44" s="126"/>
      <c r="F44" s="126"/>
      <c r="G44" s="126"/>
    </row>
    <row r="45" spans="1:7" s="89" customFormat="1" x14ac:dyDescent="0.25">
      <c r="A45" s="126"/>
      <c r="B45" s="126"/>
      <c r="C45" s="126"/>
      <c r="D45" s="126"/>
      <c r="E45" s="126"/>
      <c r="F45" s="126"/>
      <c r="G45" s="126"/>
    </row>
    <row r="46" spans="1:7" s="89" customFormat="1" x14ac:dyDescent="0.25">
      <c r="A46" s="126"/>
      <c r="B46" s="126"/>
      <c r="C46" s="126"/>
      <c r="D46" s="126"/>
      <c r="E46" s="126"/>
      <c r="F46" s="126"/>
      <c r="G46" s="126"/>
    </row>
    <row r="47" spans="1:7" s="89" customFormat="1" x14ac:dyDescent="0.25">
      <c r="A47" s="126"/>
      <c r="B47" s="126"/>
      <c r="C47" s="126"/>
      <c r="D47" s="126"/>
      <c r="E47" s="126"/>
      <c r="F47" s="126"/>
      <c r="G47" s="126"/>
    </row>
    <row r="48" spans="1:7" s="89" customFormat="1" x14ac:dyDescent="0.25">
      <c r="A48" s="126"/>
      <c r="B48" s="126"/>
      <c r="C48" s="126"/>
      <c r="D48" s="126"/>
      <c r="E48" s="126"/>
      <c r="F48" s="126"/>
      <c r="G48" s="126"/>
    </row>
    <row r="49" spans="1:7" s="89" customFormat="1" x14ac:dyDescent="0.25">
      <c r="A49" s="126"/>
      <c r="B49" s="126"/>
      <c r="C49" s="126"/>
      <c r="D49" s="126"/>
      <c r="E49" s="126"/>
      <c r="F49" s="126"/>
      <c r="G49" s="126"/>
    </row>
    <row r="50" spans="1:7" s="89" customFormat="1" x14ac:dyDescent="0.25">
      <c r="A50" s="126"/>
      <c r="B50" s="126"/>
      <c r="C50" s="126"/>
      <c r="D50" s="126"/>
      <c r="E50" s="126"/>
      <c r="F50" s="126"/>
      <c r="G50" s="126"/>
    </row>
    <row r="51" spans="1:7" s="89" customFormat="1" x14ac:dyDescent="0.25">
      <c r="A51" s="126"/>
      <c r="B51" s="126"/>
      <c r="C51" s="126"/>
      <c r="D51" s="126"/>
      <c r="E51" s="126"/>
      <c r="F51" s="126"/>
      <c r="G51" s="126"/>
    </row>
    <row r="52" spans="1:7" s="89" customFormat="1" x14ac:dyDescent="0.25">
      <c r="A52" s="126"/>
      <c r="B52" s="126"/>
      <c r="C52" s="126"/>
      <c r="D52" s="126"/>
      <c r="E52" s="126"/>
      <c r="F52" s="126"/>
      <c r="G52" s="126"/>
    </row>
    <row r="53" spans="1:7" s="89" customFormat="1" x14ac:dyDescent="0.25">
      <c r="A53" s="126"/>
      <c r="B53" s="126"/>
      <c r="C53" s="126"/>
      <c r="D53" s="126"/>
      <c r="E53" s="126"/>
      <c r="F53" s="126"/>
      <c r="G53" s="126"/>
    </row>
    <row r="54" spans="1:7" s="89" customFormat="1" x14ac:dyDescent="0.25">
      <c r="A54" s="126"/>
      <c r="B54" s="126"/>
      <c r="C54" s="126"/>
      <c r="D54" s="126"/>
      <c r="E54" s="126"/>
      <c r="F54" s="126"/>
      <c r="G54" s="126"/>
    </row>
    <row r="55" spans="1:7" s="89" customFormat="1" x14ac:dyDescent="0.25">
      <c r="A55" s="126"/>
      <c r="B55" s="126"/>
      <c r="C55" s="126"/>
      <c r="D55" s="126"/>
      <c r="E55" s="126"/>
      <c r="F55" s="126"/>
      <c r="G55" s="126"/>
    </row>
    <row r="56" spans="1:7" s="89" customFormat="1" x14ac:dyDescent="0.25">
      <c r="A56" s="126"/>
      <c r="B56" s="126"/>
      <c r="C56" s="126"/>
      <c r="D56" s="126"/>
      <c r="E56" s="126"/>
      <c r="F56" s="126"/>
      <c r="G56" s="126"/>
    </row>
    <row r="57" spans="1:7" s="89" customFormat="1" x14ac:dyDescent="0.25">
      <c r="A57" s="126"/>
      <c r="B57" s="126"/>
      <c r="C57" s="126"/>
      <c r="D57" s="126"/>
      <c r="E57" s="126"/>
      <c r="F57" s="126"/>
      <c r="G57" s="126"/>
    </row>
    <row r="58" spans="1:7" s="89" customFormat="1" x14ac:dyDescent="0.25">
      <c r="A58" s="126"/>
      <c r="B58" s="126"/>
      <c r="C58" s="126"/>
      <c r="D58" s="126"/>
      <c r="E58" s="126"/>
      <c r="F58" s="126"/>
      <c r="G58" s="126"/>
    </row>
    <row r="59" spans="1:7" s="89" customFormat="1" x14ac:dyDescent="0.25">
      <c r="A59" s="126"/>
      <c r="B59" s="126"/>
      <c r="C59" s="126"/>
      <c r="D59" s="126"/>
      <c r="E59" s="126"/>
      <c r="F59" s="126"/>
      <c r="G59" s="126"/>
    </row>
  </sheetData>
  <mergeCells count="30">
    <mergeCell ref="B36:G36"/>
    <mergeCell ref="B31:G31"/>
    <mergeCell ref="B32:G32"/>
    <mergeCell ref="B33:G33"/>
    <mergeCell ref="B34:G34"/>
    <mergeCell ref="B35:G35"/>
    <mergeCell ref="E25:F25"/>
    <mergeCell ref="E26:F26"/>
    <mergeCell ref="E27:F27"/>
    <mergeCell ref="B26:D26"/>
    <mergeCell ref="B27:D27"/>
    <mergeCell ref="B25:D25"/>
    <mergeCell ref="B1:G1"/>
    <mergeCell ref="B2:G2"/>
    <mergeCell ref="B3:G3"/>
    <mergeCell ref="B4:G4"/>
    <mergeCell ref="B5:G5"/>
    <mergeCell ref="B14:E14"/>
    <mergeCell ref="E20:F20"/>
    <mergeCell ref="E21:F21"/>
    <mergeCell ref="E22:F22"/>
    <mergeCell ref="B6:G6"/>
    <mergeCell ref="B8:G8"/>
    <mergeCell ref="B11:C11"/>
    <mergeCell ref="F11:G11"/>
    <mergeCell ref="D11:E11"/>
    <mergeCell ref="B20:C20"/>
    <mergeCell ref="B21:C21"/>
    <mergeCell ref="B22:C22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30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9" bestFit="1" customWidth="1"/>
    <col min="2" max="2" width="25.28515625" style="144" customWidth="1"/>
    <col min="3" max="5" width="15.28515625" style="89" bestFit="1" customWidth="1"/>
    <col min="6" max="16384" width="9.140625" style="89"/>
  </cols>
  <sheetData>
    <row r="1" spans="1:2" x14ac:dyDescent="0.25">
      <c r="A1" s="105" t="s">
        <v>463</v>
      </c>
    </row>
    <row r="2" spans="1:2" x14ac:dyDescent="0.25">
      <c r="A2" s="104" t="s">
        <v>467</v>
      </c>
      <c r="B2" s="145"/>
    </row>
    <row r="3" spans="1:2" x14ac:dyDescent="0.25">
      <c r="A3" s="94" t="s">
        <v>526</v>
      </c>
      <c r="B3" s="146"/>
    </row>
    <row r="4" spans="1:2" x14ac:dyDescent="0.25">
      <c r="A4" s="94" t="s">
        <v>528</v>
      </c>
      <c r="B4" s="146"/>
    </row>
    <row r="5" spans="1:2" x14ac:dyDescent="0.25">
      <c r="A5" s="94" t="s">
        <v>155</v>
      </c>
      <c r="B5" s="147"/>
    </row>
    <row r="6" spans="1:2" x14ac:dyDescent="0.25">
      <c r="A6" s="143" t="s">
        <v>529</v>
      </c>
    </row>
    <row r="7" spans="1:2" x14ac:dyDescent="0.25">
      <c r="A7" s="143" t="s">
        <v>531</v>
      </c>
    </row>
    <row r="8" spans="1:2" x14ac:dyDescent="0.25">
      <c r="A8" s="143" t="s">
        <v>532</v>
      </c>
    </row>
    <row r="9" spans="1:2" x14ac:dyDescent="0.25">
      <c r="A9" s="143" t="s">
        <v>533</v>
      </c>
    </row>
    <row r="10" spans="1:2" x14ac:dyDescent="0.25">
      <c r="A10" s="143" t="s">
        <v>534</v>
      </c>
    </row>
    <row r="11" spans="1:2" x14ac:dyDescent="0.25">
      <c r="A11" s="143" t="s">
        <v>535</v>
      </c>
    </row>
    <row r="12" spans="1:2" x14ac:dyDescent="0.25">
      <c r="A12" s="110" t="s">
        <v>574</v>
      </c>
    </row>
    <row r="13" spans="1:2" x14ac:dyDescent="0.25">
      <c r="A13" s="103" t="s">
        <v>538</v>
      </c>
    </row>
    <row r="15" spans="1:2" x14ac:dyDescent="0.25">
      <c r="A15" s="90" t="s">
        <v>290</v>
      </c>
    </row>
    <row r="16" spans="1:2" x14ac:dyDescent="0.25">
      <c r="A16" s="104" t="s">
        <v>468</v>
      </c>
    </row>
    <row r="17" spans="1:6" x14ac:dyDescent="0.25">
      <c r="A17" s="94" t="s">
        <v>526</v>
      </c>
      <c r="B17" s="147"/>
      <c r="F17" s="127"/>
    </row>
    <row r="18" spans="1:6" x14ac:dyDescent="0.25">
      <c r="A18" s="94" t="s">
        <v>528</v>
      </c>
      <c r="B18" s="147"/>
    </row>
    <row r="19" spans="1:6" x14ac:dyDescent="0.25">
      <c r="A19" s="94" t="s">
        <v>155</v>
      </c>
      <c r="B19" s="147"/>
      <c r="C19" s="127"/>
      <c r="D19" s="127"/>
      <c r="E19" s="127"/>
      <c r="F19" s="127"/>
    </row>
    <row r="20" spans="1:6" x14ac:dyDescent="0.25">
      <c r="A20" s="143" t="s">
        <v>529</v>
      </c>
      <c r="C20" s="127"/>
      <c r="D20" s="127"/>
      <c r="E20" s="127"/>
      <c r="F20" s="127"/>
    </row>
    <row r="21" spans="1:6" x14ac:dyDescent="0.25">
      <c r="A21" s="143" t="s">
        <v>531</v>
      </c>
      <c r="C21" s="127"/>
      <c r="D21" s="127"/>
      <c r="E21" s="127"/>
      <c r="F21" s="127"/>
    </row>
    <row r="22" spans="1:6" x14ac:dyDescent="0.25">
      <c r="A22" s="143" t="s">
        <v>532</v>
      </c>
      <c r="C22" s="127"/>
      <c r="D22"/>
      <c r="E22" s="127"/>
      <c r="F22" s="127"/>
    </row>
    <row r="23" spans="1:6" x14ac:dyDescent="0.25">
      <c r="A23" s="143" t="s">
        <v>534</v>
      </c>
      <c r="C23" s="127"/>
      <c r="D23" s="127"/>
      <c r="E23" s="127"/>
      <c r="F23" s="127"/>
    </row>
    <row r="24" spans="1:6" x14ac:dyDescent="0.25">
      <c r="A24" s="103" t="s">
        <v>538</v>
      </c>
      <c r="C24" s="127"/>
      <c r="E24" s="127"/>
      <c r="F24" s="127"/>
    </row>
    <row r="25" spans="1:6" x14ac:dyDescent="0.25">
      <c r="C25" s="127"/>
      <c r="E25" s="127"/>
      <c r="F25" s="127"/>
    </row>
    <row r="26" spans="1:6" x14ac:dyDescent="0.25">
      <c r="A26" s="90" t="s">
        <v>398</v>
      </c>
    </row>
    <row r="27" spans="1:6" x14ac:dyDescent="0.25">
      <c r="A27" s="92" t="s">
        <v>166</v>
      </c>
    </row>
    <row r="28" spans="1:6" x14ac:dyDescent="0.25">
      <c r="A28" s="94" t="s">
        <v>526</v>
      </c>
      <c r="B28" s="147"/>
    </row>
    <row r="29" spans="1:6" x14ac:dyDescent="0.25">
      <c r="A29" s="94" t="s">
        <v>528</v>
      </c>
      <c r="B29" s="147"/>
    </row>
    <row r="30" spans="1:6" x14ac:dyDescent="0.25">
      <c r="A30" s="94" t="s">
        <v>155</v>
      </c>
      <c r="B30" s="147"/>
    </row>
    <row r="31" spans="1:6" x14ac:dyDescent="0.25">
      <c r="A31" s="143" t="s">
        <v>529</v>
      </c>
    </row>
    <row r="32" spans="1:6" x14ac:dyDescent="0.25">
      <c r="A32" s="143" t="s">
        <v>531</v>
      </c>
    </row>
    <row r="33" spans="1:1" x14ac:dyDescent="0.25">
      <c r="A33" s="143" t="s">
        <v>532</v>
      </c>
    </row>
    <row r="34" spans="1:1" x14ac:dyDescent="0.25">
      <c r="A34" s="143" t="s">
        <v>533</v>
      </c>
    </row>
    <row r="35" spans="1:1" x14ac:dyDescent="0.25">
      <c r="A35" s="143" t="s">
        <v>534</v>
      </c>
    </row>
    <row r="36" spans="1:1" x14ac:dyDescent="0.25">
      <c r="A36" s="143" t="s">
        <v>535</v>
      </c>
    </row>
    <row r="37" spans="1:1" x14ac:dyDescent="0.25">
      <c r="A37" s="110" t="s">
        <v>574</v>
      </c>
    </row>
    <row r="38" spans="1:1" x14ac:dyDescent="0.25">
      <c r="A38" s="103" t="s">
        <v>538</v>
      </c>
    </row>
    <row r="40" spans="1:1" x14ac:dyDescent="0.25">
      <c r="A40" s="142" t="s">
        <v>560</v>
      </c>
    </row>
    <row r="41" spans="1:1" x14ac:dyDescent="0.25">
      <c r="A41" s="141" t="s">
        <v>167</v>
      </c>
    </row>
    <row r="42" spans="1:1" x14ac:dyDescent="0.25">
      <c r="A42" s="94" t="s">
        <v>526</v>
      </c>
    </row>
    <row r="43" spans="1:1" x14ac:dyDescent="0.25">
      <c r="A43" s="143" t="s">
        <v>528</v>
      </c>
    </row>
    <row r="44" spans="1:1" x14ac:dyDescent="0.25">
      <c r="A44" s="94" t="s">
        <v>155</v>
      </c>
    </row>
    <row r="45" spans="1:1" x14ac:dyDescent="0.25">
      <c r="A45" s="143" t="s">
        <v>529</v>
      </c>
    </row>
    <row r="46" spans="1:1" x14ac:dyDescent="0.25">
      <c r="A46" s="143" t="s">
        <v>531</v>
      </c>
    </row>
    <row r="47" spans="1:1" x14ac:dyDescent="0.25">
      <c r="A47" s="143" t="s">
        <v>532</v>
      </c>
    </row>
    <row r="48" spans="1:1" x14ac:dyDescent="0.25">
      <c r="A48" s="143" t="s">
        <v>533</v>
      </c>
    </row>
    <row r="49" spans="1:2" x14ac:dyDescent="0.25">
      <c r="A49" s="143" t="s">
        <v>534</v>
      </c>
    </row>
    <row r="50" spans="1:2" x14ac:dyDescent="0.25">
      <c r="A50" s="143" t="s">
        <v>535</v>
      </c>
    </row>
    <row r="51" spans="1:2" x14ac:dyDescent="0.25">
      <c r="A51" s="103" t="s">
        <v>538</v>
      </c>
    </row>
    <row r="52" spans="1:2" x14ac:dyDescent="0.25">
      <c r="A52" s="172"/>
    </row>
    <row r="53" spans="1:2" x14ac:dyDescent="0.25">
      <c r="A53" s="142" t="s">
        <v>399</v>
      </c>
    </row>
    <row r="54" spans="1:2" x14ac:dyDescent="0.25">
      <c r="A54" s="141" t="s">
        <v>168</v>
      </c>
    </row>
    <row r="55" spans="1:2" x14ac:dyDescent="0.25">
      <c r="A55" s="94" t="s">
        <v>526</v>
      </c>
      <c r="B55" s="147"/>
    </row>
    <row r="56" spans="1:2" x14ac:dyDescent="0.25">
      <c r="A56" s="143" t="s">
        <v>536</v>
      </c>
      <c r="B56" s="147"/>
    </row>
    <row r="57" spans="1:2" x14ac:dyDescent="0.25">
      <c r="A57" s="94" t="s">
        <v>155</v>
      </c>
      <c r="B57" s="147"/>
    </row>
    <row r="58" spans="1:2" x14ac:dyDescent="0.25">
      <c r="A58" s="143" t="s">
        <v>529</v>
      </c>
      <c r="B58" s="127"/>
    </row>
    <row r="59" spans="1:2" x14ac:dyDescent="0.25">
      <c r="A59" s="143" t="s">
        <v>531</v>
      </c>
    </row>
    <row r="60" spans="1:2" x14ac:dyDescent="0.25">
      <c r="A60" s="143" t="s">
        <v>532</v>
      </c>
    </row>
    <row r="61" spans="1:2" x14ac:dyDescent="0.25">
      <c r="A61" s="143" t="s">
        <v>537</v>
      </c>
      <c r="B61" s="147"/>
    </row>
    <row r="62" spans="1:2" x14ac:dyDescent="0.25">
      <c r="A62" s="143" t="s">
        <v>530</v>
      </c>
      <c r="B62" s="147"/>
    </row>
    <row r="63" spans="1:2" x14ac:dyDescent="0.25">
      <c r="A63" s="143" t="s">
        <v>535</v>
      </c>
    </row>
    <row r="64" spans="1:2" x14ac:dyDescent="0.25">
      <c r="A64" s="110" t="s">
        <v>574</v>
      </c>
    </row>
    <row r="65" spans="1:1" x14ac:dyDescent="0.25">
      <c r="A65" s="103" t="s">
        <v>538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241</v>
      </c>
    </row>
    <row r="3" spans="1:9" x14ac:dyDescent="0.25">
      <c r="A3" s="12" t="s">
        <v>209</v>
      </c>
      <c r="B3" s="22" t="s">
        <v>149</v>
      </c>
      <c r="C3" s="22" t="s">
        <v>240</v>
      </c>
      <c r="G3"/>
      <c r="H3"/>
      <c r="I3"/>
    </row>
    <row r="4" spans="1:9" x14ac:dyDescent="0.25">
      <c r="A4" t="s">
        <v>210</v>
      </c>
      <c r="B4" t="s">
        <v>211</v>
      </c>
      <c r="C4" s="42">
        <v>1.5</v>
      </c>
      <c r="G4"/>
      <c r="H4"/>
      <c r="I4"/>
    </row>
    <row r="5" spans="1:9" x14ac:dyDescent="0.25">
      <c r="A5" t="s">
        <v>212</v>
      </c>
      <c r="B5" t="s">
        <v>213</v>
      </c>
      <c r="C5" s="42">
        <v>2</v>
      </c>
      <c r="G5"/>
      <c r="H5"/>
      <c r="I5"/>
    </row>
    <row r="6" spans="1:9" x14ac:dyDescent="0.25">
      <c r="A6" t="s">
        <v>214</v>
      </c>
      <c r="B6" t="s">
        <v>215</v>
      </c>
      <c r="C6" s="42">
        <v>3</v>
      </c>
      <c r="G6"/>
      <c r="H6"/>
      <c r="I6"/>
    </row>
    <row r="7" spans="1:9" x14ac:dyDescent="0.25">
      <c r="A7" t="s">
        <v>216</v>
      </c>
      <c r="B7" t="s">
        <v>217</v>
      </c>
      <c r="C7" s="42">
        <v>4</v>
      </c>
      <c r="G7"/>
      <c r="H7"/>
      <c r="I7"/>
    </row>
    <row r="8" spans="1:9" x14ac:dyDescent="0.25">
      <c r="A8" t="s">
        <v>218</v>
      </c>
      <c r="B8" t="s">
        <v>219</v>
      </c>
      <c r="C8" s="42">
        <v>6</v>
      </c>
      <c r="G8"/>
      <c r="H8"/>
      <c r="I8"/>
    </row>
    <row r="9" spans="1:9" x14ac:dyDescent="0.25">
      <c r="A9" t="s">
        <v>220</v>
      </c>
      <c r="B9" t="s">
        <v>221</v>
      </c>
      <c r="C9" s="42">
        <v>8</v>
      </c>
      <c r="G9"/>
      <c r="H9"/>
      <c r="I9"/>
    </row>
    <row r="10" spans="1:9" x14ac:dyDescent="0.25">
      <c r="A10" t="s">
        <v>222</v>
      </c>
      <c r="B10" t="s">
        <v>223</v>
      </c>
      <c r="C10" s="42">
        <v>10</v>
      </c>
      <c r="G10"/>
      <c r="H10"/>
      <c r="I10"/>
    </row>
    <row r="11" spans="1:9" x14ac:dyDescent="0.25">
      <c r="A11" t="s">
        <v>224</v>
      </c>
      <c r="B11" t="s">
        <v>225</v>
      </c>
      <c r="C11" s="42">
        <v>12</v>
      </c>
      <c r="G11"/>
      <c r="H11"/>
      <c r="I11"/>
    </row>
    <row r="12" spans="1:9" x14ac:dyDescent="0.25">
      <c r="A12" t="s">
        <v>226</v>
      </c>
      <c r="B12" t="s">
        <v>227</v>
      </c>
      <c r="C12" s="42">
        <v>15</v>
      </c>
      <c r="G12"/>
      <c r="H12"/>
      <c r="I12"/>
    </row>
    <row r="13" spans="1:9" x14ac:dyDescent="0.25">
      <c r="A13" t="s">
        <v>228</v>
      </c>
      <c r="B13" t="s">
        <v>229</v>
      </c>
      <c r="C13" s="42">
        <v>16</v>
      </c>
      <c r="G13"/>
      <c r="H13"/>
      <c r="I13"/>
    </row>
    <row r="14" spans="1:9" x14ac:dyDescent="0.25">
      <c r="A14" t="s">
        <v>331</v>
      </c>
      <c r="B14" t="s">
        <v>345</v>
      </c>
      <c r="C14" s="42">
        <v>18</v>
      </c>
      <c r="G14"/>
      <c r="H14"/>
      <c r="I14"/>
    </row>
    <row r="15" spans="1:9" x14ac:dyDescent="0.25">
      <c r="A15" t="s">
        <v>332</v>
      </c>
      <c r="B15" t="s">
        <v>346</v>
      </c>
      <c r="C15" s="42">
        <v>20</v>
      </c>
      <c r="G15"/>
      <c r="H15"/>
      <c r="I15"/>
    </row>
    <row r="16" spans="1:9" x14ac:dyDescent="0.25">
      <c r="A16" t="s">
        <v>333</v>
      </c>
      <c r="B16" t="s">
        <v>347</v>
      </c>
      <c r="C16" s="42">
        <v>25</v>
      </c>
      <c r="G16"/>
      <c r="H16"/>
      <c r="I16"/>
    </row>
    <row r="17" spans="1:9" x14ac:dyDescent="0.25">
      <c r="A17" t="s">
        <v>334</v>
      </c>
      <c r="B17" t="s">
        <v>348</v>
      </c>
      <c r="C17" s="42">
        <v>30</v>
      </c>
      <c r="G17"/>
      <c r="H17"/>
      <c r="I17"/>
    </row>
    <row r="18" spans="1:9" x14ac:dyDescent="0.25">
      <c r="A18" t="s">
        <v>335</v>
      </c>
      <c r="B18" t="s">
        <v>349</v>
      </c>
      <c r="C18" s="42">
        <v>35</v>
      </c>
      <c r="G18"/>
      <c r="H18"/>
      <c r="I18"/>
    </row>
    <row r="19" spans="1:9" x14ac:dyDescent="0.25">
      <c r="A19" t="s">
        <v>336</v>
      </c>
      <c r="B19" t="s">
        <v>350</v>
      </c>
      <c r="C19" s="42">
        <v>40</v>
      </c>
      <c r="G19"/>
      <c r="H19"/>
      <c r="I19"/>
    </row>
    <row r="20" spans="1:9" x14ac:dyDescent="0.25">
      <c r="A20" t="s">
        <v>337</v>
      </c>
      <c r="B20" t="s">
        <v>351</v>
      </c>
      <c r="C20" s="42">
        <v>45</v>
      </c>
      <c r="G20"/>
      <c r="H20"/>
      <c r="I20"/>
    </row>
    <row r="21" spans="1:9" x14ac:dyDescent="0.25">
      <c r="A21" t="s">
        <v>338</v>
      </c>
      <c r="B21" t="s">
        <v>352</v>
      </c>
      <c r="C21" s="42">
        <v>50</v>
      </c>
      <c r="G21"/>
      <c r="H21"/>
      <c r="I21"/>
    </row>
    <row r="22" spans="1:9" x14ac:dyDescent="0.25">
      <c r="A22" t="s">
        <v>339</v>
      </c>
      <c r="B22" t="s">
        <v>353</v>
      </c>
      <c r="C22" s="42">
        <v>55</v>
      </c>
      <c r="G22"/>
      <c r="H22"/>
      <c r="I22"/>
    </row>
    <row r="23" spans="1:9" x14ac:dyDescent="0.25">
      <c r="A23" t="s">
        <v>340</v>
      </c>
      <c r="B23" t="s">
        <v>354</v>
      </c>
      <c r="C23" s="42">
        <v>60</v>
      </c>
      <c r="G23"/>
      <c r="H23"/>
      <c r="I23"/>
    </row>
    <row r="24" spans="1:9" x14ac:dyDescent="0.25">
      <c r="A24" t="s">
        <v>341</v>
      </c>
      <c r="B24" t="s">
        <v>355</v>
      </c>
      <c r="C24" s="42">
        <v>70</v>
      </c>
      <c r="G24"/>
      <c r="H24"/>
      <c r="I24"/>
    </row>
    <row r="25" spans="1:9" x14ac:dyDescent="0.25">
      <c r="A25" t="s">
        <v>342</v>
      </c>
      <c r="B25" t="s">
        <v>356</v>
      </c>
      <c r="C25" s="42">
        <v>80</v>
      </c>
      <c r="G25"/>
      <c r="H25"/>
      <c r="I25"/>
    </row>
    <row r="26" spans="1:9" x14ac:dyDescent="0.25">
      <c r="A26" t="s">
        <v>343</v>
      </c>
      <c r="B26" t="s">
        <v>357</v>
      </c>
      <c r="C26" s="42">
        <v>90</v>
      </c>
      <c r="G26"/>
      <c r="H26"/>
      <c r="I26"/>
    </row>
    <row r="27" spans="1:9" x14ac:dyDescent="0.25">
      <c r="A27" t="s">
        <v>344</v>
      </c>
      <c r="B27" t="s">
        <v>358</v>
      </c>
      <c r="C27" s="42">
        <v>100</v>
      </c>
      <c r="G27"/>
      <c r="H27"/>
      <c r="I27"/>
    </row>
    <row r="28" spans="1:9" x14ac:dyDescent="0.25">
      <c r="A28" t="s">
        <v>230</v>
      </c>
      <c r="B28" t="s">
        <v>231</v>
      </c>
      <c r="C28" s="42">
        <v>3.1749999999999998</v>
      </c>
      <c r="G28"/>
      <c r="H28"/>
      <c r="I28"/>
    </row>
    <row r="29" spans="1:9" x14ac:dyDescent="0.25">
      <c r="A29" t="s">
        <v>232</v>
      </c>
      <c r="B29" t="s">
        <v>233</v>
      </c>
      <c r="C29" s="42">
        <v>6.35</v>
      </c>
      <c r="G29"/>
      <c r="H29"/>
      <c r="I29"/>
    </row>
    <row r="30" spans="1:9" x14ac:dyDescent="0.25">
      <c r="A30" t="s">
        <v>234</v>
      </c>
      <c r="B30" t="s">
        <v>235</v>
      </c>
      <c r="C30" s="42">
        <v>9.5250000000000004</v>
      </c>
      <c r="G30"/>
      <c r="H30"/>
      <c r="I30"/>
    </row>
    <row r="31" spans="1:9" x14ac:dyDescent="0.25">
      <c r="A31" t="s">
        <v>236</v>
      </c>
      <c r="B31" t="s">
        <v>237</v>
      </c>
      <c r="C31" s="42">
        <v>12.7</v>
      </c>
      <c r="G31"/>
      <c r="H31"/>
      <c r="I31"/>
    </row>
    <row r="32" spans="1:9" x14ac:dyDescent="0.25">
      <c r="A32" t="s">
        <v>238</v>
      </c>
      <c r="B32" t="s">
        <v>239</v>
      </c>
      <c r="C32" s="42">
        <v>19.05</v>
      </c>
      <c r="G32"/>
      <c r="H32"/>
      <c r="I32"/>
    </row>
    <row r="33" spans="1:6" x14ac:dyDescent="0.25">
      <c r="A33" t="s">
        <v>359</v>
      </c>
      <c r="B33" t="s">
        <v>360</v>
      </c>
      <c r="C33" t="s">
        <v>170</v>
      </c>
    </row>
    <row r="36" spans="1:6" s="22" customFormat="1" x14ac:dyDescent="0.25">
      <c r="A36" s="12" t="s">
        <v>242</v>
      </c>
      <c r="B36" s="22" t="s">
        <v>149</v>
      </c>
      <c r="C36" s="22" t="s">
        <v>240</v>
      </c>
    </row>
    <row r="37" spans="1:6" x14ac:dyDescent="0.25">
      <c r="A37" t="s">
        <v>243</v>
      </c>
      <c r="B37" t="s">
        <v>244</v>
      </c>
      <c r="C37" s="42">
        <v>1</v>
      </c>
      <c r="D37"/>
      <c r="E37"/>
      <c r="F37"/>
    </row>
    <row r="38" spans="1:6" x14ac:dyDescent="0.25">
      <c r="A38" t="s">
        <v>245</v>
      </c>
      <c r="B38" t="s">
        <v>211</v>
      </c>
      <c r="C38" s="42">
        <v>1.5</v>
      </c>
      <c r="D38"/>
      <c r="E38"/>
      <c r="F38"/>
    </row>
    <row r="39" spans="1:6" x14ac:dyDescent="0.25">
      <c r="A39" t="s">
        <v>246</v>
      </c>
      <c r="B39" t="s">
        <v>213</v>
      </c>
      <c r="C39" s="42">
        <v>2</v>
      </c>
      <c r="D39"/>
      <c r="E39"/>
      <c r="F39"/>
    </row>
    <row r="40" spans="1:6" x14ac:dyDescent="0.25">
      <c r="A40" t="s">
        <v>247</v>
      </c>
      <c r="B40" t="s">
        <v>215</v>
      </c>
      <c r="C40" s="42">
        <v>3</v>
      </c>
      <c r="D40"/>
      <c r="E40"/>
      <c r="F40"/>
    </row>
    <row r="41" spans="1:6" x14ac:dyDescent="0.25">
      <c r="A41" t="s">
        <v>248</v>
      </c>
      <c r="B41" t="s">
        <v>217</v>
      </c>
      <c r="C41" s="42">
        <v>4</v>
      </c>
      <c r="D41"/>
      <c r="E41"/>
      <c r="F41"/>
    </row>
    <row r="42" spans="1:6" x14ac:dyDescent="0.25">
      <c r="A42" t="s">
        <v>249</v>
      </c>
      <c r="B42" t="s">
        <v>250</v>
      </c>
      <c r="C42" s="42">
        <v>5</v>
      </c>
      <c r="D42"/>
      <c r="E42"/>
      <c r="F42"/>
    </row>
    <row r="43" spans="1:6" x14ac:dyDescent="0.25">
      <c r="A43" t="s">
        <v>251</v>
      </c>
      <c r="B43" t="s">
        <v>252</v>
      </c>
      <c r="C43" s="42">
        <v>5.5</v>
      </c>
      <c r="D43"/>
      <c r="E43"/>
      <c r="F43"/>
    </row>
    <row r="44" spans="1:6" x14ac:dyDescent="0.25">
      <c r="A44" t="s">
        <v>253</v>
      </c>
      <c r="B44" t="s">
        <v>219</v>
      </c>
      <c r="C44" s="42">
        <v>6</v>
      </c>
      <c r="D44"/>
      <c r="E44"/>
      <c r="F44"/>
    </row>
    <row r="45" spans="1:6" x14ac:dyDescent="0.25">
      <c r="A45" t="s">
        <v>254</v>
      </c>
      <c r="B45" t="s">
        <v>255</v>
      </c>
      <c r="C45" s="42">
        <v>6.5</v>
      </c>
      <c r="D45"/>
      <c r="E45"/>
      <c r="F45"/>
    </row>
    <row r="46" spans="1:6" x14ac:dyDescent="0.25">
      <c r="A46" t="s">
        <v>256</v>
      </c>
      <c r="B46" t="s">
        <v>257</v>
      </c>
      <c r="C46" s="42">
        <v>7.5</v>
      </c>
      <c r="D46"/>
      <c r="E46"/>
      <c r="F46"/>
    </row>
    <row r="47" spans="1:6" x14ac:dyDescent="0.25">
      <c r="A47" t="s">
        <v>258</v>
      </c>
      <c r="B47" t="s">
        <v>221</v>
      </c>
      <c r="C47" s="42">
        <v>8</v>
      </c>
      <c r="D47"/>
      <c r="E47"/>
      <c r="F47"/>
    </row>
    <row r="48" spans="1:6" x14ac:dyDescent="0.25">
      <c r="A48" t="s">
        <v>259</v>
      </c>
      <c r="B48" t="s">
        <v>223</v>
      </c>
      <c r="C48" s="42">
        <v>10</v>
      </c>
      <c r="D48"/>
      <c r="E48"/>
      <c r="F48"/>
    </row>
    <row r="49" spans="1:6" x14ac:dyDescent="0.25">
      <c r="A49" t="s">
        <v>260</v>
      </c>
      <c r="B49" t="s">
        <v>261</v>
      </c>
      <c r="C49" s="42">
        <v>2.3812500000000001</v>
      </c>
      <c r="D49"/>
      <c r="E49"/>
      <c r="F49"/>
    </row>
    <row r="50" spans="1:6" x14ac:dyDescent="0.25">
      <c r="A50" t="s">
        <v>262</v>
      </c>
      <c r="B50" t="s">
        <v>231</v>
      </c>
      <c r="C50" s="42">
        <v>3.1749999999999998</v>
      </c>
      <c r="D50"/>
      <c r="E50"/>
      <c r="F50"/>
    </row>
    <row r="51" spans="1:6" x14ac:dyDescent="0.25">
      <c r="A51" t="s">
        <v>263</v>
      </c>
      <c r="B51" t="s">
        <v>264</v>
      </c>
      <c r="C51" s="42">
        <v>3.96875</v>
      </c>
      <c r="D51"/>
      <c r="E51"/>
      <c r="F51"/>
    </row>
    <row r="52" spans="1:6" x14ac:dyDescent="0.25">
      <c r="A52" t="s">
        <v>265</v>
      </c>
      <c r="B52" t="s">
        <v>266</v>
      </c>
      <c r="C52" s="42">
        <v>4.7625000000000002</v>
      </c>
      <c r="D52"/>
      <c r="E52"/>
      <c r="F52"/>
    </row>
    <row r="53" spans="1:6" x14ac:dyDescent="0.25">
      <c r="A53" t="s">
        <v>267</v>
      </c>
      <c r="B53" t="s">
        <v>268</v>
      </c>
      <c r="C53" s="42">
        <v>5.5562500000000004</v>
      </c>
      <c r="D53"/>
      <c r="E53"/>
      <c r="F53"/>
    </row>
    <row r="54" spans="1:6" x14ac:dyDescent="0.25">
      <c r="A54" t="s">
        <v>269</v>
      </c>
      <c r="B54" t="s">
        <v>270</v>
      </c>
      <c r="C54" s="42">
        <v>6.35</v>
      </c>
      <c r="D54"/>
      <c r="E54"/>
      <c r="F54"/>
    </row>
    <row r="55" spans="1:6" x14ac:dyDescent="0.25">
      <c r="A55" t="s">
        <v>271</v>
      </c>
      <c r="B55" t="s">
        <v>272</v>
      </c>
      <c r="C55" s="42">
        <v>7.1437499999999998</v>
      </c>
      <c r="D55"/>
      <c r="E55"/>
      <c r="F55"/>
    </row>
    <row r="56" spans="1:6" x14ac:dyDescent="0.25">
      <c r="A56" t="s">
        <v>273</v>
      </c>
      <c r="B56" t="s">
        <v>274</v>
      </c>
      <c r="C56" s="42">
        <v>7.9375</v>
      </c>
      <c r="D56"/>
      <c r="E56"/>
      <c r="F56"/>
    </row>
    <row r="57" spans="1:6" x14ac:dyDescent="0.25">
      <c r="A57" t="s">
        <v>275</v>
      </c>
      <c r="B57" t="s">
        <v>276</v>
      </c>
      <c r="C57" s="42">
        <v>8.7312499999999993</v>
      </c>
      <c r="D57"/>
      <c r="E57"/>
      <c r="F57"/>
    </row>
    <row r="58" spans="1:6" x14ac:dyDescent="0.25">
      <c r="A58" t="s">
        <v>277</v>
      </c>
      <c r="B58" t="s">
        <v>235</v>
      </c>
      <c r="C58" s="42">
        <v>9.5250000000000004</v>
      </c>
      <c r="D58"/>
      <c r="E58"/>
      <c r="F58"/>
    </row>
    <row r="59" spans="1:6" x14ac:dyDescent="0.25">
      <c r="A59" t="s">
        <v>278</v>
      </c>
      <c r="B59" t="s">
        <v>279</v>
      </c>
      <c r="C59" s="42">
        <v>10.31875</v>
      </c>
      <c r="D59"/>
      <c r="E59"/>
      <c r="F59"/>
    </row>
    <row r="60" spans="1:6" x14ac:dyDescent="0.25">
      <c r="A60" t="s">
        <v>280</v>
      </c>
      <c r="B60" t="s">
        <v>281</v>
      </c>
      <c r="C60" s="42">
        <v>11.112500000000001</v>
      </c>
      <c r="D60"/>
      <c r="E60"/>
      <c r="F60"/>
    </row>
    <row r="61" spans="1:6" x14ac:dyDescent="0.25">
      <c r="A61" t="s">
        <v>282</v>
      </c>
      <c r="B61" t="s">
        <v>283</v>
      </c>
      <c r="C61" s="42">
        <v>11.90625</v>
      </c>
      <c r="D61"/>
      <c r="E61"/>
      <c r="F61"/>
    </row>
    <row r="62" spans="1:6" x14ac:dyDescent="0.25">
      <c r="A62" s="89" t="s">
        <v>284</v>
      </c>
      <c r="B62" s="89" t="s">
        <v>237</v>
      </c>
      <c r="C62" s="42">
        <v>12.7</v>
      </c>
      <c r="D62" s="89"/>
      <c r="E62" s="89"/>
      <c r="F62" s="89"/>
    </row>
    <row r="63" spans="1:6" x14ac:dyDescent="0.25">
      <c r="A63" t="s">
        <v>487</v>
      </c>
      <c r="B63" t="s">
        <v>360</v>
      </c>
      <c r="C63" s="42" t="s">
        <v>488</v>
      </c>
      <c r="D63"/>
      <c r="E63"/>
      <c r="F63"/>
    </row>
    <row r="65" spans="1:3" x14ac:dyDescent="0.25">
      <c r="A65" s="22" t="s">
        <v>361</v>
      </c>
      <c r="B65" s="22" t="s">
        <v>149</v>
      </c>
      <c r="C65" s="22" t="s">
        <v>365</v>
      </c>
    </row>
    <row r="66" spans="1:3" x14ac:dyDescent="0.25">
      <c r="A66" t="s">
        <v>362</v>
      </c>
      <c r="B66" t="s">
        <v>285</v>
      </c>
      <c r="C66" t="s">
        <v>285</v>
      </c>
    </row>
    <row r="67" spans="1:3" x14ac:dyDescent="0.25">
      <c r="A67" t="s">
        <v>363</v>
      </c>
      <c r="B67" t="s">
        <v>364</v>
      </c>
      <c r="C67" t="s">
        <v>364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18" workbookViewId="0">
      <selection activeCell="C129" sqref="C129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9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9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9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489</v>
      </c>
      <c r="B140" s="12" t="s">
        <v>493</v>
      </c>
    </row>
    <row r="141" spans="1:4" x14ac:dyDescent="0.25">
      <c r="A141" s="89" t="s">
        <v>499</v>
      </c>
      <c r="B141" s="89" t="s">
        <v>181</v>
      </c>
    </row>
    <row r="142" spans="1:4" x14ac:dyDescent="0.25">
      <c r="A142" s="89" t="s">
        <v>500</v>
      </c>
      <c r="B142" s="89" t="s">
        <v>490</v>
      </c>
    </row>
    <row r="143" spans="1:4" x14ac:dyDescent="0.25">
      <c r="A143" s="89" t="s">
        <v>501</v>
      </c>
      <c r="B143" s="89" t="s">
        <v>491</v>
      </c>
    </row>
    <row r="144" spans="1:4" x14ac:dyDescent="0.25">
      <c r="A144" s="89" t="s">
        <v>502</v>
      </c>
      <c r="B144" s="89" t="s">
        <v>590</v>
      </c>
    </row>
    <row r="145" spans="1:5" x14ac:dyDescent="0.25">
      <c r="A145" s="89" t="s">
        <v>503</v>
      </c>
      <c r="B145" s="89" t="s">
        <v>492</v>
      </c>
    </row>
    <row r="146" spans="1:5" x14ac:dyDescent="0.25">
      <c r="A146" s="89" t="s">
        <v>525</v>
      </c>
      <c r="B146" s="89" t="s">
        <v>497</v>
      </c>
      <c r="E146" s="123"/>
    </row>
    <row r="147" spans="1:5" s="89" customFormat="1" x14ac:dyDescent="0.25">
      <c r="A147" s="89" t="s">
        <v>524</v>
      </c>
      <c r="B147" s="89" t="s">
        <v>496</v>
      </c>
      <c r="E147" s="123"/>
    </row>
    <row r="148" spans="1:5" x14ac:dyDescent="0.25">
      <c r="A148" s="89" t="s">
        <v>504</v>
      </c>
      <c r="B148" s="89" t="s">
        <v>166</v>
      </c>
    </row>
    <row r="149" spans="1:5" x14ac:dyDescent="0.25">
      <c r="A149" s="89" t="s">
        <v>505</v>
      </c>
      <c r="B149" s="89" t="s">
        <v>167</v>
      </c>
    </row>
    <row r="150" spans="1:5" x14ac:dyDescent="0.25">
      <c r="A150" s="89" t="s">
        <v>506</v>
      </c>
      <c r="B150" s="89" t="s">
        <v>151</v>
      </c>
    </row>
    <row r="151" spans="1:5" x14ac:dyDescent="0.25">
      <c r="A151" s="89" t="s">
        <v>507</v>
      </c>
      <c r="B151" s="89" t="s">
        <v>151</v>
      </c>
    </row>
    <row r="152" spans="1:5" x14ac:dyDescent="0.25">
      <c r="A152" s="89" t="s">
        <v>508</v>
      </c>
      <c r="B152" s="89" t="s">
        <v>151</v>
      </c>
    </row>
    <row r="153" spans="1:5" x14ac:dyDescent="0.25">
      <c r="A153" s="89" t="s">
        <v>509</v>
      </c>
      <c r="B153" s="89" t="s">
        <v>151</v>
      </c>
    </row>
    <row r="154" spans="1:5" x14ac:dyDescent="0.25">
      <c r="A154" s="89" t="s">
        <v>542</v>
      </c>
      <c r="B154" s="89" t="s">
        <v>151</v>
      </c>
    </row>
    <row r="155" spans="1:5" x14ac:dyDescent="0.25">
      <c r="A155" s="89" t="s">
        <v>510</v>
      </c>
      <c r="B155" s="89" t="s">
        <v>151</v>
      </c>
    </row>
    <row r="156" spans="1:5" x14ac:dyDescent="0.25">
      <c r="A156" s="89" t="s">
        <v>511</v>
      </c>
      <c r="B156" s="89" t="s">
        <v>151</v>
      </c>
    </row>
    <row r="157" spans="1:5" x14ac:dyDescent="0.25">
      <c r="A157" s="89" t="s">
        <v>512</v>
      </c>
      <c r="B157" s="89" t="s">
        <v>151</v>
      </c>
    </row>
    <row r="158" spans="1:5" x14ac:dyDescent="0.25">
      <c r="A158" s="89" t="s">
        <v>513</v>
      </c>
      <c r="B158" s="89" t="s">
        <v>151</v>
      </c>
    </row>
    <row r="159" spans="1:5" x14ac:dyDescent="0.25">
      <c r="A159" s="89" t="s">
        <v>514</v>
      </c>
      <c r="B159" s="89" t="s">
        <v>494</v>
      </c>
    </row>
    <row r="160" spans="1:5" x14ac:dyDescent="0.25">
      <c r="A160" s="89" t="s">
        <v>515</v>
      </c>
      <c r="B160" s="89" t="s">
        <v>494</v>
      </c>
    </row>
    <row r="161" spans="1:2" x14ac:dyDescent="0.25">
      <c r="A161" s="89" t="s">
        <v>516</v>
      </c>
      <c r="B161" s="89" t="s">
        <v>494</v>
      </c>
    </row>
    <row r="162" spans="1:2" x14ac:dyDescent="0.25">
      <c r="A162" s="89" t="s">
        <v>517</v>
      </c>
      <c r="B162" s="89" t="s">
        <v>152</v>
      </c>
    </row>
    <row r="163" spans="1:2" x14ac:dyDescent="0.25">
      <c r="A163" s="89" t="s">
        <v>518</v>
      </c>
      <c r="B163" s="89" t="s">
        <v>152</v>
      </c>
    </row>
    <row r="164" spans="1:2" x14ac:dyDescent="0.25">
      <c r="A164" s="89" t="s">
        <v>519</v>
      </c>
      <c r="B164" s="89" t="s">
        <v>152</v>
      </c>
    </row>
    <row r="165" spans="1:2" x14ac:dyDescent="0.25">
      <c r="A165" s="89" t="s">
        <v>520</v>
      </c>
      <c r="B165" s="89" t="s">
        <v>152</v>
      </c>
    </row>
    <row r="166" spans="1:2" x14ac:dyDescent="0.25">
      <c r="A166" s="89" t="s">
        <v>521</v>
      </c>
      <c r="B166" s="89" t="s">
        <v>495</v>
      </c>
    </row>
    <row r="167" spans="1:2" x14ac:dyDescent="0.25">
      <c r="A167" s="89" t="s">
        <v>522</v>
      </c>
      <c r="B167" s="89" t="s">
        <v>495</v>
      </c>
    </row>
    <row r="168" spans="1:2" x14ac:dyDescent="0.25">
      <c r="A168" s="89" t="s">
        <v>523</v>
      </c>
      <c r="B168" s="89" t="s">
        <v>495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9"/>
      <c r="E2" s="15"/>
    </row>
    <row r="3" spans="1:5" x14ac:dyDescent="0.25">
      <c r="A3" s="17"/>
      <c r="E3" s="89"/>
    </row>
    <row r="4" spans="1:5" x14ac:dyDescent="0.25">
      <c r="A4" s="89"/>
      <c r="E4" s="15"/>
    </row>
    <row r="5" spans="1:5" x14ac:dyDescent="0.25">
      <c r="A5" s="89"/>
      <c r="E5" s="15"/>
    </row>
    <row r="6" spans="1:5" x14ac:dyDescent="0.25">
      <c r="A6" s="89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9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Michael Dye</cp:lastModifiedBy>
  <cp:lastPrinted>2018-12-19T10:07:32Z</cp:lastPrinted>
  <dcterms:created xsi:type="dcterms:W3CDTF">2015-10-06T11:08:55Z</dcterms:created>
  <dcterms:modified xsi:type="dcterms:W3CDTF">2019-05-17T13:17:38Z</dcterms:modified>
</cp:coreProperties>
</file>