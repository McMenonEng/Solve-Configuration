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231" codeName="{4470D2CD-2249-CD33-4A35-6F278624656F}"/>
  <workbookPr codeName="ThisWorkbook" defaultThemeVersion="124226"/>
  <mc:AlternateContent xmlns:mc="http://schemas.openxmlformats.org/markup-compatibility/2006">
    <mc:Choice Requires="x15">
      <x15ac:absPath xmlns:x15ac="http://schemas.microsoft.com/office/spreadsheetml/2010/11/ac" url="D:\Dyetech Data\McMenon\WinForms\Solve\Configuration Data\TempThermowell\Source docs\"/>
    </mc:Choice>
  </mc:AlternateContent>
  <xr:revisionPtr revIDLastSave="0" documentId="13_ncr:1_{D28D0622-88E6-4F3D-970A-E76327A9431D}" xr6:coauthVersionLast="45" xr6:coauthVersionMax="45" xr10:uidLastSave="{00000000-0000-0000-0000-000000000000}"/>
  <bookViews>
    <workbookView xWindow="28950" yWindow="180" windowWidth="27165" windowHeight="15375" xr2:uid="{00000000-000D-0000-FFFF-FFFF00000000}"/>
  </bookViews>
  <sheets>
    <sheet name="Front Page" sheetId="15" r:id="rId1"/>
    <sheet name="Data Entry" sheetId="3" r:id="rId2"/>
    <sheet name="Conversions" sheetId="16" r:id="rId3"/>
    <sheet name="Materials" sheetId="4" r:id="rId4"/>
    <sheet name="TWLimits" sheetId="1" r:id="rId5"/>
    <sheet name="Report Template" sheetId="17" r:id="rId6"/>
    <sheet name="GA Drawings" sheetId="18" r:id="rId7"/>
  </sheets>
  <functionGroups builtInGroupCount="19"/>
  <definedNames>
    <definedName name="DENSITY_TOKM3">Conversions!$A$32:$B$34</definedName>
    <definedName name="DENSITY_UNITS">Conversions!$A$32:$A$34</definedName>
    <definedName name="GA_DRAWINGS_ON">'Front Page'!$E$19</definedName>
    <definedName name="GADrawingLookup">'GA Drawings'!$A$2:$N$22</definedName>
    <definedName name="LENGTH_TOM">Conversions!$A$62:$B$66</definedName>
    <definedName name="LENGTH_UNITS">Conversions!$A$62:$A$66</definedName>
    <definedName name="Material">Materials!$B$4:$B$21</definedName>
    <definedName name="Material_Interpolation">Materials!$B$29:$P$46</definedName>
    <definedName name="Material_Lookup">Materials!$B$4:$I$21</definedName>
    <definedName name="MoE_Offset_Root">Materials!$A$28</definedName>
    <definedName name="MoE_TempC_Range">Materials!$B$29:$B$46</definedName>
    <definedName name="MS_Offset_Root">Materials!$A$52</definedName>
    <definedName name="MS_TempC_Range">Materials!$B$53:$B$80</definedName>
    <definedName name="OUTPUT_UNITS">'Front Page'!$E$18</definedName>
    <definedName name="PRESS_TOPA">Conversions!$A$5:$G$28</definedName>
    <definedName name="PRESSURE_G">Conversions!$A$17:$A$28</definedName>
    <definedName name="PRESSURE_UNITS">Conversions!$A$5:$A$28</definedName>
    <definedName name="_xlnm.Print_Area" localSheetId="0">'Front Page'!$A$1:$H$28</definedName>
    <definedName name="_xlnm.Print_Area" localSheetId="5">'Report Template'!$B$2:$E$63,'Report Template'!$H$2:$K$63</definedName>
    <definedName name="REPORT_ABB_REFERENCE">'Report Template'!$C$8</definedName>
    <definedName name="REPORT_CLIENT">'Report Template'!$C$5</definedName>
    <definedName name="REPORT_CLIENT_REFERENCE">'Report Template'!$C$6</definedName>
    <definedName name="REPORT_DATE">'Report Template'!$E$11</definedName>
    <definedName name="REPORT_INPUT_BOREDIA">'Report Template'!$C$30</definedName>
    <definedName name="REPORT_INPUT_BOREDIA_UNITS">'Report Template'!$D$30</definedName>
    <definedName name="REPORT_INPUT_DENSITY">'Report Template'!$C$21</definedName>
    <definedName name="REPORT_INPUT_DENSITY_UNITS">'Report Template'!$D$21</definedName>
    <definedName name="REPORT_INPUT_DIAP3">'Report Template'!$C$37</definedName>
    <definedName name="REPORT_INPUT_DIAP3_UNITS">'Report Template'!$D$37</definedName>
    <definedName name="REPORT_INPUT_EXTERNAL_LENGTH">'Report Template'!$C$36</definedName>
    <definedName name="REPORT_INPUT_EXTERNAL_LENGTH_UNITS">'Report Template'!$D$36</definedName>
    <definedName name="REPORT_INPUT_FILLETRADIUS">'Report Template'!$C$31</definedName>
    <definedName name="REPORT_INPUT_FILLETRADIUS_STEP">'Report Template'!$C$34</definedName>
    <definedName name="REPORT_INPUT_FILLETRADIUS_STEP_UNITS">'Report Template'!$D$34</definedName>
    <definedName name="REPORT_INPUT_FILLETRADIUS_UNITS">'Report Template'!$D$31</definedName>
    <definedName name="REPORT_INPUT_FLUID">'Report Template'!$C$17</definedName>
    <definedName name="REPORT_INPUT_MATERIAL">'Report Template'!$C$40</definedName>
    <definedName name="REPORT_INPUT_MATERIAL_DENSITY">'Report Template'!$C$41</definedName>
    <definedName name="REPORT_INPUT_MATERIAL_MAXSTRESS">'Report Template'!$C$44</definedName>
    <definedName name="REPORT_INPUT_MATERIAL_MAXSTRESS_UNITS">'Report Template'!$D$44</definedName>
    <definedName name="REPORT_INPUT_MATERIAL_MODE">'Report Template'!$C$42</definedName>
    <definedName name="REPORT_INPUT_MATERIAL_MODE_REF">'Report Template'!$C$43</definedName>
    <definedName name="REPORT_INPUT_MATERIAL_MODE_REF_UNITS">'Report Template'!$D$43</definedName>
    <definedName name="REPORT_INPUT_MATERIAL_MODE_UNITS">'Report Template'!$D$42</definedName>
    <definedName name="REPORT_INPUT_MATERIAL_STRESS">'Report Template'!#REF!</definedName>
    <definedName name="REPORT_INPUT_MATERIAL_STRESS_UNITS">'Report Template'!#REF!</definedName>
    <definedName name="REPORT_INPUT_MINWALLTHICK">'Report Template'!$C$33</definedName>
    <definedName name="REPORT_INPUT_MINWALLTHICK_UNITS">'Report Template'!$D$33</definedName>
    <definedName name="REPORT_INPUT_PRESSURE">'Report Template'!$C$18</definedName>
    <definedName name="REPORT_INPUT_PRESSURE_UNITS">'Report Template'!$D$18</definedName>
    <definedName name="REPORT_INPUT_ROOTDIA">'Report Template'!$C$28</definedName>
    <definedName name="REPORT_INPUT_ROOTDIA_UNITS">'Report Template'!$D$28</definedName>
    <definedName name="REPORT_INPUT_TEMPERATURE">'Report Template'!$C$19</definedName>
    <definedName name="REPORT_INPUT_TEMPERATURE_UNITS">'Report Template'!$D$19</definedName>
    <definedName name="REPORT_INPUT_TIPDIA">'Report Template'!$C$29</definedName>
    <definedName name="REPORT_INPUT_TIPDIA_UNITS">'Report Template'!$D$29</definedName>
    <definedName name="REPORT_INPUT_TYPE">'Report Template'!$C$27</definedName>
    <definedName name="REPORT_INPUT_TYPE2">'Report Template'!$I$7</definedName>
    <definedName name="REPORT_INPUT_UNSUPPORTEDLEN">'Report Template'!$C$32</definedName>
    <definedName name="REPORT_INPUT_UNSUPPORTEDLEN_STEP">'Report Template'!$C$35</definedName>
    <definedName name="REPORT_INPUT_UNSUPPORTEDLEN_STEP_UNITS">'Report Template'!$D$35</definedName>
    <definedName name="REPORT_INPUT_UNSUPPORTEDLEN_UNITS">'Report Template'!$D$32</definedName>
    <definedName name="REPORT_INPUT_VELOCITY">'Report Template'!$C$20</definedName>
    <definedName name="REPORT_INPUT_VELOCITY_UNITS">'Report Template'!$D$20</definedName>
    <definedName name="REPORT_INPUT_VISCOSITY">'Report Template'!$C$22</definedName>
    <definedName name="REPORT_INPUT_VISCOSITY_UNITS">'Report Template'!$D$22</definedName>
    <definedName name="REPORT_ISSUE">'Report Template'!$E$10</definedName>
    <definedName name="REPORT_ITEM_NUMBER">'Report Template'!$C$10</definedName>
    <definedName name="REPORT_OUTPUT_COMMENTS">'Report Template'!$B$61</definedName>
    <definedName name="REPORT_OUTPUT_FATIQUESTRESS">'Report Template'!$C$52</definedName>
    <definedName name="REPORT_OUTPUT_FATIQUESTRESS_UNITS">'Report Template'!$D$52</definedName>
    <definedName name="REPORT_OUTPUT_FREQRATIO">'Report Template'!$C$50</definedName>
    <definedName name="REPORT_OUTPUT_FREQRATIO_LIMIT">'Report Template'!$C$51</definedName>
    <definedName name="REPORT_OUTPUT_NATFREQ">'Report Template'!$C$48</definedName>
    <definedName name="REPORT_OUTPUT_PASSFAIL">'Report Template'!$C$56</definedName>
    <definedName name="REPORT_OUTPUT_PRESSLIMIT">'Report Template'!$C$54</definedName>
    <definedName name="REPORT_OUTPUT_PRESSURE_UNITS">'Report Template'!$D$54</definedName>
    <definedName name="REPORT_OUTPUT_REYNOLDS">'Report Template'!$C$23</definedName>
    <definedName name="REPORT_OUTPUT_SAFETYPRESSRATIO">'Report Template'!#REF!</definedName>
    <definedName name="REPORT_OUTPUT_STEADYSTRESS">'Report Template'!$C$53</definedName>
    <definedName name="REPORT_OUTPUT_STEADYSTRESS_UNITS">'Report Template'!$D$53</definedName>
    <definedName name="REPORT_OUTPUT_STROUL">'Report Template'!$C$24</definedName>
    <definedName name="REPORT_OUTPUT_WAKEFREQ">'Report Template'!$C$49</definedName>
    <definedName name="REPORT_PROJECT_REFERENCE">'Report Template'!$C$7</definedName>
    <definedName name="REPORT_QUOTE_REFERENCE">'Report Template'!$C$9</definedName>
    <definedName name="REPORT_STEP_ITEMS">'Report Template'!$B$34:$E$35</definedName>
    <definedName name="REPORT_TAG_NUMBER">'Report Template'!$C$11</definedName>
    <definedName name="solver_eng" localSheetId="1" hidden="1">1</definedName>
    <definedName name="solver_neg" localSheetId="1" hidden="1">1</definedName>
    <definedName name="solver_num" localSheetId="1" hidden="1">0</definedName>
    <definedName name="solver_opt" localSheetId="1" hidden="1">'Data Entry'!$BJ$4</definedName>
    <definedName name="solver_typ" localSheetId="1" hidden="1">1</definedName>
    <definedName name="solver_val" localSheetId="1" hidden="1">0</definedName>
    <definedName name="solver_ver" localSheetId="1" hidden="1">3</definedName>
    <definedName name="SS_DATE">'Front Page'!$F$6</definedName>
    <definedName name="SS_VERSION">'Front Page'!$G$6</definedName>
    <definedName name="TEMPERATURE_UNITS">Conversions!$A$74:$A$77</definedName>
    <definedName name="TWL_ComplianceEtc">TWLimits!$A$43:$D$49</definedName>
    <definedName name="TWL_Correction_Factor">TWLimits!$A$37:$B$39</definedName>
    <definedName name="TWL_Sf_A">TWLimits!$B$55:$C$57</definedName>
    <definedName name="TWL_Sf_B">TWLimits!$B$59:$C$61</definedName>
    <definedName name="Type1">TWLimits!$A$37:$A$39</definedName>
    <definedName name="Type2">TWLimits!$A$43:$A$49</definedName>
    <definedName name="VELOCITIES">Conversions!$A$69:$A$71</definedName>
    <definedName name="VELOCITY_UNITS">Conversions!$A$69:$B$71</definedName>
    <definedName name="VISCOSITY_TOPAS">Conversions!$A$38:$B$43</definedName>
    <definedName name="VISCOSITY_UNITS">Conversions!$A$38:$A$43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H13" i="3" l="1"/>
  <c r="FG13" i="3"/>
  <c r="FC13" i="3"/>
  <c r="FB13" i="3"/>
  <c r="EO13" i="3"/>
  <c r="DZ13" i="3"/>
  <c r="FD13" i="3" s="1"/>
  <c r="DR13" i="3"/>
  <c r="DQ13" i="3"/>
  <c r="DF13" i="3"/>
  <c r="CH13" i="3"/>
  <c r="DK13" i="3" s="1"/>
  <c r="DP13" i="3" s="1"/>
  <c r="BD13" i="3"/>
  <c r="BC13" i="3"/>
  <c r="BB13" i="3"/>
  <c r="AU13" i="3"/>
  <c r="AT13" i="3"/>
  <c r="DT13" i="3" s="1"/>
  <c r="AS13" i="3"/>
  <c r="AR13" i="3"/>
  <c r="CW13" i="3" s="1"/>
  <c r="AP13" i="3"/>
  <c r="AO13" i="3"/>
  <c r="AN13" i="3"/>
  <c r="AM13" i="3"/>
  <c r="AL13" i="3"/>
  <c r="AK13" i="3"/>
  <c r="AJ13" i="3"/>
  <c r="AI13" i="3"/>
  <c r="AH13" i="3"/>
  <c r="AG13" i="3"/>
  <c r="CT13" i="3" s="1"/>
  <c r="AF13" i="3"/>
  <c r="CI13" i="3" s="1"/>
  <c r="AE13" i="3"/>
  <c r="AD13" i="3"/>
  <c r="AC13" i="3"/>
  <c r="FH12" i="3"/>
  <c r="FG12" i="3"/>
  <c r="FC12" i="3"/>
  <c r="FB12" i="3"/>
  <c r="EO12" i="3"/>
  <c r="EN12" i="3"/>
  <c r="EK12" i="3"/>
  <c r="ED12" i="3"/>
  <c r="DR12" i="3"/>
  <c r="DQ12" i="3"/>
  <c r="DF12" i="3"/>
  <c r="CW12" i="3"/>
  <c r="CI12" i="3"/>
  <c r="BD12" i="3"/>
  <c r="CP12" i="3" s="1"/>
  <c r="BC12" i="3"/>
  <c r="BB12" i="3"/>
  <c r="AU12" i="3"/>
  <c r="AW12" i="3" s="1"/>
  <c r="AT12" i="3"/>
  <c r="DT12" i="3" s="1"/>
  <c r="AS12" i="3"/>
  <c r="AR12" i="3"/>
  <c r="AP12" i="3"/>
  <c r="CY12" i="3" s="1"/>
  <c r="AO12" i="3"/>
  <c r="AN12" i="3"/>
  <c r="AM12" i="3"/>
  <c r="AL12" i="3"/>
  <c r="AK12" i="3"/>
  <c r="AJ12" i="3"/>
  <c r="AI12" i="3"/>
  <c r="AH12" i="3"/>
  <c r="DZ12" i="3" s="1"/>
  <c r="FD12" i="3" s="1"/>
  <c r="AG12" i="3"/>
  <c r="CM12" i="3" s="1"/>
  <c r="CO12" i="3" s="1"/>
  <c r="AF12" i="3"/>
  <c r="AE12" i="3"/>
  <c r="EW12" i="3" s="1"/>
  <c r="AD12" i="3"/>
  <c r="AC12" i="3"/>
  <c r="FH11" i="3"/>
  <c r="FG11" i="3"/>
  <c r="FD11" i="3"/>
  <c r="FC11" i="3"/>
  <c r="FB11" i="3"/>
  <c r="EO11" i="3"/>
  <c r="EL11" i="3"/>
  <c r="EK11" i="3"/>
  <c r="EB11" i="3"/>
  <c r="DZ11" i="3"/>
  <c r="DR11" i="3"/>
  <c r="DQ11" i="3"/>
  <c r="DF11" i="3"/>
  <c r="CR11" i="3"/>
  <c r="CM11" i="3"/>
  <c r="CO11" i="3" s="1"/>
  <c r="BD11" i="3"/>
  <c r="CY11" i="3" s="1"/>
  <c r="BC11" i="3"/>
  <c r="BB11" i="3"/>
  <c r="AW11" i="3"/>
  <c r="AV11" i="3"/>
  <c r="AU11" i="3"/>
  <c r="AT11" i="3"/>
  <c r="DT11" i="3" s="1"/>
  <c r="AS11" i="3"/>
  <c r="AR11" i="3"/>
  <c r="CW11" i="3" s="1"/>
  <c r="AP11" i="3"/>
  <c r="AO11" i="3"/>
  <c r="AN11" i="3"/>
  <c r="AM11" i="3"/>
  <c r="DN11" i="3" s="1"/>
  <c r="AL11" i="3"/>
  <c r="AK11" i="3"/>
  <c r="AJ11" i="3"/>
  <c r="AI11" i="3"/>
  <c r="DA11" i="3" s="1"/>
  <c r="AH11" i="3"/>
  <c r="CU11" i="3" s="1"/>
  <c r="AG11" i="3"/>
  <c r="DB11" i="3" s="1"/>
  <c r="AF11" i="3"/>
  <c r="CI11" i="3" s="1"/>
  <c r="BG11" i="3" s="1"/>
  <c r="AE11" i="3"/>
  <c r="AD11" i="3"/>
  <c r="AC11" i="3"/>
  <c r="ED11" i="3" s="1"/>
  <c r="FH10" i="3"/>
  <c r="FG10" i="3"/>
  <c r="FD10" i="3"/>
  <c r="FC10" i="3"/>
  <c r="FB10" i="3"/>
  <c r="EP10" i="3"/>
  <c r="EQ10" i="3" s="1"/>
  <c r="EO10" i="3"/>
  <c r="EM10" i="3"/>
  <c r="EL10" i="3"/>
  <c r="EK10" i="3"/>
  <c r="EB10" i="3"/>
  <c r="DT10" i="3"/>
  <c r="DR10" i="3"/>
  <c r="DQ10" i="3"/>
  <c r="DF10" i="3"/>
  <c r="CW10" i="3"/>
  <c r="CH10" i="3"/>
  <c r="DI10" i="3" s="1"/>
  <c r="DJ10" i="3" s="1"/>
  <c r="BD10" i="3"/>
  <c r="BB10" i="3"/>
  <c r="BC10" i="3" s="1"/>
  <c r="AW10" i="3"/>
  <c r="AV10" i="3"/>
  <c r="AU10" i="3"/>
  <c r="AT10" i="3"/>
  <c r="AS10" i="3"/>
  <c r="AR10" i="3"/>
  <c r="AP10" i="3"/>
  <c r="AO10" i="3"/>
  <c r="AN10" i="3"/>
  <c r="DO10" i="3" s="1"/>
  <c r="AM10" i="3"/>
  <c r="AL10" i="3"/>
  <c r="DN10" i="3" s="1"/>
  <c r="AK10" i="3"/>
  <c r="AJ10" i="3"/>
  <c r="DZ10" i="3" s="1"/>
  <c r="AI10" i="3"/>
  <c r="AH10" i="3"/>
  <c r="AG10" i="3"/>
  <c r="CS10" i="3" s="1"/>
  <c r="AF10" i="3"/>
  <c r="CI10" i="3" s="1"/>
  <c r="BG10" i="3" s="1"/>
  <c r="AE10" i="3"/>
  <c r="AD10" i="3"/>
  <c r="AC10" i="3"/>
  <c r="ED10" i="3" s="1"/>
  <c r="FH9" i="3"/>
  <c r="FG9" i="3"/>
  <c r="FC9" i="3"/>
  <c r="FB9" i="3"/>
  <c r="EW9" i="3"/>
  <c r="EO9" i="3"/>
  <c r="EN9" i="3"/>
  <c r="ED9" i="3"/>
  <c r="DT9" i="3"/>
  <c r="DR9" i="3"/>
  <c r="DQ9" i="3"/>
  <c r="DM9" i="3"/>
  <c r="DF9" i="3"/>
  <c r="CX9" i="3"/>
  <c r="CU9" i="3"/>
  <c r="CT9" i="3"/>
  <c r="BD9" i="3"/>
  <c r="BC9" i="3"/>
  <c r="BB9" i="3"/>
  <c r="AW9" i="3"/>
  <c r="AV9" i="3"/>
  <c r="AU9" i="3"/>
  <c r="AT9" i="3"/>
  <c r="AS9" i="3"/>
  <c r="AR9" i="3"/>
  <c r="CW9" i="3" s="1"/>
  <c r="AP9" i="3"/>
  <c r="AO9" i="3"/>
  <c r="AN9" i="3"/>
  <c r="AM9" i="3"/>
  <c r="AL9" i="3"/>
  <c r="DN9" i="3" s="1"/>
  <c r="AK9" i="3"/>
  <c r="AJ9" i="3"/>
  <c r="AI9" i="3"/>
  <c r="AH9" i="3"/>
  <c r="AG9" i="3"/>
  <c r="AF9" i="3"/>
  <c r="CI9" i="3" s="1"/>
  <c r="BG9" i="3" s="1"/>
  <c r="AE9" i="3"/>
  <c r="EX9" i="3" s="1"/>
  <c r="AD9" i="3"/>
  <c r="AC9" i="3"/>
  <c r="EM9" i="3" s="1"/>
  <c r="FH8" i="3"/>
  <c r="FG8" i="3"/>
  <c r="FC8" i="3"/>
  <c r="FB8" i="3"/>
  <c r="EX8" i="3"/>
  <c r="EO8" i="3"/>
  <c r="EP8" i="3" s="1"/>
  <c r="EM8" i="3"/>
  <c r="EK8" i="3"/>
  <c r="EB8" i="3"/>
  <c r="DT8" i="3"/>
  <c r="DR8" i="3"/>
  <c r="DQ8" i="3"/>
  <c r="DN8" i="3"/>
  <c r="DL8" i="3"/>
  <c r="DF8" i="3"/>
  <c r="DB8" i="3"/>
  <c r="CU8" i="3"/>
  <c r="CM8" i="3"/>
  <c r="CO8" i="3" s="1"/>
  <c r="BD8" i="3"/>
  <c r="CP8" i="3" s="1"/>
  <c r="BB8" i="3"/>
  <c r="BC8" i="3" s="1"/>
  <c r="AW8" i="3"/>
  <c r="AU8" i="3"/>
  <c r="AV8" i="3" s="1"/>
  <c r="AT8" i="3"/>
  <c r="AS8" i="3"/>
  <c r="AR8" i="3"/>
  <c r="CW8" i="3" s="1"/>
  <c r="AP8" i="3"/>
  <c r="AO8" i="3"/>
  <c r="AN8" i="3"/>
  <c r="DO8" i="3" s="1"/>
  <c r="AM8" i="3"/>
  <c r="AL8" i="3"/>
  <c r="DM8" i="3" s="1"/>
  <c r="AK8" i="3"/>
  <c r="AJ8" i="3"/>
  <c r="AI8" i="3"/>
  <c r="AH8" i="3"/>
  <c r="CS8" i="3" s="1"/>
  <c r="AG8" i="3"/>
  <c r="ED8" i="3" s="1"/>
  <c r="AF8" i="3"/>
  <c r="CI8" i="3" s="1"/>
  <c r="BG8" i="3" s="1"/>
  <c r="AE8" i="3"/>
  <c r="AD8" i="3"/>
  <c r="EW8" i="3" s="1"/>
  <c r="AC8" i="3"/>
  <c r="FH7" i="3"/>
  <c r="FG7" i="3"/>
  <c r="FC7" i="3"/>
  <c r="FB7" i="3"/>
  <c r="EX7" i="3"/>
  <c r="EW7" i="3"/>
  <c r="EO7" i="3"/>
  <c r="EP7" i="3" s="1"/>
  <c r="EN7" i="3"/>
  <c r="EE7" i="3"/>
  <c r="DT7" i="3"/>
  <c r="DR7" i="3"/>
  <c r="DQ7" i="3"/>
  <c r="DN7" i="3"/>
  <c r="DF7" i="3"/>
  <c r="CT7" i="3"/>
  <c r="BD7" i="3"/>
  <c r="BB7" i="3"/>
  <c r="BC7" i="3" s="1"/>
  <c r="AW7" i="3"/>
  <c r="AV7" i="3"/>
  <c r="AU7" i="3"/>
  <c r="AT7" i="3"/>
  <c r="AS7" i="3"/>
  <c r="AR7" i="3"/>
  <c r="CW7" i="3" s="1"/>
  <c r="AP7" i="3"/>
  <c r="AO7" i="3"/>
  <c r="AN7" i="3"/>
  <c r="DO7" i="3" s="1"/>
  <c r="AM7" i="3"/>
  <c r="AL7" i="3"/>
  <c r="AK7" i="3"/>
  <c r="AJ7" i="3"/>
  <c r="AI7" i="3"/>
  <c r="AH7" i="3"/>
  <c r="AG7" i="3"/>
  <c r="DB7" i="3" s="1"/>
  <c r="AF7" i="3"/>
  <c r="CI7" i="3" s="1"/>
  <c r="BG7" i="3" s="1"/>
  <c r="AE7" i="3"/>
  <c r="AD7" i="3"/>
  <c r="AC7" i="3"/>
  <c r="EM7" i="3" s="1"/>
  <c r="FH6" i="3"/>
  <c r="FG6" i="3"/>
  <c r="FC6" i="3"/>
  <c r="FB6" i="3"/>
  <c r="EO6" i="3"/>
  <c r="DZ6" i="3"/>
  <c r="FD6" i="3" s="1"/>
  <c r="DR6" i="3"/>
  <c r="DQ6" i="3"/>
  <c r="DF6" i="3"/>
  <c r="CX6" i="3"/>
  <c r="CI6" i="3"/>
  <c r="BG6" i="3" s="1"/>
  <c r="BD6" i="3"/>
  <c r="DD6" i="3" s="1"/>
  <c r="DE6" i="3" s="1"/>
  <c r="DG6" i="3" s="1"/>
  <c r="BC6" i="3"/>
  <c r="BB6" i="3"/>
  <c r="AU6" i="3"/>
  <c r="AW6" i="3" s="1"/>
  <c r="AT6" i="3"/>
  <c r="DT6" i="3" s="1"/>
  <c r="AS6" i="3"/>
  <c r="AR6" i="3"/>
  <c r="CW6" i="3" s="1"/>
  <c r="AP6" i="3"/>
  <c r="AO6" i="3"/>
  <c r="AN6" i="3"/>
  <c r="AM6" i="3"/>
  <c r="AL6" i="3"/>
  <c r="DN6" i="3" s="1"/>
  <c r="AK6" i="3"/>
  <c r="AJ6" i="3"/>
  <c r="AI6" i="3"/>
  <c r="AH6" i="3"/>
  <c r="CU6" i="3" s="1"/>
  <c r="AG6" i="3"/>
  <c r="CM6" i="3" s="1"/>
  <c r="CO6" i="3" s="1"/>
  <c r="AF6" i="3"/>
  <c r="AE6" i="3"/>
  <c r="AD6" i="3"/>
  <c r="EE6" i="3" s="1"/>
  <c r="AC6" i="3"/>
  <c r="FH5" i="3"/>
  <c r="FG5" i="3"/>
  <c r="FC5" i="3"/>
  <c r="FB5" i="3"/>
  <c r="EO5" i="3"/>
  <c r="EK5" i="3"/>
  <c r="ED5" i="3"/>
  <c r="DZ5" i="3"/>
  <c r="DR5" i="3"/>
  <c r="DQ5" i="3"/>
  <c r="DF5" i="3"/>
  <c r="CY5" i="3"/>
  <c r="CM5" i="3"/>
  <c r="CO5" i="3" s="1"/>
  <c r="CI5" i="3"/>
  <c r="BD5" i="3"/>
  <c r="BB5" i="3"/>
  <c r="BC5" i="3" s="1"/>
  <c r="AU5" i="3"/>
  <c r="AT5" i="3"/>
  <c r="DT5" i="3" s="1"/>
  <c r="AS5" i="3"/>
  <c r="AR5" i="3"/>
  <c r="CW5" i="3" s="1"/>
  <c r="AP5" i="3"/>
  <c r="AO5" i="3"/>
  <c r="AN5" i="3"/>
  <c r="AM5" i="3"/>
  <c r="AL5" i="3"/>
  <c r="AK5" i="3"/>
  <c r="AJ5" i="3"/>
  <c r="AI5" i="3"/>
  <c r="AH5" i="3"/>
  <c r="CU5" i="3" s="1"/>
  <c r="AG5" i="3"/>
  <c r="AF5" i="3"/>
  <c r="AE5" i="3"/>
  <c r="AD5" i="3"/>
  <c r="CH5" i="3" s="1"/>
  <c r="DK5" i="3" s="1"/>
  <c r="AC5" i="3"/>
  <c r="EM5" i="3" s="1"/>
  <c r="BD4" i="3"/>
  <c r="BB4" i="3"/>
  <c r="AB11" i="3"/>
  <c r="AY11" i="3"/>
  <c r="AB6" i="3"/>
  <c r="BA6" i="3"/>
  <c r="AY6" i="3"/>
  <c r="AB13" i="3"/>
  <c r="AB9" i="3"/>
  <c r="AB8" i="3"/>
  <c r="AZ12" i="3"/>
  <c r="AB5" i="3"/>
  <c r="AZ5" i="3"/>
  <c r="AY5" i="3"/>
  <c r="AY13" i="3"/>
  <c r="AZ13" i="3"/>
  <c r="AZ11" i="3"/>
  <c r="AB10" i="3"/>
  <c r="AY10" i="3" s="1"/>
  <c r="BA11" i="3"/>
  <c r="AZ9" i="3"/>
  <c r="AZ7" i="3"/>
  <c r="AB12" i="3"/>
  <c r="BA12" i="3" s="1"/>
  <c r="AY12" i="3"/>
  <c r="AZ10" i="3"/>
  <c r="BA8" i="3"/>
  <c r="AZ8" i="3"/>
  <c r="AZ6" i="3"/>
  <c r="AB7" i="3"/>
  <c r="AY9" i="3"/>
  <c r="AZ4" i="3"/>
  <c r="BA13" i="3"/>
  <c r="AY7" i="3"/>
  <c r="BA7" i="3"/>
  <c r="DV5" i="3" l="1"/>
  <c r="DW5" i="3" s="1"/>
  <c r="ER7" i="3"/>
  <c r="EI7" i="3"/>
  <c r="FF7" i="3"/>
  <c r="FE7" i="3"/>
  <c r="DV9" i="3"/>
  <c r="DW9" i="3" s="1"/>
  <c r="DV7" i="3"/>
  <c r="DW7" i="3" s="1"/>
  <c r="DV6" i="3"/>
  <c r="DW6" i="3" s="1"/>
  <c r="DV10" i="3"/>
  <c r="DW10" i="3" s="1"/>
  <c r="DV13" i="3"/>
  <c r="DW13" i="3" s="1"/>
  <c r="EI6" i="3"/>
  <c r="ER6" i="3"/>
  <c r="FF6" i="3"/>
  <c r="FE6" i="3"/>
  <c r="ER11" i="3"/>
  <c r="EI11" i="3"/>
  <c r="FF11" i="3"/>
  <c r="FE11" i="3"/>
  <c r="EI8" i="3"/>
  <c r="ER8" i="3"/>
  <c r="FF8" i="3"/>
  <c r="FE8" i="3"/>
  <c r="DV11" i="3"/>
  <c r="DW11" i="3" s="1"/>
  <c r="DV12" i="3"/>
  <c r="DW12" i="3" s="1"/>
  <c r="CQ12" i="3"/>
  <c r="FE12" i="3"/>
  <c r="FF12" i="3"/>
  <c r="EI12" i="3"/>
  <c r="ER12" i="3"/>
  <c r="FF13" i="3"/>
  <c r="ER13" i="3"/>
  <c r="FE13" i="3"/>
  <c r="EI13" i="3"/>
  <c r="BG5" i="3"/>
  <c r="FD5" i="3"/>
  <c r="EK6" i="3"/>
  <c r="EB6" i="3"/>
  <c r="ED6" i="3"/>
  <c r="EM6" i="3"/>
  <c r="EP6" i="3" s="1"/>
  <c r="EC6" i="3"/>
  <c r="EL6" i="3"/>
  <c r="CP6" i="3"/>
  <c r="CQ6" i="3" s="1"/>
  <c r="DM5" i="3"/>
  <c r="DN5" i="3"/>
  <c r="CR5" i="3"/>
  <c r="DL5" i="3"/>
  <c r="DA5" i="3"/>
  <c r="DP5" i="3"/>
  <c r="DO5" i="3"/>
  <c r="DY5" i="3" s="1"/>
  <c r="EA5" i="3" s="1"/>
  <c r="CP5" i="3"/>
  <c r="CQ5" i="3" s="1"/>
  <c r="DD5" i="3"/>
  <c r="DE5" i="3" s="1"/>
  <c r="DG5" i="3" s="1"/>
  <c r="EP5" i="3"/>
  <c r="AW5" i="3"/>
  <c r="AV5" i="3"/>
  <c r="DB5" i="3"/>
  <c r="DI5" i="3"/>
  <c r="DJ5" i="3" s="1"/>
  <c r="DO6" i="3"/>
  <c r="DK10" i="3"/>
  <c r="CS5" i="3"/>
  <c r="CV5" i="3" s="1"/>
  <c r="EL5" i="3"/>
  <c r="AV6" i="3"/>
  <c r="CR6" i="3"/>
  <c r="EN6" i="3"/>
  <c r="EX6" i="3"/>
  <c r="DZ7" i="3"/>
  <c r="FD7" i="3" s="1"/>
  <c r="CY7" i="3"/>
  <c r="CH7" i="3"/>
  <c r="EK7" i="3"/>
  <c r="EQ7" i="3" s="1"/>
  <c r="CA7" i="3" s="1"/>
  <c r="CH8" i="3"/>
  <c r="CY8" i="3"/>
  <c r="DO9" i="3"/>
  <c r="DP10" i="3"/>
  <c r="DY10" i="3" s="1"/>
  <c r="EA10" i="3" s="1"/>
  <c r="DL10" i="3"/>
  <c r="EC10" i="3"/>
  <c r="ED13" i="3"/>
  <c r="EL13" i="3"/>
  <c r="EB13" i="3"/>
  <c r="EK13" i="3"/>
  <c r="DI13" i="3"/>
  <c r="DJ13" i="3" s="1"/>
  <c r="EC13" i="3"/>
  <c r="EB5" i="3"/>
  <c r="CT5" i="3"/>
  <c r="EC5" i="3"/>
  <c r="CS6" i="3"/>
  <c r="CV6" i="3" s="1"/>
  <c r="DA6" i="3"/>
  <c r="DL6" i="3"/>
  <c r="DL7" i="3"/>
  <c r="DA8" i="3"/>
  <c r="DZ8" i="3"/>
  <c r="FD8" i="3" s="1"/>
  <c r="EN8" i="3"/>
  <c r="DA9" i="3"/>
  <c r="CM9" i="3"/>
  <c r="CR9" i="3" s="1"/>
  <c r="DB9" i="3"/>
  <c r="CH11" i="3"/>
  <c r="DM11" i="3"/>
  <c r="EM12" i="3"/>
  <c r="EP12" i="3" s="1"/>
  <c r="EQ12" i="3" s="1"/>
  <c r="DD12" i="3"/>
  <c r="DE12" i="3" s="1"/>
  <c r="DG12" i="3" s="1"/>
  <c r="DO13" i="3"/>
  <c r="DY13" i="3" s="1"/>
  <c r="EA13" i="3" s="1"/>
  <c r="DN13" i="3"/>
  <c r="DM13" i="3"/>
  <c r="AW13" i="3"/>
  <c r="AV13" i="3"/>
  <c r="DL13" i="3"/>
  <c r="CT12" i="3"/>
  <c r="CS12" i="3"/>
  <c r="EW6" i="3"/>
  <c r="EN5" i="3"/>
  <c r="EW5" i="3"/>
  <c r="CH6" i="3"/>
  <c r="CT6" i="3"/>
  <c r="DB6" i="3"/>
  <c r="DM6" i="3"/>
  <c r="CM7" i="3"/>
  <c r="DM7" i="3"/>
  <c r="CS9" i="3"/>
  <c r="CV9" i="3" s="1"/>
  <c r="DZ9" i="3"/>
  <c r="FD9" i="3" s="1"/>
  <c r="DD9" i="3"/>
  <c r="DE9" i="3" s="1"/>
  <c r="DG9" i="3" s="1"/>
  <c r="EP9" i="3"/>
  <c r="EQ9" i="3" s="1"/>
  <c r="CM10" i="3"/>
  <c r="CO10" i="3" s="1"/>
  <c r="CQ10" i="3" s="1"/>
  <c r="CT10" i="3"/>
  <c r="CX11" i="3"/>
  <c r="EW11" i="3"/>
  <c r="EN11" i="3"/>
  <c r="CH12" i="3"/>
  <c r="DN12" i="3"/>
  <c r="DL12" i="3"/>
  <c r="DA12" i="3"/>
  <c r="BG12" i="3"/>
  <c r="EX13" i="3"/>
  <c r="CY6" i="3"/>
  <c r="CU7" i="3"/>
  <c r="EL7" i="3"/>
  <c r="EB7" i="3"/>
  <c r="DA7" i="3"/>
  <c r="DD8" i="3"/>
  <c r="DE8" i="3" s="1"/>
  <c r="DG8" i="3" s="1"/>
  <c r="EC8" i="3"/>
  <c r="CH9" i="3"/>
  <c r="CU10" i="3"/>
  <c r="CV10" i="3" s="1"/>
  <c r="DO11" i="3"/>
  <c r="EX11" i="3"/>
  <c r="CX12" i="3"/>
  <c r="EX12" i="3"/>
  <c r="EE12" i="3"/>
  <c r="AV12" i="3"/>
  <c r="BG13" i="3"/>
  <c r="CX13" i="3"/>
  <c r="EM13" i="3"/>
  <c r="EE5" i="3"/>
  <c r="EX5" i="3"/>
  <c r="CR7" i="3"/>
  <c r="EC7" i="3"/>
  <c r="CY10" i="3"/>
  <c r="DA10" i="3"/>
  <c r="DO12" i="3"/>
  <c r="CR12" i="3"/>
  <c r="CM13" i="3"/>
  <c r="CY13" i="3" s="1"/>
  <c r="DA13" i="3"/>
  <c r="EP13" i="3"/>
  <c r="EQ13" i="3" s="1"/>
  <c r="CX5" i="3"/>
  <c r="CX7" i="3"/>
  <c r="CS7" i="3"/>
  <c r="CV7" i="3" s="1"/>
  <c r="DD7" i="3"/>
  <c r="DE7" i="3" s="1"/>
  <c r="DG7" i="3" s="1"/>
  <c r="ED7" i="3"/>
  <c r="EL8" i="3"/>
  <c r="EQ8" i="3" s="1"/>
  <c r="CR8" i="3"/>
  <c r="CT8" i="3"/>
  <c r="CV8" i="3" s="1"/>
  <c r="EE8" i="3"/>
  <c r="EF8" i="3" s="1"/>
  <c r="EG8" i="3" s="1"/>
  <c r="BK8" i="3" s="1"/>
  <c r="EL9" i="3"/>
  <c r="EB9" i="3"/>
  <c r="EK9" i="3"/>
  <c r="DL9" i="3"/>
  <c r="EC9" i="3"/>
  <c r="DB10" i="3"/>
  <c r="CS11" i="3"/>
  <c r="EE11" i="3"/>
  <c r="CU12" i="3"/>
  <c r="DM12" i="3"/>
  <c r="CU13" i="3"/>
  <c r="DD13" i="3"/>
  <c r="DE13" i="3" s="1"/>
  <c r="DG13" i="3" s="1"/>
  <c r="DB13" i="3"/>
  <c r="EE9" i="3"/>
  <c r="DD10" i="3"/>
  <c r="DE10" i="3" s="1"/>
  <c r="DG10" i="3" s="1"/>
  <c r="DM10" i="3"/>
  <c r="EN10" i="3"/>
  <c r="EW10" i="3"/>
  <c r="CT11" i="3"/>
  <c r="DL11" i="3"/>
  <c r="EC11" i="3"/>
  <c r="EM11" i="3"/>
  <c r="EP11" i="3" s="1"/>
  <c r="EQ11" i="3" s="1"/>
  <c r="EB12" i="3"/>
  <c r="EL12" i="3"/>
  <c r="CR13" i="3"/>
  <c r="CX8" i="3"/>
  <c r="EE10" i="3"/>
  <c r="EX10" i="3"/>
  <c r="DD11" i="3"/>
  <c r="DE11" i="3" s="1"/>
  <c r="DG11" i="3" s="1"/>
  <c r="DB12" i="3"/>
  <c r="EC12" i="3"/>
  <c r="CS13" i="3"/>
  <c r="CP10" i="3"/>
  <c r="CX10" i="3"/>
  <c r="EN13" i="3"/>
  <c r="EW13" i="3"/>
  <c r="CP11" i="3"/>
  <c r="CQ11" i="3" s="1"/>
  <c r="EE13" i="3"/>
  <c r="FG4" i="3"/>
  <c r="FH4" i="3"/>
  <c r="AY8" i="3"/>
  <c r="BA10" i="3"/>
  <c r="BA5" i="3"/>
  <c r="BA9" i="3"/>
  <c r="ER9" i="3" l="1"/>
  <c r="CA9" i="3" s="1"/>
  <c r="FF9" i="3"/>
  <c r="EI9" i="3"/>
  <c r="FE9" i="3"/>
  <c r="BL9" i="3" s="1"/>
  <c r="CQ8" i="3"/>
  <c r="CZ8" i="3" s="1"/>
  <c r="BF8" i="3" s="1"/>
  <c r="DV8" i="3"/>
  <c r="DW8" i="3" s="1"/>
  <c r="ER10" i="3"/>
  <c r="CA10" i="3" s="1"/>
  <c r="FF10" i="3"/>
  <c r="EI10" i="3"/>
  <c r="FE10" i="3"/>
  <c r="BL10" i="3" s="1"/>
  <c r="FF5" i="3"/>
  <c r="ER5" i="3"/>
  <c r="FE5" i="3"/>
  <c r="BL5" i="3" s="1"/>
  <c r="CE5" i="3" s="1"/>
  <c r="CF5" i="3" s="1"/>
  <c r="EI5" i="3"/>
  <c r="CA13" i="3"/>
  <c r="CA12" i="3"/>
  <c r="BL13" i="3"/>
  <c r="CE13" i="3" s="1"/>
  <c r="CF13" i="3" s="1"/>
  <c r="BY8" i="3"/>
  <c r="BZ8" i="3" s="1"/>
  <c r="BX10" i="3"/>
  <c r="BX5" i="3"/>
  <c r="CA8" i="3"/>
  <c r="CA11" i="3"/>
  <c r="CZ5" i="3"/>
  <c r="BF5" i="3" s="1"/>
  <c r="BU5" i="3" s="1"/>
  <c r="BV5" i="3" s="1"/>
  <c r="CZ12" i="3"/>
  <c r="BF12" i="3" s="1"/>
  <c r="BU12" i="3" s="1"/>
  <c r="BV12" i="3" s="1"/>
  <c r="CZ6" i="3"/>
  <c r="BF6" i="3" s="1"/>
  <c r="BX13" i="3"/>
  <c r="CZ10" i="3"/>
  <c r="BF10" i="3" s="1"/>
  <c r="CZ11" i="3"/>
  <c r="BF11" i="3" s="1"/>
  <c r="EF11" i="3"/>
  <c r="EG11" i="3" s="1"/>
  <c r="BK11" i="3" s="1"/>
  <c r="BY11" i="3" s="1"/>
  <c r="BZ11" i="3" s="1"/>
  <c r="DS7" i="3"/>
  <c r="DU7" i="3" s="1"/>
  <c r="EF7" i="3"/>
  <c r="EG7" i="3" s="1"/>
  <c r="BK7" i="3" s="1"/>
  <c r="BY7" i="3" s="1"/>
  <c r="BZ7" i="3" s="1"/>
  <c r="EQ5" i="3"/>
  <c r="BW9" i="3"/>
  <c r="BI9" i="3" s="1"/>
  <c r="CD9" i="3"/>
  <c r="EF12" i="3"/>
  <c r="EG12" i="3" s="1"/>
  <c r="BK12" i="3" s="1"/>
  <c r="BY12" i="3" s="1"/>
  <c r="BZ12" i="3" s="1"/>
  <c r="DI6" i="3"/>
  <c r="DJ6" i="3" s="1"/>
  <c r="DK6" i="3"/>
  <c r="DP6" i="3" s="1"/>
  <c r="DS6" i="3" s="1"/>
  <c r="DU6" i="3" s="1"/>
  <c r="BW6" i="3" s="1"/>
  <c r="BI6" i="3" s="1"/>
  <c r="DI11" i="3"/>
  <c r="DJ11" i="3" s="1"/>
  <c r="DK11" i="3"/>
  <c r="DP11" i="3" s="1"/>
  <c r="DY11" i="3" s="1"/>
  <c r="EA11" i="3" s="1"/>
  <c r="BX11" i="3" s="1"/>
  <c r="EF6" i="3"/>
  <c r="EG6" i="3" s="1"/>
  <c r="BK6" i="3" s="1"/>
  <c r="BY6" i="3" s="1"/>
  <c r="BZ6" i="3" s="1"/>
  <c r="DK7" i="3"/>
  <c r="DP7" i="3" s="1"/>
  <c r="DY7" i="3" s="1"/>
  <c r="EA7" i="3" s="1"/>
  <c r="BX7" i="3" s="1"/>
  <c r="DI7" i="3"/>
  <c r="DJ7" i="3" s="1"/>
  <c r="BL12" i="3"/>
  <c r="BW13" i="3"/>
  <c r="BI13" i="3" s="1"/>
  <c r="CD13" i="3"/>
  <c r="EF13" i="3"/>
  <c r="EG13" i="3" s="1"/>
  <c r="BK13" i="3" s="1"/>
  <c r="BY13" i="3" s="1"/>
  <c r="BZ13" i="3" s="1"/>
  <c r="DS13" i="3"/>
  <c r="DU13" i="3" s="1"/>
  <c r="DS9" i="3"/>
  <c r="DU9" i="3" s="1"/>
  <c r="EF9" i="3"/>
  <c r="EG9" i="3" s="1"/>
  <c r="BK9" i="3" s="1"/>
  <c r="CR10" i="3"/>
  <c r="DS10" i="3"/>
  <c r="DU10" i="3" s="1"/>
  <c r="BW10" i="3" s="1"/>
  <c r="BI10" i="3" s="1"/>
  <c r="EF10" i="3"/>
  <c r="EG10" i="3" s="1"/>
  <c r="BK10" i="3" s="1"/>
  <c r="BL11" i="3"/>
  <c r="CD10" i="3"/>
  <c r="BL7" i="3"/>
  <c r="CD12" i="3"/>
  <c r="DK9" i="3"/>
  <c r="DP9" i="3" s="1"/>
  <c r="DI9" i="3"/>
  <c r="DJ9" i="3" s="1"/>
  <c r="DK12" i="3"/>
  <c r="DP12" i="3" s="1"/>
  <c r="DS12" i="3" s="1"/>
  <c r="DU12" i="3" s="1"/>
  <c r="BW12" i="3" s="1"/>
  <c r="BI12" i="3" s="1"/>
  <c r="DI12" i="3"/>
  <c r="DJ12" i="3" s="1"/>
  <c r="CO9" i="3"/>
  <c r="CP9" i="3"/>
  <c r="CV13" i="3"/>
  <c r="DY9" i="3"/>
  <c r="EA9" i="3" s="1"/>
  <c r="BX9" i="3" s="1"/>
  <c r="CD11" i="3"/>
  <c r="CD6" i="3"/>
  <c r="CV11" i="3"/>
  <c r="CO13" i="3"/>
  <c r="CP13" i="3"/>
  <c r="CP7" i="3"/>
  <c r="CO7" i="3"/>
  <c r="CQ7" i="3" s="1"/>
  <c r="CZ7" i="3" s="1"/>
  <c r="BF7" i="3" s="1"/>
  <c r="CV12" i="3"/>
  <c r="DY6" i="3"/>
  <c r="EA6" i="3" s="1"/>
  <c r="BX6" i="3" s="1"/>
  <c r="CY9" i="3"/>
  <c r="EQ6" i="3"/>
  <c r="CA6" i="3" s="1"/>
  <c r="BL8" i="3"/>
  <c r="BL6" i="3"/>
  <c r="CD8" i="3"/>
  <c r="CD7" i="3"/>
  <c r="BW7" i="3"/>
  <c r="BI7" i="3" s="1"/>
  <c r="DK8" i="3"/>
  <c r="DP8" i="3" s="1"/>
  <c r="DI8" i="3"/>
  <c r="DJ8" i="3" s="1"/>
  <c r="EF5" i="3"/>
  <c r="EG5" i="3" s="1"/>
  <c r="BK5" i="3" s="1"/>
  <c r="DS5" i="3"/>
  <c r="DU5" i="3" s="1"/>
  <c r="BW5" i="3" s="1"/>
  <c r="BI5" i="3" s="1"/>
  <c r="CD5" i="3"/>
  <c r="C3" i="17"/>
  <c r="BY10" i="3" l="1"/>
  <c r="BZ10" i="3" s="1"/>
  <c r="BY5" i="3"/>
  <c r="BZ5" i="3" s="1"/>
  <c r="BY9" i="3"/>
  <c r="BZ9" i="3" s="1"/>
  <c r="CA5" i="3"/>
  <c r="BM5" i="3"/>
  <c r="BN5" i="3"/>
  <c r="BN13" i="3"/>
  <c r="BM13" i="3"/>
  <c r="BS5" i="3"/>
  <c r="BT5" i="3" s="1"/>
  <c r="BS12" i="3"/>
  <c r="BT12" i="3" s="1"/>
  <c r="BS6" i="3"/>
  <c r="BT6" i="3" s="1"/>
  <c r="BS10" i="3"/>
  <c r="BT10" i="3" s="1"/>
  <c r="EU12" i="3"/>
  <c r="EV12" i="3" s="1"/>
  <c r="EY12" i="3" s="1"/>
  <c r="BH12" i="3"/>
  <c r="ET12" i="3" s="1"/>
  <c r="EZ12" i="3" s="1"/>
  <c r="BH7" i="3"/>
  <c r="ET7" i="3" s="1"/>
  <c r="EZ7" i="3" s="1"/>
  <c r="EU7" i="3"/>
  <c r="EV7" i="3" s="1"/>
  <c r="EY7" i="3" s="1"/>
  <c r="BU7" i="3"/>
  <c r="BV7" i="3" s="1"/>
  <c r="CE10" i="3"/>
  <c r="CF10" i="3" s="1"/>
  <c r="BN10" i="3"/>
  <c r="BM10" i="3"/>
  <c r="DS11" i="3"/>
  <c r="DU11" i="3" s="1"/>
  <c r="BW11" i="3" s="1"/>
  <c r="BI11" i="3" s="1"/>
  <c r="BS11" i="3" s="1"/>
  <c r="EU5" i="3"/>
  <c r="EV5" i="3" s="1"/>
  <c r="EY5" i="3" s="1"/>
  <c r="BM11" i="3"/>
  <c r="BN11" i="3"/>
  <c r="CE11" i="3"/>
  <c r="CF11" i="3" s="1"/>
  <c r="DY8" i="3"/>
  <c r="EA8" i="3" s="1"/>
  <c r="BX8" i="3" s="1"/>
  <c r="DS8" i="3"/>
  <c r="DU8" i="3" s="1"/>
  <c r="BW8" i="3" s="1"/>
  <c r="BI8" i="3" s="1"/>
  <c r="BS8" i="3" s="1"/>
  <c r="BM7" i="3"/>
  <c r="BN7" i="3"/>
  <c r="CE7" i="3"/>
  <c r="CF7" i="3" s="1"/>
  <c r="BH5" i="3"/>
  <c r="ET5" i="3" s="1"/>
  <c r="EZ5" i="3" s="1"/>
  <c r="DY12" i="3"/>
  <c r="EA12" i="3" s="1"/>
  <c r="BX12" i="3" s="1"/>
  <c r="BH8" i="3"/>
  <c r="ET8" i="3" s="1"/>
  <c r="EZ8" i="3" s="1"/>
  <c r="EU8" i="3"/>
  <c r="EV8" i="3" s="1"/>
  <c r="EY8" i="3" s="1"/>
  <c r="BU8" i="3"/>
  <c r="BV8" i="3" s="1"/>
  <c r="CE8" i="3"/>
  <c r="CF8" i="3" s="1"/>
  <c r="BN8" i="3"/>
  <c r="BM8" i="3"/>
  <c r="BH6" i="3"/>
  <c r="ET6" i="3" s="1"/>
  <c r="EZ6" i="3" s="1"/>
  <c r="BU6" i="3"/>
  <c r="BV6" i="3" s="1"/>
  <c r="EU6" i="3"/>
  <c r="EV6" i="3" s="1"/>
  <c r="EY6" i="3" s="1"/>
  <c r="BN12" i="3"/>
  <c r="BM12" i="3"/>
  <c r="CE12" i="3"/>
  <c r="CF12" i="3" s="1"/>
  <c r="BU11" i="3"/>
  <c r="BV11" i="3" s="1"/>
  <c r="BH11" i="3"/>
  <c r="ET11" i="3" s="1"/>
  <c r="EZ11" i="3" s="1"/>
  <c r="EU11" i="3"/>
  <c r="EV11" i="3" s="1"/>
  <c r="EY11" i="3" s="1"/>
  <c r="CQ9" i="3"/>
  <c r="CZ9" i="3" s="1"/>
  <c r="BF9" i="3" s="1"/>
  <c r="BH10" i="3"/>
  <c r="ET10" i="3" s="1"/>
  <c r="EZ10" i="3" s="1"/>
  <c r="EU10" i="3"/>
  <c r="EV10" i="3" s="1"/>
  <c r="EY10" i="3" s="1"/>
  <c r="BU10" i="3"/>
  <c r="BV10" i="3" s="1"/>
  <c r="BS7" i="3"/>
  <c r="BM6" i="3"/>
  <c r="BN6" i="3"/>
  <c r="CE6" i="3"/>
  <c r="CF6" i="3" s="1"/>
  <c r="BN9" i="3"/>
  <c r="BM9" i="3"/>
  <c r="CE9" i="3"/>
  <c r="CF9" i="3" s="1"/>
  <c r="CQ13" i="3"/>
  <c r="CZ13" i="3" s="1"/>
  <c r="BF13" i="3" s="1"/>
  <c r="E9" i="17"/>
  <c r="E8" i="17"/>
  <c r="BJ6" i="3" l="1"/>
  <c r="BO6" i="3" s="1"/>
  <c r="BJ10" i="3"/>
  <c r="BP10" i="3" s="1"/>
  <c r="BJ7" i="3"/>
  <c r="BO7" i="3" s="1"/>
  <c r="BJ8" i="3"/>
  <c r="CB8" i="3" s="1"/>
  <c r="CC8" i="3" s="1"/>
  <c r="BJ11" i="3"/>
  <c r="CB11" i="3" s="1"/>
  <c r="BJ12" i="3"/>
  <c r="EU9" i="3"/>
  <c r="EV9" i="3" s="1"/>
  <c r="EY9" i="3" s="1"/>
  <c r="BU9" i="3"/>
  <c r="BV9" i="3" s="1"/>
  <c r="BH9" i="3"/>
  <c r="ET9" i="3" s="1"/>
  <c r="EZ9" i="3" s="1"/>
  <c r="BS9" i="3"/>
  <c r="EU13" i="3"/>
  <c r="EV13" i="3" s="1"/>
  <c r="EY13" i="3" s="1"/>
  <c r="BU13" i="3"/>
  <c r="BV13" i="3" s="1"/>
  <c r="BS13" i="3"/>
  <c r="BH13" i="3"/>
  <c r="ET13" i="3" s="1"/>
  <c r="EZ13" i="3" s="1"/>
  <c r="BT11" i="3"/>
  <c r="BJ5" i="3"/>
  <c r="BT8" i="3"/>
  <c r="BT7" i="3"/>
  <c r="H3" i="17"/>
  <c r="B3" i="17"/>
  <c r="AJ54" i="4"/>
  <c r="AH54" i="4"/>
  <c r="AB54" i="4"/>
  <c r="P54" i="4"/>
  <c r="N54" i="4"/>
  <c r="L54" i="4"/>
  <c r="J54" i="4"/>
  <c r="H54" i="4"/>
  <c r="F54" i="4"/>
  <c r="D54" i="4"/>
  <c r="P53" i="4"/>
  <c r="N53" i="4"/>
  <c r="H53" i="4"/>
  <c r="F53" i="4"/>
  <c r="B54" i="4"/>
  <c r="B55" i="4"/>
  <c r="AJ55" i="4"/>
  <c r="AH55" i="4"/>
  <c r="AB55" i="4"/>
  <c r="Z55" i="4"/>
  <c r="X55" i="4"/>
  <c r="V55" i="4"/>
  <c r="T55" i="4"/>
  <c r="R55" i="4"/>
  <c r="P55" i="4"/>
  <c r="N55" i="4"/>
  <c r="L55" i="4"/>
  <c r="J55" i="4"/>
  <c r="H55" i="4"/>
  <c r="F55" i="4"/>
  <c r="D55" i="4"/>
  <c r="I6" i="17"/>
  <c r="I5" i="17"/>
  <c r="P11" i="17"/>
  <c r="P10" i="17"/>
  <c r="N9" i="17"/>
  <c r="N8" i="17"/>
  <c r="N7" i="17"/>
  <c r="N6" i="17"/>
  <c r="N5" i="17"/>
  <c r="AN4" i="3"/>
  <c r="AL4" i="3"/>
  <c r="AM4" i="3"/>
  <c r="AH4" i="3"/>
  <c r="AK4" i="3"/>
  <c r="AG4" i="3"/>
  <c r="AR4" i="3"/>
  <c r="AE4" i="3"/>
  <c r="CX4" i="3" s="1"/>
  <c r="AP4" i="3"/>
  <c r="AI4" i="3"/>
  <c r="AD4" i="3"/>
  <c r="DR4" i="3"/>
  <c r="AJ4" i="3"/>
  <c r="AU4" i="3"/>
  <c r="AW4" i="3" s="1"/>
  <c r="AT4" i="3"/>
  <c r="DT4" i="3" s="1"/>
  <c r="AO4" i="3"/>
  <c r="DQ4" i="3"/>
  <c r="AJ56" i="4"/>
  <c r="AH56" i="4"/>
  <c r="AB56" i="4"/>
  <c r="Z56" i="4"/>
  <c r="X56" i="4"/>
  <c r="V56" i="4"/>
  <c r="T56" i="4"/>
  <c r="R56" i="4"/>
  <c r="P56" i="4"/>
  <c r="N56" i="4"/>
  <c r="L56" i="4"/>
  <c r="J56" i="4"/>
  <c r="H56" i="4"/>
  <c r="F56" i="4"/>
  <c r="D56" i="4"/>
  <c r="B56" i="4"/>
  <c r="AJ57" i="4"/>
  <c r="AH57" i="4"/>
  <c r="AB57" i="4"/>
  <c r="Z57" i="4"/>
  <c r="X57" i="4"/>
  <c r="V57" i="4"/>
  <c r="T57" i="4"/>
  <c r="R57" i="4"/>
  <c r="P57" i="4"/>
  <c r="N57" i="4"/>
  <c r="L57" i="4"/>
  <c r="J57" i="4"/>
  <c r="H57" i="4"/>
  <c r="F57" i="4"/>
  <c r="D57" i="4"/>
  <c r="B57" i="4"/>
  <c r="E11" i="17"/>
  <c r="K6" i="17" s="1"/>
  <c r="E10" i="17"/>
  <c r="K5" i="17" s="1"/>
  <c r="C8" i="17"/>
  <c r="C7" i="17"/>
  <c r="C5" i="17"/>
  <c r="C6" i="17"/>
  <c r="C9" i="17"/>
  <c r="BM3" i="3"/>
  <c r="L67" i="4"/>
  <c r="D58" i="4"/>
  <c r="P30" i="4"/>
  <c r="P31" i="4"/>
  <c r="P32" i="4"/>
  <c r="P33" i="4"/>
  <c r="P34" i="4"/>
  <c r="P35" i="4"/>
  <c r="P36" i="4"/>
  <c r="P37" i="4"/>
  <c r="P38" i="4"/>
  <c r="P39" i="4"/>
  <c r="P40" i="4"/>
  <c r="P41" i="4"/>
  <c r="P42" i="4"/>
  <c r="P43" i="4"/>
  <c r="P29" i="4"/>
  <c r="N29" i="4"/>
  <c r="AS4" i="3"/>
  <c r="B29" i="4"/>
  <c r="D29" i="4"/>
  <c r="F29" i="4"/>
  <c r="H29" i="4"/>
  <c r="J29" i="4"/>
  <c r="L29" i="4"/>
  <c r="B30" i="4"/>
  <c r="D30" i="4"/>
  <c r="F30" i="4"/>
  <c r="H30" i="4"/>
  <c r="J30" i="4"/>
  <c r="L30" i="4"/>
  <c r="N30" i="4"/>
  <c r="B31" i="4"/>
  <c r="D31" i="4"/>
  <c r="F31" i="4"/>
  <c r="H31" i="4"/>
  <c r="J31" i="4"/>
  <c r="L31" i="4"/>
  <c r="N31" i="4"/>
  <c r="B32" i="4"/>
  <c r="D32" i="4"/>
  <c r="F32" i="4"/>
  <c r="H32" i="4"/>
  <c r="J32" i="4"/>
  <c r="L32" i="4"/>
  <c r="N32" i="4"/>
  <c r="B33" i="4"/>
  <c r="D33" i="4"/>
  <c r="F33" i="4"/>
  <c r="H33" i="4"/>
  <c r="J33" i="4"/>
  <c r="L33" i="4"/>
  <c r="N33" i="4"/>
  <c r="B34" i="4"/>
  <c r="D34" i="4"/>
  <c r="F34" i="4"/>
  <c r="H34" i="4"/>
  <c r="J34" i="4"/>
  <c r="L34" i="4"/>
  <c r="N34" i="4"/>
  <c r="B35" i="4"/>
  <c r="D35" i="4"/>
  <c r="F35" i="4"/>
  <c r="H35" i="4"/>
  <c r="J35" i="4"/>
  <c r="L35" i="4"/>
  <c r="N35" i="4"/>
  <c r="B36" i="4"/>
  <c r="D36" i="4"/>
  <c r="F36" i="4"/>
  <c r="H36" i="4"/>
  <c r="J36" i="4"/>
  <c r="L36" i="4"/>
  <c r="N36" i="4"/>
  <c r="B37" i="4"/>
  <c r="D37" i="4"/>
  <c r="F37" i="4"/>
  <c r="H37" i="4"/>
  <c r="J37" i="4"/>
  <c r="L37" i="4"/>
  <c r="N37" i="4"/>
  <c r="B38" i="4"/>
  <c r="D38" i="4"/>
  <c r="F38" i="4"/>
  <c r="H38" i="4"/>
  <c r="J38" i="4"/>
  <c r="L38" i="4"/>
  <c r="N38" i="4"/>
  <c r="B39" i="4"/>
  <c r="D39" i="4"/>
  <c r="F39" i="4"/>
  <c r="H39" i="4"/>
  <c r="J39" i="4"/>
  <c r="L39" i="4"/>
  <c r="N39" i="4"/>
  <c r="B40" i="4"/>
  <c r="D40" i="4"/>
  <c r="F40" i="4"/>
  <c r="H40" i="4"/>
  <c r="J40" i="4"/>
  <c r="L40" i="4"/>
  <c r="N40" i="4"/>
  <c r="B41" i="4"/>
  <c r="D41" i="4"/>
  <c r="F41" i="4"/>
  <c r="H41" i="4"/>
  <c r="J41" i="4"/>
  <c r="L41" i="4"/>
  <c r="N41" i="4"/>
  <c r="B42" i="4"/>
  <c r="D42" i="4"/>
  <c r="F42" i="4"/>
  <c r="H42" i="4"/>
  <c r="J42" i="4"/>
  <c r="L42" i="4"/>
  <c r="N42" i="4"/>
  <c r="B43" i="4"/>
  <c r="F43" i="4"/>
  <c r="H43" i="4"/>
  <c r="J43" i="4"/>
  <c r="L43" i="4"/>
  <c r="N43" i="4"/>
  <c r="B44" i="4"/>
  <c r="F44" i="4"/>
  <c r="B45" i="4"/>
  <c r="F45" i="4"/>
  <c r="B46" i="4"/>
  <c r="F46" i="4"/>
  <c r="B53" i="4"/>
  <c r="B58" i="4"/>
  <c r="F58" i="4"/>
  <c r="H58" i="4"/>
  <c r="J58" i="4"/>
  <c r="L58" i="4"/>
  <c r="N58" i="4"/>
  <c r="P58" i="4"/>
  <c r="R58" i="4"/>
  <c r="T58" i="4"/>
  <c r="V58" i="4"/>
  <c r="X58" i="4"/>
  <c r="Z58" i="4"/>
  <c r="AB58" i="4"/>
  <c r="AH58" i="4"/>
  <c r="AJ58" i="4"/>
  <c r="B59" i="4"/>
  <c r="D59" i="4"/>
  <c r="F59" i="4"/>
  <c r="H59" i="4"/>
  <c r="J59" i="4"/>
  <c r="L59" i="4"/>
  <c r="N59" i="4"/>
  <c r="P59" i="4"/>
  <c r="R59" i="4"/>
  <c r="T59" i="4"/>
  <c r="V59" i="4"/>
  <c r="X59" i="4"/>
  <c r="Z59" i="4"/>
  <c r="AB59" i="4"/>
  <c r="AH59" i="4"/>
  <c r="AJ59" i="4"/>
  <c r="B60" i="4"/>
  <c r="D60" i="4"/>
  <c r="F60" i="4"/>
  <c r="H60" i="4"/>
  <c r="J60" i="4"/>
  <c r="L60" i="4"/>
  <c r="N60" i="4"/>
  <c r="P60" i="4"/>
  <c r="R60" i="4"/>
  <c r="T60" i="4"/>
  <c r="V60" i="4"/>
  <c r="X60" i="4"/>
  <c r="Z60" i="4"/>
  <c r="AB60" i="4"/>
  <c r="AH60" i="4"/>
  <c r="AJ60" i="4"/>
  <c r="B61" i="4"/>
  <c r="D61" i="4"/>
  <c r="F61" i="4"/>
  <c r="H61" i="4"/>
  <c r="J61" i="4"/>
  <c r="L61" i="4"/>
  <c r="N61" i="4"/>
  <c r="P61" i="4"/>
  <c r="R61" i="4"/>
  <c r="T61" i="4"/>
  <c r="V61" i="4"/>
  <c r="X61" i="4"/>
  <c r="Z61" i="4"/>
  <c r="AB61" i="4"/>
  <c r="AH61" i="4"/>
  <c r="AJ61" i="4"/>
  <c r="B62" i="4"/>
  <c r="D62" i="4"/>
  <c r="F62" i="4"/>
  <c r="H62" i="4"/>
  <c r="J62" i="4"/>
  <c r="L62" i="4"/>
  <c r="N62" i="4"/>
  <c r="P62" i="4"/>
  <c r="R62" i="4"/>
  <c r="T62" i="4"/>
  <c r="V62" i="4"/>
  <c r="X62" i="4"/>
  <c r="Z62" i="4"/>
  <c r="AB62" i="4"/>
  <c r="AH62" i="4"/>
  <c r="AJ62" i="4"/>
  <c r="B63" i="4"/>
  <c r="D63" i="4"/>
  <c r="F63" i="4"/>
  <c r="H63" i="4"/>
  <c r="J63" i="4"/>
  <c r="L63" i="4"/>
  <c r="N63" i="4"/>
  <c r="P63" i="4"/>
  <c r="R63" i="4"/>
  <c r="T63" i="4"/>
  <c r="V63" i="4"/>
  <c r="X63" i="4"/>
  <c r="Z63" i="4"/>
  <c r="AB63" i="4"/>
  <c r="AH63" i="4"/>
  <c r="AJ63" i="4"/>
  <c r="B64" i="4"/>
  <c r="D64" i="4"/>
  <c r="F64" i="4"/>
  <c r="H64" i="4"/>
  <c r="J64" i="4"/>
  <c r="L64" i="4"/>
  <c r="N64" i="4"/>
  <c r="P64" i="4"/>
  <c r="R64" i="4"/>
  <c r="T64" i="4"/>
  <c r="V64" i="4"/>
  <c r="X64" i="4"/>
  <c r="Z64" i="4"/>
  <c r="AB64" i="4"/>
  <c r="AH64" i="4"/>
  <c r="AJ64" i="4"/>
  <c r="B65" i="4"/>
  <c r="D65" i="4"/>
  <c r="F65" i="4"/>
  <c r="H65" i="4"/>
  <c r="J65" i="4"/>
  <c r="L65" i="4"/>
  <c r="N65" i="4"/>
  <c r="P65" i="4"/>
  <c r="R65" i="4"/>
  <c r="T65" i="4"/>
  <c r="V65" i="4"/>
  <c r="X65" i="4"/>
  <c r="Z65" i="4"/>
  <c r="AB65" i="4"/>
  <c r="AH65" i="4"/>
  <c r="AJ65" i="4"/>
  <c r="B66" i="4"/>
  <c r="D66" i="4"/>
  <c r="F66" i="4"/>
  <c r="H66" i="4"/>
  <c r="J66" i="4"/>
  <c r="L66" i="4"/>
  <c r="N66" i="4"/>
  <c r="P66" i="4"/>
  <c r="R66" i="4"/>
  <c r="T66" i="4"/>
  <c r="V66" i="4"/>
  <c r="X66" i="4"/>
  <c r="Z66" i="4"/>
  <c r="AB66" i="4"/>
  <c r="AH66" i="4"/>
  <c r="AJ66" i="4"/>
  <c r="B67" i="4"/>
  <c r="D67" i="4"/>
  <c r="F67" i="4"/>
  <c r="H67" i="4"/>
  <c r="N67" i="4"/>
  <c r="P67" i="4"/>
  <c r="T67" i="4"/>
  <c r="V67" i="4"/>
  <c r="X67" i="4"/>
  <c r="Z67" i="4"/>
  <c r="AB67" i="4"/>
  <c r="AH67" i="4"/>
  <c r="AJ67" i="4"/>
  <c r="B68" i="4"/>
  <c r="D68" i="4"/>
  <c r="F68" i="4"/>
  <c r="H68" i="4"/>
  <c r="L68" i="4"/>
  <c r="N68" i="4"/>
  <c r="P68" i="4"/>
  <c r="T68" i="4"/>
  <c r="V68" i="4"/>
  <c r="X68" i="4"/>
  <c r="Z68" i="4"/>
  <c r="AB68" i="4"/>
  <c r="AH68" i="4"/>
  <c r="AJ68" i="4"/>
  <c r="B69" i="4"/>
  <c r="D69" i="4"/>
  <c r="F69" i="4"/>
  <c r="H69" i="4"/>
  <c r="L69" i="4"/>
  <c r="N69" i="4"/>
  <c r="P69" i="4"/>
  <c r="T69" i="4"/>
  <c r="V69" i="4"/>
  <c r="X69" i="4"/>
  <c r="Z69" i="4"/>
  <c r="AB69" i="4"/>
  <c r="AH69" i="4"/>
  <c r="AJ69" i="4"/>
  <c r="B70" i="4"/>
  <c r="D70" i="4"/>
  <c r="F70" i="4"/>
  <c r="H70" i="4"/>
  <c r="L70" i="4"/>
  <c r="N70" i="4"/>
  <c r="P70" i="4"/>
  <c r="T70" i="4"/>
  <c r="V70" i="4"/>
  <c r="X70" i="4"/>
  <c r="Z70" i="4"/>
  <c r="AB70" i="4"/>
  <c r="AH70" i="4"/>
  <c r="AJ70" i="4"/>
  <c r="B71" i="4"/>
  <c r="D71" i="4"/>
  <c r="F71" i="4"/>
  <c r="H71" i="4"/>
  <c r="L71" i="4"/>
  <c r="N71" i="4"/>
  <c r="P71" i="4"/>
  <c r="T71" i="4"/>
  <c r="V71" i="4"/>
  <c r="X71" i="4"/>
  <c r="Z71" i="4"/>
  <c r="AH71" i="4"/>
  <c r="AJ71" i="4"/>
  <c r="B72" i="4"/>
  <c r="D72" i="4"/>
  <c r="F72" i="4"/>
  <c r="H72" i="4"/>
  <c r="L72" i="4"/>
  <c r="N72" i="4"/>
  <c r="P72" i="4"/>
  <c r="T72" i="4"/>
  <c r="V72" i="4"/>
  <c r="X72" i="4"/>
  <c r="Z72" i="4"/>
  <c r="AH72" i="4"/>
  <c r="AJ72" i="4"/>
  <c r="B73" i="4"/>
  <c r="D73" i="4"/>
  <c r="F73" i="4"/>
  <c r="H73" i="4"/>
  <c r="L73" i="4"/>
  <c r="N73" i="4"/>
  <c r="P73" i="4"/>
  <c r="T73" i="4"/>
  <c r="Z73" i="4"/>
  <c r="AH73" i="4"/>
  <c r="AJ73" i="4"/>
  <c r="B74" i="4"/>
  <c r="D74" i="4"/>
  <c r="F74" i="4"/>
  <c r="H74" i="4"/>
  <c r="L74" i="4"/>
  <c r="N74" i="4"/>
  <c r="P74" i="4"/>
  <c r="T74" i="4"/>
  <c r="Z74" i="4"/>
  <c r="AH74" i="4"/>
  <c r="AJ74" i="4"/>
  <c r="B75" i="4"/>
  <c r="B76" i="4"/>
  <c r="B77" i="4"/>
  <c r="B78" i="4"/>
  <c r="B79" i="4"/>
  <c r="B80" i="4"/>
  <c r="E5" i="16"/>
  <c r="F5" i="16"/>
  <c r="G5" i="16"/>
  <c r="B6" i="16"/>
  <c r="E6" i="16" s="1"/>
  <c r="F6" i="16"/>
  <c r="G6" i="16"/>
  <c r="E7" i="16"/>
  <c r="F7" i="16"/>
  <c r="G7" i="16"/>
  <c r="B8" i="16"/>
  <c r="E8" i="16" s="1"/>
  <c r="F8" i="16"/>
  <c r="G8" i="16"/>
  <c r="E9" i="16"/>
  <c r="F9" i="16"/>
  <c r="G9" i="16"/>
  <c r="E10" i="16"/>
  <c r="F10" i="16"/>
  <c r="G10" i="16"/>
  <c r="E11" i="16"/>
  <c r="F11" i="16"/>
  <c r="G11" i="16"/>
  <c r="E12" i="16"/>
  <c r="F12" i="16"/>
  <c r="G12" i="16"/>
  <c r="E13" i="16"/>
  <c r="F13" i="16"/>
  <c r="G13" i="16"/>
  <c r="B14" i="16"/>
  <c r="E14" i="16" s="1"/>
  <c r="F14" i="16"/>
  <c r="G14" i="16"/>
  <c r="B15" i="16"/>
  <c r="E15" i="16" s="1"/>
  <c r="F15" i="16"/>
  <c r="G15" i="16"/>
  <c r="B16" i="16"/>
  <c r="E16" i="16" s="1"/>
  <c r="F16" i="16"/>
  <c r="G16" i="16"/>
  <c r="E17" i="16"/>
  <c r="F17" i="16"/>
  <c r="G17" i="16"/>
  <c r="B18" i="16"/>
  <c r="F18" i="16"/>
  <c r="G18" i="16"/>
  <c r="E19" i="16"/>
  <c r="F19" i="16"/>
  <c r="G19" i="16"/>
  <c r="B20" i="16"/>
  <c r="E20" i="16" s="1"/>
  <c r="F20" i="16"/>
  <c r="G20" i="16"/>
  <c r="E21" i="16"/>
  <c r="F21" i="16"/>
  <c r="G21" i="16"/>
  <c r="E22" i="16"/>
  <c r="F22" i="16"/>
  <c r="G22" i="16"/>
  <c r="E23" i="16"/>
  <c r="F23" i="16"/>
  <c r="G23" i="16"/>
  <c r="E24" i="16"/>
  <c r="F24" i="16"/>
  <c r="G24" i="16"/>
  <c r="E25" i="16"/>
  <c r="F25" i="16"/>
  <c r="G25" i="16"/>
  <c r="B26" i="16"/>
  <c r="E26" i="16" s="1"/>
  <c r="F26" i="16"/>
  <c r="G26" i="16"/>
  <c r="B27" i="16"/>
  <c r="E27" i="16" s="1"/>
  <c r="F27" i="16"/>
  <c r="G27" i="16"/>
  <c r="B28" i="16"/>
  <c r="E28" i="16" s="1"/>
  <c r="F28" i="16"/>
  <c r="G28" i="16"/>
  <c r="B41" i="16"/>
  <c r="B48" i="16"/>
  <c r="C48" i="16" s="1"/>
  <c r="C49" i="16"/>
  <c r="B50" i="16"/>
  <c r="C50" i="16" s="1"/>
  <c r="C51" i="16"/>
  <c r="C52" i="16"/>
  <c r="C53" i="16"/>
  <c r="C54" i="16"/>
  <c r="C55" i="16"/>
  <c r="B56" i="16"/>
  <c r="C56" i="16" s="1"/>
  <c r="B57" i="16"/>
  <c r="C57" i="16" s="1"/>
  <c r="B58" i="16"/>
  <c r="C58" i="16" s="1"/>
  <c r="B70" i="16"/>
  <c r="B71" i="16"/>
  <c r="AB4" i="3"/>
  <c r="AY4" i="3"/>
  <c r="BA4" i="3"/>
  <c r="BP7" i="3" l="1"/>
  <c r="BO11" i="3"/>
  <c r="CB10" i="3"/>
  <c r="CC10" i="3" s="1"/>
  <c r="CB6" i="3"/>
  <c r="CC6" i="3" s="1"/>
  <c r="BP6" i="3"/>
  <c r="BP8" i="3"/>
  <c r="BO8" i="3"/>
  <c r="BO10" i="3"/>
  <c r="CB7" i="3"/>
  <c r="CC7" i="3" s="1"/>
  <c r="BP11" i="3"/>
  <c r="CC11" i="3"/>
  <c r="BQ11" i="3"/>
  <c r="CB12" i="3"/>
  <c r="BP12" i="3"/>
  <c r="BO12" i="3"/>
  <c r="BQ8" i="3"/>
  <c r="BT9" i="3"/>
  <c r="CB5" i="3"/>
  <c r="BP5" i="3"/>
  <c r="BO5" i="3"/>
  <c r="BT13" i="3"/>
  <c r="BJ13" i="3"/>
  <c r="BJ9" i="3"/>
  <c r="DO4" i="3"/>
  <c r="C38" i="16"/>
  <c r="DZ4" i="3"/>
  <c r="CM4" i="3"/>
  <c r="CP4" i="3" s="1"/>
  <c r="AV4" i="3"/>
  <c r="AC4" i="3"/>
  <c r="EM4" i="3" s="1"/>
  <c r="C39" i="16"/>
  <c r="C41" i="16"/>
  <c r="B42" i="16"/>
  <c r="C42" i="16" s="1"/>
  <c r="B43" i="16"/>
  <c r="C43" i="16" s="1"/>
  <c r="AF4" i="3"/>
  <c r="CH4" i="3" s="1"/>
  <c r="DF4" i="3" s="1"/>
  <c r="C40" i="16"/>
  <c r="DB4" i="3"/>
  <c r="CU4" i="3"/>
  <c r="EE4" i="3"/>
  <c r="EN4" i="3"/>
  <c r="DL4" i="3"/>
  <c r="DD4" i="3"/>
  <c r="DE4" i="3" s="1"/>
  <c r="EO4" i="3"/>
  <c r="BC4" i="3"/>
  <c r="EX4" i="3"/>
  <c r="EW4" i="3"/>
  <c r="CS4" i="3"/>
  <c r="DA4" i="3"/>
  <c r="DN4" i="3"/>
  <c r="DM4" i="3"/>
  <c r="CT4" i="3"/>
  <c r="BQ6" i="3" l="1"/>
  <c r="BQ10" i="3"/>
  <c r="BQ7" i="3"/>
  <c r="CC12" i="3"/>
  <c r="BQ12" i="3"/>
  <c r="CC5" i="3"/>
  <c r="BQ5" i="3"/>
  <c r="CB9" i="3"/>
  <c r="BP9" i="3"/>
  <c r="BO9" i="3"/>
  <c r="CB13" i="3"/>
  <c r="BP13" i="3"/>
  <c r="BO13" i="3"/>
  <c r="CO4" i="3"/>
  <c r="CQ4" i="3" s="1"/>
  <c r="CY4" i="3"/>
  <c r="CR4" i="3"/>
  <c r="CW4" i="3" s="1"/>
  <c r="EC4" i="3"/>
  <c r="EB4" i="3"/>
  <c r="EK4" i="3"/>
  <c r="ED4" i="3"/>
  <c r="EL4" i="3"/>
  <c r="CI4" i="3"/>
  <c r="BG4" i="3" s="1"/>
  <c r="DI4" i="3"/>
  <c r="DJ4" i="3" s="1"/>
  <c r="DV4" i="3"/>
  <c r="DW4" i="3" s="1"/>
  <c r="DG4" i="3"/>
  <c r="EF4" i="3"/>
  <c r="EP4" i="3"/>
  <c r="FF4" i="3"/>
  <c r="ER4" i="3"/>
  <c r="EI4" i="3"/>
  <c r="FE4" i="3"/>
  <c r="CV4" i="3"/>
  <c r="CC13" i="3" l="1"/>
  <c r="BQ13" i="3"/>
  <c r="CC9" i="3"/>
  <c r="BQ9" i="3"/>
  <c r="EG4" i="3"/>
  <c r="BK4" i="3" s="1"/>
  <c r="BY4" i="3" s="1"/>
  <c r="BZ4" i="3" s="1"/>
  <c r="EQ4" i="3"/>
  <c r="CA4" i="3" s="1"/>
  <c r="CZ4" i="3"/>
  <c r="BF4" i="3" s="1"/>
  <c r="BU4" i="3" s="1"/>
  <c r="BV4" i="3" s="1"/>
  <c r="BL4" i="3"/>
  <c r="BN4" i="3" s="1"/>
  <c r="DK4" i="3" l="1"/>
  <c r="DP4" i="3" s="1"/>
  <c r="EU4" i="3"/>
  <c r="EV4" i="3" s="1"/>
  <c r="EY4" i="3" s="1"/>
  <c r="BH4" i="3"/>
  <c r="ET4" i="3" s="1"/>
  <c r="EZ4" i="3" s="1"/>
  <c r="CE4" i="3"/>
  <c r="CF4" i="3" s="1"/>
  <c r="BM4" i="3"/>
  <c r="FB4" i="3"/>
  <c r="FC4" i="3"/>
  <c r="DY4" i="3" l="1"/>
  <c r="EA4" i="3" s="1"/>
  <c r="BX4" i="3" s="1"/>
  <c r="DS4" i="3"/>
  <c r="BJ4" i="3"/>
  <c r="BP4" i="3" s="1"/>
  <c r="FD4" i="3"/>
  <c r="CD4" i="3" s="1"/>
  <c r="DU4" i="3" l="1"/>
  <c r="BW4" i="3" s="1"/>
  <c r="BI4" i="3" s="1"/>
  <c r="BS4" i="3" s="1"/>
  <c r="BT4" i="3" s="1"/>
  <c r="CB4" i="3"/>
  <c r="CC4" i="3" s="1"/>
  <c r="BO4" i="3"/>
  <c r="BQ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ABB</author>
    <author>Greg Millar</author>
  </authors>
  <commentList>
    <comment ref="BS2" authorId="0" shapeId="0" xr:uid="{00000000-0006-0000-0100-000001000000}">
      <text>
        <r>
          <rPr>
            <b/>
            <sz val="8"/>
            <color indexed="81"/>
            <rFont val="Tahoma"/>
            <family val="2"/>
          </rPr>
          <t>ABB:</t>
        </r>
        <r>
          <rPr>
            <sz val="8"/>
            <color indexed="81"/>
            <rFont val="Tahoma"/>
            <family val="2"/>
          </rPr>
          <t xml:space="preserve">
If FAIL, carry out Cyclic Stress at the in-line resonance calculations</t>
        </r>
      </text>
    </comment>
    <comment ref="CV2" authorId="0" shapeId="0" xr:uid="{00000000-0006-0000-0100-000002000000}">
      <text>
        <r>
          <rPr>
            <b/>
            <sz val="8"/>
            <color indexed="81"/>
            <rFont val="Tahoma"/>
            <family val="2"/>
          </rPr>
          <t>ABB:</t>
        </r>
        <r>
          <rPr>
            <sz val="8"/>
            <color indexed="81"/>
            <rFont val="Tahoma"/>
            <family val="2"/>
          </rPr>
          <t xml:space="preserve">
B must be either 0.0222m or 0.0127m</t>
        </r>
      </text>
    </comment>
    <comment ref="W27" authorId="1" shapeId="0" xr:uid="{BE68AC1D-5DFA-400E-9CC4-697651CA7273}">
      <text>
        <r>
          <rPr>
            <sz val="9"/>
            <color indexed="81"/>
            <rFont val="Tahoma"/>
            <family val="2"/>
          </rPr>
          <t>Please enter value here...</t>
        </r>
      </text>
    </comment>
    <comment ref="AY27" authorId="1" shapeId="0" xr:uid="{C7EDCBBC-C679-46A0-BBA4-9D9DF6FE1D27}">
      <text>
        <r>
          <rPr>
            <sz val="9"/>
            <color indexed="81"/>
            <rFont val="Tahoma"/>
            <family val="2"/>
          </rPr>
          <t>Please enter value here...</t>
        </r>
      </text>
    </comment>
    <comment ref="AZ27" authorId="1" shapeId="0" xr:uid="{182ECFD3-94B5-4580-BCD1-E1979E301CFC}">
      <text>
        <r>
          <rPr>
            <sz val="9"/>
            <color indexed="81"/>
            <rFont val="Tahoma"/>
            <family val="2"/>
          </rPr>
          <t>Please enter value here...</t>
        </r>
      </text>
    </comment>
    <comment ref="BA27" authorId="1" shapeId="0" xr:uid="{58E224C2-B780-437B-A986-4D6444308019}">
      <text>
        <r>
          <rPr>
            <sz val="9"/>
            <color indexed="81"/>
            <rFont val="Tahoma"/>
            <family val="2"/>
          </rPr>
          <t>Please enter value here...</t>
        </r>
      </text>
    </comment>
    <comment ref="BB27" authorId="1" shapeId="0" xr:uid="{68BFB370-4907-42D1-A4A3-78FC5A12F248}">
      <text>
        <r>
          <rPr>
            <sz val="9"/>
            <color indexed="81"/>
            <rFont val="Tahoma"/>
            <family val="2"/>
          </rPr>
          <t>Please enter value here...</t>
        </r>
      </text>
    </comment>
    <comment ref="BD27" authorId="1" shapeId="0" xr:uid="{0FF6BA3F-F230-4412-912F-83E0A8483EBC}">
      <text>
        <r>
          <rPr>
            <sz val="9"/>
            <color indexed="81"/>
            <rFont val="Tahoma"/>
            <family val="2"/>
          </rPr>
          <t>Please enter value here...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ABB</author>
  </authors>
  <commentList>
    <comment ref="I3" authorId="0" shapeId="0" xr:uid="{00000000-0006-0000-0300-000001000000}">
      <text>
        <r>
          <rPr>
            <b/>
            <sz val="8"/>
            <color indexed="81"/>
            <rFont val="Tahoma"/>
            <family val="2"/>
          </rPr>
          <t>ABB:</t>
        </r>
        <r>
          <rPr>
            <sz val="8"/>
            <color indexed="81"/>
            <rFont val="Tahoma"/>
            <family val="2"/>
          </rPr>
          <t xml:space="preserve">
From Werkstoffauswahl fur Rohre und Rohrzubehorteile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ABB</author>
  </authors>
  <commentList>
    <comment ref="A15" authorId="0" shapeId="0" xr:uid="{00000000-0006-0000-0400-000001000000}">
      <text>
        <r>
          <rPr>
            <b/>
            <sz val="8"/>
            <color indexed="81"/>
            <rFont val="Tahoma"/>
            <family val="2"/>
          </rPr>
          <t>ABB:</t>
        </r>
        <r>
          <rPr>
            <sz val="8"/>
            <color indexed="81"/>
            <rFont val="Tahoma"/>
            <family val="2"/>
          </rPr>
          <t xml:space="preserve">
Step diameter is based on Tip Diameter, B which can be either 12.7 or 22.23mm</t>
        </r>
      </text>
    </comment>
    <comment ref="A16" authorId="0" shapeId="0" xr:uid="{00000000-0006-0000-0400-000002000000}">
      <text>
        <r>
          <rPr>
            <b/>
            <sz val="8"/>
            <color indexed="81"/>
            <rFont val="Tahoma"/>
            <family val="2"/>
          </rPr>
          <t>ABB:</t>
        </r>
        <r>
          <rPr>
            <sz val="8"/>
            <color indexed="81"/>
            <rFont val="Tahoma"/>
            <family val="2"/>
          </rPr>
          <t xml:space="preserve">
Step diameter is based on Tip Diameter, B which can be either 12.7 or 22.23mm</t>
        </r>
      </text>
    </comment>
  </commentList>
</comments>
</file>

<file path=xl/sharedStrings.xml><?xml version="1.0" encoding="utf-8"?>
<sst xmlns="http://schemas.openxmlformats.org/spreadsheetml/2006/main" count="892" uniqueCount="478">
  <si>
    <t>Unsupported Length</t>
  </si>
  <si>
    <t>Min</t>
  </si>
  <si>
    <t>Max</t>
  </si>
  <si>
    <t>Straight &amp; Tapered</t>
  </si>
  <si>
    <t>Stepped</t>
  </si>
  <si>
    <t>Tip Diameter</t>
  </si>
  <si>
    <t>Bore Diameter</t>
  </si>
  <si>
    <t>Taper Ratio</t>
  </si>
  <si>
    <t>Bore Ratio</t>
  </si>
  <si>
    <t>Aspect Ratio</t>
  </si>
  <si>
    <t>Minimum Wall Thickness</t>
  </si>
  <si>
    <t>Dimensions in mm</t>
  </si>
  <si>
    <t>-</t>
  </si>
  <si>
    <t>Step Diameter for B=12.7</t>
  </si>
  <si>
    <t>Step Diameter for B=22.23</t>
  </si>
  <si>
    <t>Length ratio</t>
  </si>
  <si>
    <t>Strouhal Number</t>
  </si>
  <si>
    <t>Reynolds Number</t>
  </si>
  <si>
    <t>Operating Conditions</t>
  </si>
  <si>
    <t>Temperature</t>
  </si>
  <si>
    <t>Velocity</t>
  </si>
  <si>
    <t>Density</t>
  </si>
  <si>
    <t>Viscosity</t>
  </si>
  <si>
    <t>Thermowell Dimensions</t>
  </si>
  <si>
    <t>Thermowell Design</t>
  </si>
  <si>
    <t>Material</t>
  </si>
  <si>
    <t>°C</t>
  </si>
  <si>
    <t>Pa</t>
  </si>
  <si>
    <t>m/s</t>
  </si>
  <si>
    <r>
      <t>kg/m</t>
    </r>
    <r>
      <rPr>
        <vertAlign val="superscript"/>
        <sz val="10"/>
        <rFont val="Arial"/>
        <family val="2"/>
      </rPr>
      <t>3</t>
    </r>
  </si>
  <si>
    <t>Pa.s</t>
  </si>
  <si>
    <t>m</t>
  </si>
  <si>
    <t>Root diameter, A</t>
  </si>
  <si>
    <t>Tip Diameter, B</t>
  </si>
  <si>
    <t>Fillet Radius, b</t>
  </si>
  <si>
    <t>Bore Diameter of Thermowell, d</t>
  </si>
  <si>
    <t>Unsupported Length, L</t>
  </si>
  <si>
    <r>
      <t>Unsupported Length at step shank, L</t>
    </r>
    <r>
      <rPr>
        <vertAlign val="subscript"/>
        <sz val="10"/>
        <rFont val="Arial"/>
        <family val="2"/>
      </rPr>
      <t>S</t>
    </r>
  </si>
  <si>
    <t>Min. wall thickness, t</t>
  </si>
  <si>
    <r>
      <t>Fatigue Endurance Limit, S</t>
    </r>
    <r>
      <rPr>
        <vertAlign val="subscript"/>
        <sz val="10"/>
        <rFont val="Arial"/>
        <family val="2"/>
      </rPr>
      <t>f</t>
    </r>
  </si>
  <si>
    <r>
      <t xml:space="preserve">Mass Density of Thermowell </t>
    </r>
    <r>
      <rPr>
        <sz val="10"/>
        <rFont val="Times New Roman"/>
        <family val="1"/>
      </rPr>
      <t>ρ</t>
    </r>
    <r>
      <rPr>
        <vertAlign val="subscript"/>
        <sz val="10"/>
        <rFont val="Arial"/>
        <family val="2"/>
      </rPr>
      <t>m</t>
    </r>
    <r>
      <rPr>
        <sz val="10"/>
        <rFont val="Arial"/>
        <family val="2"/>
      </rPr>
      <t xml:space="preserve"> </t>
    </r>
  </si>
  <si>
    <r>
      <t>Average Outer Diameter, D</t>
    </r>
    <r>
      <rPr>
        <vertAlign val="subscript"/>
        <sz val="10"/>
        <rFont val="Arial"/>
        <family val="2"/>
      </rPr>
      <t>a</t>
    </r>
  </si>
  <si>
    <t>Second Moment of Inertia, I</t>
  </si>
  <si>
    <t>Mass per unit length of thermowell</t>
  </si>
  <si>
    <t>Modulus of Elasticity at Operating Temp, E</t>
  </si>
  <si>
    <r>
      <t>m</t>
    </r>
    <r>
      <rPr>
        <vertAlign val="superscript"/>
        <sz val="10"/>
        <rFont val="Arial"/>
        <family val="2"/>
      </rPr>
      <t>4</t>
    </r>
  </si>
  <si>
    <t>Hz</t>
  </si>
  <si>
    <r>
      <t>Co-efficient for Conventional Drag, C</t>
    </r>
    <r>
      <rPr>
        <vertAlign val="subscript"/>
        <sz val="10"/>
        <rFont val="Arial"/>
        <family val="2"/>
      </rPr>
      <t>D</t>
    </r>
  </si>
  <si>
    <r>
      <t>Co-efficient for Oscillating Drag, C</t>
    </r>
    <r>
      <rPr>
        <vertAlign val="subscript"/>
        <sz val="10"/>
        <rFont val="Arial"/>
        <family val="2"/>
      </rPr>
      <t>d</t>
    </r>
  </si>
  <si>
    <r>
      <t>Co-efficient for Oscillating Lift, C</t>
    </r>
    <r>
      <rPr>
        <vertAlign val="subscript"/>
        <sz val="10"/>
        <rFont val="Arial"/>
        <family val="2"/>
      </rPr>
      <t>l</t>
    </r>
  </si>
  <si>
    <r>
      <t>Correction Factor for Straight or Tapered, H</t>
    </r>
    <r>
      <rPr>
        <vertAlign val="subscript"/>
        <sz val="10"/>
        <rFont val="Arial"/>
        <family val="2"/>
      </rPr>
      <t>f</t>
    </r>
  </si>
  <si>
    <r>
      <t>Correction Factor for Stepped, H</t>
    </r>
    <r>
      <rPr>
        <vertAlign val="subscript"/>
        <sz val="10"/>
        <rFont val="Arial"/>
        <family val="2"/>
      </rPr>
      <t>f</t>
    </r>
  </si>
  <si>
    <t>Natural Frequency Parameters for Step-Shank (Table6-5.3-1)</t>
  </si>
  <si>
    <t>Parameters</t>
  </si>
  <si>
    <t>c1</t>
  </si>
  <si>
    <t>c2</t>
  </si>
  <si>
    <t>c3</t>
  </si>
  <si>
    <t>c4</t>
  </si>
  <si>
    <t>c5</t>
  </si>
  <si>
    <t>c6</t>
  </si>
  <si>
    <t>c7</t>
  </si>
  <si>
    <t>c8</t>
  </si>
  <si>
    <t>c9</t>
  </si>
  <si>
    <t>c10</t>
  </si>
  <si>
    <t>B=0.0127</t>
  </si>
  <si>
    <t>B=0.0222</t>
  </si>
  <si>
    <r>
      <t>y</t>
    </r>
    <r>
      <rPr>
        <vertAlign val="subscript"/>
        <sz val="10"/>
        <rFont val="Arial"/>
        <family val="2"/>
      </rPr>
      <t>1</t>
    </r>
  </si>
  <si>
    <r>
      <t>y</t>
    </r>
    <r>
      <rPr>
        <vertAlign val="subscript"/>
        <sz val="10"/>
        <rFont val="Arial"/>
        <family val="2"/>
      </rPr>
      <t>2</t>
    </r>
  </si>
  <si>
    <t>β</t>
  </si>
  <si>
    <r>
      <t>Mass Correction Factor for the Fluid, H</t>
    </r>
    <r>
      <rPr>
        <vertAlign val="subscript"/>
        <sz val="10"/>
        <rFont val="Arial"/>
        <family val="2"/>
      </rPr>
      <t>a,f</t>
    </r>
  </si>
  <si>
    <r>
      <t>Sensor Mass Correction Factor, H</t>
    </r>
    <r>
      <rPr>
        <vertAlign val="subscript"/>
        <sz val="10"/>
        <rFont val="Arial"/>
        <family val="2"/>
      </rPr>
      <t>a,s</t>
    </r>
  </si>
  <si>
    <r>
      <t xml:space="preserve">Mass Density of Sensor </t>
    </r>
    <r>
      <rPr>
        <sz val="10"/>
        <rFont val="Times New Roman"/>
        <family val="1"/>
      </rPr>
      <t>ρs</t>
    </r>
  </si>
  <si>
    <r>
      <t>Approximate natural frequency, f</t>
    </r>
    <r>
      <rPr>
        <vertAlign val="subscript"/>
        <sz val="10"/>
        <rFont val="Arial"/>
        <family val="2"/>
      </rPr>
      <t>a</t>
    </r>
  </si>
  <si>
    <r>
      <t>Lowest Order Natural Frequency, F</t>
    </r>
    <r>
      <rPr>
        <vertAlign val="subscript"/>
        <sz val="10"/>
        <rFont val="Arial"/>
        <family val="2"/>
      </rPr>
      <t>n</t>
    </r>
  </si>
  <si>
    <r>
      <t>Scrunton Number, N</t>
    </r>
    <r>
      <rPr>
        <vertAlign val="subscript"/>
        <sz val="10"/>
        <rFont val="Arial"/>
        <family val="2"/>
      </rPr>
      <t>Sc</t>
    </r>
  </si>
  <si>
    <t>a(R)</t>
  </si>
  <si>
    <r>
      <t>Frequency of Vortex Shedding, f</t>
    </r>
    <r>
      <rPr>
        <vertAlign val="subscript"/>
        <sz val="10"/>
        <rFont val="Arial"/>
        <family val="2"/>
      </rPr>
      <t>s</t>
    </r>
  </si>
  <si>
    <r>
      <t>Compliance Factor, H</t>
    </r>
    <r>
      <rPr>
        <vertAlign val="subscript"/>
        <sz val="10"/>
        <rFont val="Arial"/>
        <family val="2"/>
      </rPr>
      <t xml:space="preserve">c </t>
    </r>
    <r>
      <rPr>
        <sz val="10"/>
        <rFont val="Arial"/>
        <family val="2"/>
      </rPr>
      <t>(6-5-6)</t>
    </r>
  </si>
  <si>
    <r>
      <t>Compliance Factor, H</t>
    </r>
    <r>
      <rPr>
        <vertAlign val="subscript"/>
        <sz val="10"/>
        <rFont val="Arial"/>
        <family val="2"/>
      </rPr>
      <t>c</t>
    </r>
    <r>
      <rPr>
        <sz val="10"/>
        <rFont val="Arial"/>
        <family val="2"/>
      </rPr>
      <t xml:space="preserve"> (6-7-1)</t>
    </r>
  </si>
  <si>
    <r>
      <t>Radial  Pressure Stress, S</t>
    </r>
    <r>
      <rPr>
        <vertAlign val="subscript"/>
        <sz val="10"/>
        <rFont val="Arial"/>
        <family val="2"/>
      </rPr>
      <t>r</t>
    </r>
  </si>
  <si>
    <r>
      <t>Tangential Pressure Stress, S</t>
    </r>
    <r>
      <rPr>
        <vertAlign val="subscript"/>
        <sz val="10"/>
        <rFont val="Arial"/>
        <family val="2"/>
      </rPr>
      <t>t</t>
    </r>
  </si>
  <si>
    <r>
      <t>Axial Pressure Stress, S</t>
    </r>
    <r>
      <rPr>
        <vertAlign val="subscript"/>
        <sz val="10"/>
        <rFont val="Arial"/>
        <family val="2"/>
      </rPr>
      <t>a</t>
    </r>
  </si>
  <si>
    <r>
      <t>Maximum Magnification Factor, F</t>
    </r>
    <r>
      <rPr>
        <vertAlign val="subscript"/>
        <sz val="10"/>
        <rFont val="Arial"/>
        <family val="2"/>
      </rPr>
      <t>M,max</t>
    </r>
  </si>
  <si>
    <r>
      <t>Maximum Magnification Factor, F</t>
    </r>
    <r>
      <rPr>
        <vertAlign val="subscript"/>
        <sz val="10"/>
        <rFont val="Arial"/>
        <family val="2"/>
      </rPr>
      <t>M</t>
    </r>
    <r>
      <rPr>
        <vertAlign val="superscript"/>
        <sz val="10"/>
        <rFont val="Arial"/>
        <family val="2"/>
      </rPr>
      <t>'</t>
    </r>
    <r>
      <rPr>
        <vertAlign val="subscript"/>
        <sz val="10"/>
        <rFont val="Arial"/>
        <family val="2"/>
      </rPr>
      <t>,max</t>
    </r>
  </si>
  <si>
    <r>
      <t>Amplitudes for Oscillating Drag, S</t>
    </r>
    <r>
      <rPr>
        <vertAlign val="subscript"/>
        <sz val="10"/>
        <rFont val="Arial"/>
        <family val="2"/>
      </rPr>
      <t>d</t>
    </r>
  </si>
  <si>
    <t>MPa</t>
  </si>
  <si>
    <t>kg/m</t>
  </si>
  <si>
    <r>
      <t>Stress concentration factor, K</t>
    </r>
    <r>
      <rPr>
        <vertAlign val="subscript"/>
        <sz val="10"/>
        <rFont val="Arial"/>
        <family val="2"/>
      </rPr>
      <t>t</t>
    </r>
  </si>
  <si>
    <r>
      <t>Temperature Correction Factor, F</t>
    </r>
    <r>
      <rPr>
        <vertAlign val="subscript"/>
        <sz val="10"/>
        <rFont val="Arial"/>
        <family val="2"/>
      </rPr>
      <t>T</t>
    </r>
  </si>
  <si>
    <r>
      <t>Reference Modulus of Elasticity, E</t>
    </r>
    <r>
      <rPr>
        <vertAlign val="subscript"/>
        <sz val="10"/>
        <rFont val="Arial"/>
        <family val="2"/>
      </rPr>
      <t>ref</t>
    </r>
  </si>
  <si>
    <r>
      <t>Combined Bending stress amplitude, S</t>
    </r>
    <r>
      <rPr>
        <vertAlign val="subscript"/>
        <sz val="10"/>
        <rFont val="Arial"/>
        <family val="2"/>
      </rPr>
      <t>0,max</t>
    </r>
  </si>
  <si>
    <r>
      <t>Force Per Unit Area due to conventional drag, P</t>
    </r>
    <r>
      <rPr>
        <vertAlign val="subscript"/>
        <sz val="10"/>
        <rFont val="Arial"/>
        <family val="2"/>
      </rPr>
      <t>D</t>
    </r>
  </si>
  <si>
    <r>
      <t>Steady-state Stress due to Drag, S</t>
    </r>
    <r>
      <rPr>
        <vertAlign val="subscript"/>
        <sz val="10"/>
        <rFont val="Arial"/>
        <family val="2"/>
      </rPr>
      <t>D</t>
    </r>
  </si>
  <si>
    <r>
      <t>Maximum Stress Limit, S</t>
    </r>
    <r>
      <rPr>
        <vertAlign val="subscript"/>
        <sz val="10"/>
        <rFont val="Arial"/>
        <family val="2"/>
      </rPr>
      <t>max</t>
    </r>
  </si>
  <si>
    <t>LHS Von Mises Criteria</t>
  </si>
  <si>
    <t>RHS Von Mises Criteria</t>
  </si>
  <si>
    <t>Maximum allowable working stress, S</t>
  </si>
  <si>
    <r>
      <t>Force Per Unit Area due to oscillating drag at Design, P</t>
    </r>
    <r>
      <rPr>
        <vertAlign val="subscript"/>
        <sz val="10"/>
        <rFont val="Arial"/>
        <family val="2"/>
      </rPr>
      <t>d</t>
    </r>
  </si>
  <si>
    <r>
      <t>Force Per Unit Area due to oscillating lift, P</t>
    </r>
    <r>
      <rPr>
        <vertAlign val="subscript"/>
        <sz val="10"/>
        <rFont val="Arial"/>
        <family val="2"/>
      </rPr>
      <t>l</t>
    </r>
  </si>
  <si>
    <t>Straight</t>
  </si>
  <si>
    <t>Tapered</t>
  </si>
  <si>
    <t>6.5.2</t>
  </si>
  <si>
    <t>6.5.3</t>
  </si>
  <si>
    <t>Type</t>
  </si>
  <si>
    <t>Threaded</t>
  </si>
  <si>
    <t>Socket Weld</t>
  </si>
  <si>
    <t>Van-Stone</t>
  </si>
  <si>
    <t>Weld In</t>
  </si>
  <si>
    <t>6.7.1</t>
  </si>
  <si>
    <t>6.6.5</t>
  </si>
  <si>
    <r>
      <t>In-situ natural frequency, f</t>
    </r>
    <r>
      <rPr>
        <vertAlign val="subscript"/>
        <sz val="10"/>
        <rFont val="Arial"/>
        <family val="2"/>
      </rPr>
      <t>n</t>
    </r>
    <r>
      <rPr>
        <vertAlign val="superscript"/>
        <sz val="10"/>
        <rFont val="Arial"/>
        <family val="2"/>
      </rPr>
      <t>c</t>
    </r>
  </si>
  <si>
    <r>
      <t>Fluid Velocity for Inline Resonance, V</t>
    </r>
    <r>
      <rPr>
        <vertAlign val="subscript"/>
        <sz val="10"/>
        <rFont val="Arial"/>
        <family val="2"/>
      </rPr>
      <t xml:space="preserve">IR </t>
    </r>
  </si>
  <si>
    <r>
      <t>Force Per Unit Area due to oscillating drag In-Line, P</t>
    </r>
    <r>
      <rPr>
        <vertAlign val="subscript"/>
        <sz val="10"/>
        <rFont val="Arial"/>
        <family val="2"/>
      </rPr>
      <t>d</t>
    </r>
  </si>
  <si>
    <t>Pressure (gauge)</t>
  </si>
  <si>
    <t>316L SS</t>
  </si>
  <si>
    <t>A105</t>
  </si>
  <si>
    <t>A182 F5</t>
  </si>
  <si>
    <t>A182 F91</t>
  </si>
  <si>
    <t>Hastelloy C276</t>
  </si>
  <si>
    <t>Monel 400</t>
  </si>
  <si>
    <t>Inconel 600</t>
  </si>
  <si>
    <t>Inconel 625</t>
  </si>
  <si>
    <t>Incoloy 800</t>
  </si>
  <si>
    <t>S31600</t>
  </si>
  <si>
    <t>S31603</t>
  </si>
  <si>
    <t>S30400</t>
  </si>
  <si>
    <t>S30403</t>
  </si>
  <si>
    <t>S31008</t>
  </si>
  <si>
    <t>S32100</t>
  </si>
  <si>
    <t>S34700</t>
  </si>
  <si>
    <t>K03504</t>
  </si>
  <si>
    <t>K41545</t>
  </si>
  <si>
    <t>K11597</t>
  </si>
  <si>
    <t>K21590</t>
  </si>
  <si>
    <t>K90901</t>
  </si>
  <si>
    <t>N10276</t>
  </si>
  <si>
    <t>N04400</t>
  </si>
  <si>
    <t>N06600</t>
  </si>
  <si>
    <t>N06625</t>
  </si>
  <si>
    <t>N08800</t>
  </si>
  <si>
    <t>304L SS</t>
  </si>
  <si>
    <t>316 SS</t>
  </si>
  <si>
    <t>304 SS</t>
  </si>
  <si>
    <t>310 SS</t>
  </si>
  <si>
    <t>347 SS</t>
  </si>
  <si>
    <t>321 SS</t>
  </si>
  <si>
    <t>Modulus Of Elasticity At Service Temp</t>
  </si>
  <si>
    <t>Maximum Allowable Working Stress</t>
  </si>
  <si>
    <t>Fatigue Stress Amplitude Limit</t>
  </si>
  <si>
    <t>Mass Density of Thermowell Material</t>
  </si>
  <si>
    <t>Material Information</t>
  </si>
  <si>
    <t>Fluid Properties</t>
  </si>
  <si>
    <t>Natural Frequency Calculation</t>
  </si>
  <si>
    <t>Scrunton Number Calc</t>
  </si>
  <si>
    <t>Is Strouhal Frequency Less Than In-Line Resonance Frequency?</t>
  </si>
  <si>
    <t>Frequency Limit</t>
  </si>
  <si>
    <r>
      <t>L-L</t>
    </r>
    <r>
      <rPr>
        <vertAlign val="subscript"/>
        <sz val="10"/>
        <rFont val="Arial"/>
        <family val="2"/>
      </rPr>
      <t>s</t>
    </r>
  </si>
  <si>
    <t>Is Fatigue Stress Limit Less Than Combined Stress?</t>
  </si>
  <si>
    <t>Cyclic Stress In-Line Resonance, Evaluation at Support Plane</t>
  </si>
  <si>
    <r>
      <t>Maximum Stress Stepped, No Shielding, G</t>
    </r>
    <r>
      <rPr>
        <vertAlign val="subscript"/>
        <sz val="10"/>
        <rFont val="Arial"/>
        <family val="2"/>
      </rPr>
      <t>SP</t>
    </r>
  </si>
  <si>
    <t>Evaluation at Base of Step (STEP ONLY)</t>
  </si>
  <si>
    <t>Steady State Stress, Evaluation at the support plane</t>
  </si>
  <si>
    <t>Steady State Stress, Evaluation at base of reduced diameter step shank (STEP ONLY)</t>
  </si>
  <si>
    <t>Transverse Lift Ratio of shedding frequency to natural frequency, r</t>
  </si>
  <si>
    <r>
      <t>Transverse Lift Magnification Factor, F</t>
    </r>
    <r>
      <rPr>
        <vertAlign val="subscript"/>
        <sz val="10"/>
        <rFont val="Arial"/>
        <family val="2"/>
      </rPr>
      <t>M</t>
    </r>
  </si>
  <si>
    <t>In-line Ratio of shedding frequency to natural frequency, r'</t>
  </si>
  <si>
    <r>
      <t>In-line Magnification Factor, F</t>
    </r>
    <r>
      <rPr>
        <vertAlign val="subscript"/>
        <sz val="10"/>
        <rFont val="Arial"/>
        <family val="2"/>
      </rPr>
      <t>M</t>
    </r>
    <r>
      <rPr>
        <sz val="10"/>
        <rFont val="Arial"/>
        <family val="2"/>
      </rPr>
      <t>'</t>
    </r>
  </si>
  <si>
    <r>
      <t>Cyclic Stresses Due to Drag, S</t>
    </r>
    <r>
      <rPr>
        <vertAlign val="subscript"/>
        <sz val="10"/>
        <rFont val="Arial"/>
        <family val="2"/>
      </rPr>
      <t>d</t>
    </r>
  </si>
  <si>
    <r>
      <t>Cyclic Stresses Due to Lift, S</t>
    </r>
    <r>
      <rPr>
        <vertAlign val="subscript"/>
        <sz val="10"/>
        <rFont val="Arial"/>
        <family val="2"/>
      </rPr>
      <t>l</t>
    </r>
  </si>
  <si>
    <t>Dynamic Stress at Design Velocity, Evaluation at Support Plane</t>
  </si>
  <si>
    <t>Is the Predicted Stress Less Than Fatigue Stress Limit?</t>
  </si>
  <si>
    <t>Is Von Mises Stress Less Than Stress Limit?</t>
  </si>
  <si>
    <r>
      <t>Allowable External Pressure P</t>
    </r>
    <r>
      <rPr>
        <vertAlign val="subscript"/>
        <sz val="10"/>
        <rFont val="Arial"/>
        <family val="2"/>
      </rPr>
      <t>c</t>
    </r>
  </si>
  <si>
    <t>External Pressure Rating for Tip</t>
  </si>
  <si>
    <t>Is external Pressure Acceptable?</t>
  </si>
  <si>
    <t>Evaluation at base of reduced diameter step shank (STEP ONLY)</t>
  </si>
  <si>
    <t>Safety Factor Fatigue</t>
  </si>
  <si>
    <t>Safety Pressure</t>
  </si>
  <si>
    <t>Table C-6</t>
  </si>
  <si>
    <t>Carbon Steel</t>
  </si>
  <si>
    <t>Austenitic Steel</t>
  </si>
  <si>
    <t>UNS N04400</t>
  </si>
  <si>
    <t>UNS N08XXX</t>
  </si>
  <si>
    <t>UNS N10276</t>
  </si>
  <si>
    <t>UNS N02200/
UNS N06625</t>
  </si>
  <si>
    <t>Temp °F</t>
  </si>
  <si>
    <t>Temp °C</t>
  </si>
  <si>
    <t>Msi</t>
  </si>
  <si>
    <t>Interpolate 'Austenitic Steel' on Mod of E at op temp</t>
  </si>
  <si>
    <t>Interpolate 'Carbon Steel' on Mod of E at op temp</t>
  </si>
  <si>
    <t>Interpolate 'UNS N04400' on Mod of E at op temp</t>
  </si>
  <si>
    <t>UNS N06600</t>
  </si>
  <si>
    <t>Interpolate 'UNS N02200/
UNS N06625' on Mod of E at op temp</t>
  </si>
  <si>
    <t>Interpolate 'UNS N10276' on Mod of E at op temp</t>
  </si>
  <si>
    <t>Interpolate 'UNS N08XXX' on Mod of E at op temp</t>
  </si>
  <si>
    <t>Interpolate 'UNS N06600' on Mod of E at op temp</t>
  </si>
  <si>
    <t>AW</t>
  </si>
  <si>
    <t>NW</t>
  </si>
  <si>
    <t>WM</t>
  </si>
  <si>
    <t>Metal State</t>
  </si>
  <si>
    <t>Table 6-12.3-1</t>
  </si>
  <si>
    <t>Thermowell Material Class</t>
  </si>
  <si>
    <t>A</t>
  </si>
  <si>
    <t>B</t>
  </si>
  <si>
    <t>Material Class B</t>
  </si>
  <si>
    <t>Material Class A</t>
  </si>
  <si>
    <t>Interpolate 'A105' on Max Stress at op temp</t>
  </si>
  <si>
    <t>A182 F316</t>
  </si>
  <si>
    <t>Interpolate 'A182 F316' on Max Stress at op temp</t>
  </si>
  <si>
    <t>A182 F316L</t>
  </si>
  <si>
    <t>Interpolate 'A182 F316L' on Max Stress at op temp</t>
  </si>
  <si>
    <t>A182 F304</t>
  </si>
  <si>
    <t>A182 F304L</t>
  </si>
  <si>
    <t>Interpolate 'A182 F304' on Max Stress at op temp</t>
  </si>
  <si>
    <t>Interpolate 'A182 F304L' on Max Stress at op temp</t>
  </si>
  <si>
    <t>A182 F310</t>
  </si>
  <si>
    <t>Interpolate 'A182 F310' on Max Stress at op temp</t>
  </si>
  <si>
    <t>A182 F321</t>
  </si>
  <si>
    <t>Interpolate 'A182 F321' on Max Stress at op temp</t>
  </si>
  <si>
    <t>A182 F347</t>
  </si>
  <si>
    <t>Interpolate 'A182 F347' on Max Stress at op temp</t>
  </si>
  <si>
    <t>Interpolate 'A182 F5' on Max Stress at op temp</t>
  </si>
  <si>
    <t>Interpolate 'A182 F91' on Max Stress at op temp</t>
  </si>
  <si>
    <t>Interpolate 'UNS N10276' on Max Stress at op temp</t>
  </si>
  <si>
    <t>A182 F11 CL1</t>
  </si>
  <si>
    <t>Interpolate 'A182 F11 CL1' on Max Stress at op temp</t>
  </si>
  <si>
    <t>Interpolate 'UNS N06625' on Max Stress at op temp</t>
  </si>
  <si>
    <t>A182 F22 CL1</t>
  </si>
  <si>
    <t>UNS N06625</t>
  </si>
  <si>
    <t>Interpolate 'UNS N08800' on Max Stress at op temp</t>
  </si>
  <si>
    <t>UNS N08800</t>
  </si>
  <si>
    <t>Interpolate 'A182 F22 CL1' on Max Stress at op temp</t>
  </si>
  <si>
    <t>Pressure</t>
  </si>
  <si>
    <t>Conversion to bar [A/G]</t>
  </si>
  <si>
    <t>Conversion to bar [A]</t>
  </si>
  <si>
    <t>To bar [G]</t>
  </si>
  <si>
    <t>To Pa [A/G]</t>
  </si>
  <si>
    <t>To Pa [A]</t>
  </si>
  <si>
    <t>To Pa [G]</t>
  </si>
  <si>
    <t>Pa [A]</t>
  </si>
  <si>
    <t>Pa [G]</t>
  </si>
  <si>
    <t>kPa [A]</t>
  </si>
  <si>
    <t>kPa [G]</t>
  </si>
  <si>
    <t>N/m² [A]</t>
  </si>
  <si>
    <t>N/m² [G]</t>
  </si>
  <si>
    <t>kN/m² [A]</t>
  </si>
  <si>
    <t>kN/m² [G]</t>
  </si>
  <si>
    <t>bar [A]</t>
  </si>
  <si>
    <t>bar [G]</t>
  </si>
  <si>
    <t>mbar [A]</t>
  </si>
  <si>
    <t>mbar [G]</t>
  </si>
  <si>
    <t>atm [A]</t>
  </si>
  <si>
    <t>atm [B]</t>
  </si>
  <si>
    <t>lb/ft² [A]</t>
  </si>
  <si>
    <t>lb/ft² [G]</t>
  </si>
  <si>
    <t>psi [A]</t>
  </si>
  <si>
    <t>psi [G]</t>
  </si>
  <si>
    <t>in wg [A]</t>
  </si>
  <si>
    <t>in wg [G]</t>
  </si>
  <si>
    <t>mm wg [A]</t>
  </si>
  <si>
    <t>mm wg [G]</t>
  </si>
  <si>
    <t>kgf/cm² [A]</t>
  </si>
  <si>
    <t>kgf/cm² [G]</t>
  </si>
  <si>
    <t>To kg/m³</t>
  </si>
  <si>
    <t>kg/m³</t>
  </si>
  <si>
    <t>lb/ft³</t>
  </si>
  <si>
    <t>lb/UKG</t>
  </si>
  <si>
    <t>To Pa.s</t>
  </si>
  <si>
    <t>To cP</t>
  </si>
  <si>
    <t>kg/ms</t>
  </si>
  <si>
    <t>Poise</t>
  </si>
  <si>
    <t>cP</t>
  </si>
  <si>
    <t>lbf·s/ft²</t>
  </si>
  <si>
    <t>lb/(ft·s)</t>
  </si>
  <si>
    <t>Differential pressure</t>
  </si>
  <si>
    <t>To bar</t>
  </si>
  <si>
    <t>to Pa</t>
  </si>
  <si>
    <t>kPa</t>
  </si>
  <si>
    <t>N/m²</t>
  </si>
  <si>
    <t>kN/m²</t>
  </si>
  <si>
    <t>bar</t>
  </si>
  <si>
    <t>mbar</t>
  </si>
  <si>
    <t>atm</t>
  </si>
  <si>
    <t>lb/ft²</t>
  </si>
  <si>
    <t>psi</t>
  </si>
  <si>
    <t>in wg</t>
  </si>
  <si>
    <t>mm wg</t>
  </si>
  <si>
    <t>kgf/cm²</t>
  </si>
  <si>
    <t>Length</t>
  </si>
  <si>
    <t>To m</t>
  </si>
  <si>
    <t>cm</t>
  </si>
  <si>
    <t>mm</t>
  </si>
  <si>
    <t>in</t>
  </si>
  <si>
    <t>ft</t>
  </si>
  <si>
    <t>Operating Conditions in SI units</t>
  </si>
  <si>
    <t>Item Number</t>
  </si>
  <si>
    <t>To m/s</t>
  </si>
  <si>
    <t>ft/s</t>
  </si>
  <si>
    <t>ft/min</t>
  </si>
  <si>
    <t>Date</t>
  </si>
  <si>
    <t>This spread sheet is version/date:</t>
  </si>
  <si>
    <t>Conversions</t>
  </si>
  <si>
    <t>Thermowell Dimensions in SI units</t>
  </si>
  <si>
    <t>Materials</t>
  </si>
  <si>
    <t>Modulus of Elasticity</t>
  </si>
  <si>
    <t>Max Stress</t>
  </si>
  <si>
    <t>The odd numbers above refer to column offset for looking up in tables below</t>
  </si>
  <si>
    <r>
      <t>Correction Factor, H</t>
    </r>
    <r>
      <rPr>
        <b/>
        <vertAlign val="subscript"/>
        <sz val="10"/>
        <rFont val="Arial"/>
        <family val="2"/>
      </rPr>
      <t>f</t>
    </r>
  </si>
  <si>
    <t>Correction Factor, Hf</t>
  </si>
  <si>
    <t>Compliance Factor, Hc</t>
  </si>
  <si>
    <t>Stress Concentration Factor, Kt</t>
  </si>
  <si>
    <t>Thermowell Material Class A</t>
  </si>
  <si>
    <t>Thermowell Material Class B</t>
  </si>
  <si>
    <t>TWLimits</t>
  </si>
  <si>
    <r>
      <t>Compliance Factor, H</t>
    </r>
    <r>
      <rPr>
        <b/>
        <vertAlign val="subscript"/>
        <sz val="10"/>
        <rFont val="Arial"/>
        <family val="2"/>
      </rPr>
      <t>c</t>
    </r>
  </si>
  <si>
    <r>
      <t>Stress Concentration Factor, K</t>
    </r>
    <r>
      <rPr>
        <b/>
        <vertAlign val="subscript"/>
        <sz val="10"/>
        <rFont val="Arial"/>
        <family val="2"/>
      </rPr>
      <t>t</t>
    </r>
  </si>
  <si>
    <t>Fatigue Endurance Class</t>
  </si>
  <si>
    <r>
      <rPr>
        <sz val="11"/>
        <color indexed="8"/>
        <rFont val="Calibri"/>
        <family val="2"/>
      </rPr>
      <t>°</t>
    </r>
    <r>
      <rPr>
        <sz val="10"/>
        <rFont val="Arial"/>
        <family val="2"/>
      </rPr>
      <t>C</t>
    </r>
  </si>
  <si>
    <t>°F</t>
  </si>
  <si>
    <t>K</t>
  </si>
  <si>
    <t>R</t>
  </si>
  <si>
    <t>done in macros</t>
  </si>
  <si>
    <t>select</t>
  </si>
  <si>
    <r>
      <t>S</t>
    </r>
    <r>
      <rPr>
        <b/>
        <vertAlign val="subscript"/>
        <sz val="10"/>
        <rFont val="Arial"/>
        <family val="2"/>
      </rPr>
      <t>f</t>
    </r>
    <r>
      <rPr>
        <b/>
        <sz val="10"/>
        <rFont val="Arial"/>
        <family val="2"/>
      </rPr>
      <t xml:space="preserve"> (MPa)</t>
    </r>
  </si>
  <si>
    <t>not doing M.W. or S.G.</t>
  </si>
  <si>
    <t>click here to reset data entry page to blank</t>
  </si>
  <si>
    <t>Wake Frequency Calculator</t>
  </si>
  <si>
    <t>Client:</t>
  </si>
  <si>
    <t>ABB Reference:</t>
  </si>
  <si>
    <t>Client Reference:</t>
  </si>
  <si>
    <t>Quote Reference:</t>
  </si>
  <si>
    <t>Project:</t>
  </si>
  <si>
    <t>Item Number:</t>
  </si>
  <si>
    <t>Issue:</t>
  </si>
  <si>
    <t>Tag Number:</t>
  </si>
  <si>
    <t>Date:</t>
  </si>
  <si>
    <t>Thermowell Wake Frequency</t>
  </si>
  <si>
    <t>Input Data</t>
  </si>
  <si>
    <t>Process Data</t>
  </si>
  <si>
    <t>Fluid</t>
  </si>
  <si>
    <t>Operating Pressure</t>
  </si>
  <si>
    <t>Operating Temperature</t>
  </si>
  <si>
    <t>Fluid Density</t>
  </si>
  <si>
    <t>Root Diameter, A</t>
  </si>
  <si>
    <t>Bore Diameter, d</t>
  </si>
  <si>
    <r>
      <t>Fillet Radius at Step, b</t>
    </r>
    <r>
      <rPr>
        <vertAlign val="subscript"/>
        <sz val="12"/>
        <rFont val="Arial"/>
        <family val="2"/>
      </rPr>
      <t>s</t>
    </r>
  </si>
  <si>
    <r>
      <t>Unsupported Length at step, L</t>
    </r>
    <r>
      <rPr>
        <vertAlign val="subscript"/>
        <sz val="12"/>
        <rFont val="Arial"/>
        <family val="2"/>
      </rPr>
      <t>s</t>
    </r>
  </si>
  <si>
    <t>Minimum Wall Thickness, t</t>
  </si>
  <si>
    <t>Material Density</t>
  </si>
  <si>
    <t>Modulus of Elasticity, E</t>
  </si>
  <si>
    <r>
      <t>Modulus of Elasticity at 20°C, E</t>
    </r>
    <r>
      <rPr>
        <vertAlign val="subscript"/>
        <sz val="12"/>
        <rFont val="Arial"/>
        <family val="2"/>
      </rPr>
      <t>ref</t>
    </r>
  </si>
  <si>
    <t>Maximum Allowable Stress, S</t>
  </si>
  <si>
    <t>Calculated Results</t>
  </si>
  <si>
    <r>
      <t>Fatigue Stress, S</t>
    </r>
    <r>
      <rPr>
        <vertAlign val="subscript"/>
        <sz val="12"/>
        <rFont val="Arial"/>
        <family val="2"/>
      </rPr>
      <t>o,max</t>
    </r>
  </si>
  <si>
    <r>
      <t>Steady Stress, LHS</t>
    </r>
    <r>
      <rPr>
        <vertAlign val="subscript"/>
        <sz val="12"/>
        <rFont val="Arial"/>
        <family val="2"/>
      </rPr>
      <t>VM</t>
    </r>
  </si>
  <si>
    <t>Frequency Ratio, r</t>
  </si>
  <si>
    <r>
      <t>Pressure Limit, P</t>
    </r>
    <r>
      <rPr>
        <vertAlign val="subscript"/>
        <sz val="12"/>
        <rFont val="Arial"/>
        <family val="2"/>
      </rPr>
      <t>max</t>
    </r>
  </si>
  <si>
    <r>
      <t>Frequency Ratio Limit, r</t>
    </r>
    <r>
      <rPr>
        <vertAlign val="subscript"/>
        <sz val="12"/>
        <rFont val="Arial"/>
        <family val="2"/>
      </rPr>
      <t>max</t>
    </r>
  </si>
  <si>
    <t>Thermowell Suitability</t>
  </si>
  <si>
    <t>Comments:</t>
  </si>
  <si>
    <t>Wake Frequency Calculation</t>
  </si>
  <si>
    <t>click here to print report(s)</t>
  </si>
  <si>
    <r>
      <t>Natural Frequency, F</t>
    </r>
    <r>
      <rPr>
        <vertAlign val="subscript"/>
        <sz val="12"/>
        <rFont val="Arial"/>
        <family val="2"/>
      </rPr>
      <t>n</t>
    </r>
    <r>
      <rPr>
        <vertAlign val="superscript"/>
        <sz val="12"/>
        <rFont val="Arial"/>
        <family val="2"/>
      </rPr>
      <t>c</t>
    </r>
  </si>
  <si>
    <t>Fillet Radius at step shank, bS</t>
  </si>
  <si>
    <t>enter</t>
  </si>
  <si>
    <t>Basic Info</t>
  </si>
  <si>
    <t>User</t>
  </si>
  <si>
    <t>User defined</t>
  </si>
  <si>
    <t>Safety Fatigue</t>
  </si>
  <si>
    <t>Scrunton Number &gt;2.5</t>
  </si>
  <si>
    <r>
      <t>Reynolds Number &lt;10</t>
    </r>
    <r>
      <rPr>
        <vertAlign val="superscript"/>
        <sz val="10"/>
        <rFont val="Arial"/>
        <family val="2"/>
      </rPr>
      <t>5</t>
    </r>
  </si>
  <si>
    <r>
      <t>Frequency Ratio Limit, r</t>
    </r>
    <r>
      <rPr>
        <vertAlign val="subscript"/>
        <sz val="10"/>
        <rFont val="Arial"/>
        <family val="2"/>
      </rPr>
      <t>max</t>
    </r>
  </si>
  <si>
    <t>STEP Is Von Mises Stress Less Than Stress Limit?</t>
  </si>
  <si>
    <t>STEP Is Fatigue Stress Limit Less Than Combined Stress?</t>
  </si>
  <si>
    <t>STEP Is the Predicted Stress Less Than Fatigue Stress Limit?</t>
  </si>
  <si>
    <t>Cyclic</t>
  </si>
  <si>
    <t>Cyclic STEP</t>
  </si>
  <si>
    <t>Steady</t>
  </si>
  <si>
    <t>Steady STEP</t>
  </si>
  <si>
    <t>Dynamic</t>
  </si>
  <si>
    <t>Dynamic STEP</t>
  </si>
  <si>
    <t>Comment</t>
  </si>
  <si>
    <t>Frequency Limit for Low Density Gases (6-8-2)</t>
  </si>
  <si>
    <r>
      <t>Fillet Radius at step shank, b</t>
    </r>
    <r>
      <rPr>
        <vertAlign val="subscript"/>
        <sz val="10"/>
        <rFont val="Arial"/>
        <family val="2"/>
      </rPr>
      <t>S</t>
    </r>
  </si>
  <si>
    <r>
      <t>Correction Factor for Thermowell, H</t>
    </r>
    <r>
      <rPr>
        <vertAlign val="subscript"/>
        <sz val="10"/>
        <rFont val="Arial"/>
        <family val="2"/>
      </rPr>
      <t>f</t>
    </r>
  </si>
  <si>
    <r>
      <t>R (where Re</t>
    </r>
    <r>
      <rPr>
        <vertAlign val="subscript"/>
        <sz val="10"/>
        <rFont val="Arial"/>
        <family val="2"/>
      </rPr>
      <t>0</t>
    </r>
    <r>
      <rPr>
        <sz val="10"/>
        <rFont val="Arial"/>
        <family val="2"/>
      </rPr>
      <t>=1300)</t>
    </r>
  </si>
  <si>
    <r>
      <t>Fatigue Endurance Limit, F</t>
    </r>
    <r>
      <rPr>
        <vertAlign val="subscript"/>
        <sz val="10"/>
        <rFont val="Arial"/>
        <family val="2"/>
      </rPr>
      <t>T</t>
    </r>
    <r>
      <rPr>
        <sz val="10"/>
        <rFont val="Arial"/>
        <family val="2"/>
      </rPr>
      <t>.F</t>
    </r>
    <r>
      <rPr>
        <vertAlign val="subscript"/>
        <sz val="10"/>
        <rFont val="Arial"/>
        <family val="2"/>
      </rPr>
      <t>E</t>
    </r>
    <r>
      <rPr>
        <sz val="10"/>
        <rFont val="Arial"/>
        <family val="2"/>
      </rPr>
      <t>.S</t>
    </r>
    <r>
      <rPr>
        <vertAlign val="subscript"/>
        <sz val="10"/>
        <rFont val="Arial"/>
        <family val="2"/>
      </rPr>
      <t>f</t>
    </r>
  </si>
  <si>
    <r>
      <t>Lesser of P</t>
    </r>
    <r>
      <rPr>
        <vertAlign val="subscript"/>
        <sz val="10"/>
        <rFont val="Arial"/>
        <family val="2"/>
      </rPr>
      <t>t</t>
    </r>
    <r>
      <rPr>
        <sz val="10"/>
        <rFont val="Arial"/>
        <family val="2"/>
      </rPr>
      <t xml:space="preserve"> and P</t>
    </r>
    <r>
      <rPr>
        <vertAlign val="subscript"/>
        <sz val="10"/>
        <rFont val="Arial"/>
        <family val="2"/>
      </rPr>
      <t>c</t>
    </r>
  </si>
  <si>
    <t>In accordance with ASME PTC 19.3 TW-2010</t>
  </si>
  <si>
    <t>ASME B31.1b-2006</t>
  </si>
  <si>
    <t>ASME B31.3-2008</t>
  </si>
  <si>
    <t>Ksi Table A-3</t>
  </si>
  <si>
    <t>Ksi table A-1</t>
  </si>
  <si>
    <t>Ksi Table A-2</t>
  </si>
  <si>
    <t>Ksi Table A-4</t>
  </si>
  <si>
    <t>Tag Number</t>
  </si>
  <si>
    <t>Output Units</t>
  </si>
  <si>
    <r>
      <t>Lesser of P</t>
    </r>
    <r>
      <rPr>
        <vertAlign val="subscript"/>
        <sz val="10"/>
        <rFont val="Arial"/>
        <family val="2"/>
      </rPr>
      <t>t</t>
    </r>
    <r>
      <rPr>
        <sz val="10"/>
        <rFont val="Arial"/>
        <family val="2"/>
      </rPr>
      <t xml:space="preserve"> and P</t>
    </r>
    <r>
      <rPr>
        <vertAlign val="subscript"/>
        <sz val="10"/>
        <rFont val="Arial"/>
        <family val="2"/>
      </rPr>
      <t>c (input pressure units)</t>
    </r>
  </si>
  <si>
    <t>ABB</t>
  </si>
  <si>
    <r>
      <t>Forced Frequency, F</t>
    </r>
    <r>
      <rPr>
        <vertAlign val="subscript"/>
        <sz val="12"/>
        <rFont val="Arial"/>
        <family val="2"/>
      </rPr>
      <t>s</t>
    </r>
  </si>
  <si>
    <t>Client</t>
  </si>
  <si>
    <t>Client Ref</t>
  </si>
  <si>
    <t>Project</t>
  </si>
  <si>
    <t>ABB Ref</t>
  </si>
  <si>
    <t>Issue</t>
  </si>
  <si>
    <t>Quote Ref</t>
  </si>
  <si>
    <t>Metric (Pa)</t>
  </si>
  <si>
    <t>GPa</t>
  </si>
  <si>
    <t>ABB offer no warranty in respect of the software tool, and all warranties, conditions, terms, representations, statements, undertakings
and obligations, whether expressed or implied by statute, common law, custom, usage or otherwise, are all hereby disclaimed by ABB
and are excluded to the fullest extent permitted by law</t>
  </si>
  <si>
    <r>
      <t>Maximum Stress Straight and Tapered, No Shielding/Shielded, G</t>
    </r>
    <r>
      <rPr>
        <vertAlign val="subscript"/>
        <sz val="10"/>
        <rFont val="Arial"/>
        <family val="2"/>
      </rPr>
      <t>SP</t>
    </r>
  </si>
  <si>
    <r>
      <t>Stepped, No Shielding/Shieldd G</t>
    </r>
    <r>
      <rPr>
        <vertAlign val="subscript"/>
        <sz val="10"/>
        <rFont val="Arial"/>
        <family val="2"/>
      </rPr>
      <t>RD</t>
    </r>
  </si>
  <si>
    <t>Shielded Length of Thermowell</t>
  </si>
  <si>
    <t>Sheilded length of Thermowell</t>
  </si>
  <si>
    <t>47-TG-2705</t>
  </si>
  <si>
    <t>NITROGEN</t>
  </si>
  <si>
    <t>Tapered/Van-Stone/Not Shielded</t>
  </si>
  <si>
    <t>PASS</t>
  </si>
  <si>
    <t>(no comments)</t>
  </si>
  <si>
    <t>Flanged with Full Penetration Weld</t>
  </si>
  <si>
    <t>Flanged with Fillet and Groove Weld</t>
  </si>
  <si>
    <t>Flanged, Forged</t>
  </si>
  <si>
    <t>b</t>
  </si>
  <si>
    <t>d</t>
  </si>
  <si>
    <t>t</t>
  </si>
  <si>
    <t>L</t>
  </si>
  <si>
    <t>LS</t>
  </si>
  <si>
    <t>T</t>
  </si>
  <si>
    <t>Name</t>
  </si>
  <si>
    <t>GADrawing1</t>
  </si>
  <si>
    <t>Dia P2</t>
  </si>
  <si>
    <t>Dia P3</t>
  </si>
  <si>
    <t>bS</t>
  </si>
  <si>
    <t>GADrawing2</t>
  </si>
  <si>
    <t>GADrawing3</t>
  </si>
  <si>
    <t>GENERAL ASSEMBLY DRAWING - DO NOT SCALE</t>
  </si>
  <si>
    <t>For dimensions see previous page</t>
  </si>
  <si>
    <t>GADrawing4</t>
  </si>
  <si>
    <t>GADrawing7</t>
  </si>
  <si>
    <t>GADrawing10</t>
  </si>
  <si>
    <t>GADrawing14</t>
  </si>
  <si>
    <t>GADrawing5</t>
  </si>
  <si>
    <t>GADrawing8</t>
  </si>
  <si>
    <t>GADrawing11</t>
  </si>
  <si>
    <t>GADrawing6</t>
  </si>
  <si>
    <t>GADrawing9</t>
  </si>
  <si>
    <t>GADrawing12</t>
  </si>
  <si>
    <t>GADrawing15</t>
  </si>
  <si>
    <t>GADrawing18</t>
  </si>
  <si>
    <t>GADrawing21</t>
  </si>
  <si>
    <t>GADrawing13</t>
  </si>
  <si>
    <t>GADrawing16</t>
  </si>
  <si>
    <t>GADrawing19</t>
  </si>
  <si>
    <t>GADrawing17</t>
  </si>
  <si>
    <t>GADrawing20</t>
  </si>
  <si>
    <t>GA Drawings</t>
  </si>
  <si>
    <t>External Length, T</t>
  </si>
  <si>
    <t>External Length, T
(GA Drawing)</t>
  </si>
  <si>
    <t>External Dia P3
(GA Drawing)</t>
  </si>
  <si>
    <t>Minimum Tip Thickness, t</t>
  </si>
  <si>
    <t>316SS</t>
  </si>
  <si>
    <t>Min. tip thickness, t</t>
  </si>
  <si>
    <t>Organisation</t>
  </si>
  <si>
    <t>for further information contact:</t>
  </si>
  <si>
    <t>Name:</t>
  </si>
  <si>
    <t>Company:</t>
  </si>
  <si>
    <t>No</t>
  </si>
  <si>
    <t>Reynolds number</t>
  </si>
  <si>
    <t>Strouhal number (Ns)</t>
  </si>
  <si>
    <t xml:space="preserve"> </t>
  </si>
  <si>
    <t>In accordance with ASME PTC 19.3 TW-2016</t>
  </si>
  <si>
    <t>Frequency Limit satisfies equations 6-8-8 or 6-8-9</t>
  </si>
  <si>
    <t>Water</t>
  </si>
  <si>
    <t>Test</t>
  </si>
  <si>
    <t>Straight/Flanged with Full Penetration Weld/Not Shielded</t>
  </si>
  <si>
    <t>Straight/Flanged with Full Penetration Weld</t>
  </si>
  <si>
    <t>V3.03</t>
  </si>
  <si>
    <t>this workbook will work up to 31st December 2020</t>
  </si>
  <si>
    <t>Not Shielded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</si>
</sst>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44" x14ac:knownFonts="1">
    <font>
      <sz val="10"/>
      <name val="Arial"/>
    </font>
    <font>
      <sz val="10"/>
      <name val="Arial"/>
      <family val="2"/>
    </font>
    <font>
      <sz val="8"/>
      <color indexed="81"/>
      <name val="Tahoma"/>
      <family val="2"/>
    </font>
    <font>
      <b/>
      <sz val="8"/>
      <color indexed="81"/>
      <name val="Tahoma"/>
      <family val="2"/>
    </font>
    <font>
      <sz val="10"/>
      <name val="Times New Roman"/>
      <family val="1"/>
    </font>
    <font>
      <vertAlign val="superscript"/>
      <sz val="10"/>
      <name val="Arial"/>
      <family val="2"/>
    </font>
    <font>
      <vertAlign val="subscript"/>
      <sz val="10"/>
      <name val="Arial"/>
      <family val="2"/>
    </font>
    <font>
      <sz val="10"/>
      <name val="Arial"/>
      <family val="2"/>
    </font>
    <font>
      <sz val="8"/>
      <name val="Arial"/>
      <family val="2"/>
    </font>
    <font>
      <b/>
      <sz val="11"/>
      <color indexed="8"/>
      <name val="Calibri"/>
      <family val="2"/>
    </font>
    <font>
      <b/>
      <sz val="16"/>
      <color indexed="8"/>
      <name val="Calibri"/>
      <family val="2"/>
    </font>
    <font>
      <b/>
      <sz val="11"/>
      <color indexed="8"/>
      <name val="Calibri"/>
      <family val="2"/>
    </font>
    <font>
      <i/>
      <sz val="11"/>
      <color indexed="8"/>
      <name val="Calibri"/>
      <family val="2"/>
    </font>
    <font>
      <sz val="12"/>
      <name val="Times New Roman"/>
      <family val="1"/>
    </font>
    <font>
      <sz val="11"/>
      <color indexed="8"/>
      <name val="Calibri"/>
      <family val="2"/>
    </font>
    <font>
      <b/>
      <sz val="11"/>
      <color indexed="8"/>
      <name val="Calibri"/>
      <family val="2"/>
    </font>
    <font>
      <sz val="10"/>
      <color indexed="8"/>
      <name val="Arial"/>
      <family val="2"/>
    </font>
    <font>
      <i/>
      <sz val="8"/>
      <color indexed="8"/>
      <name val="Arial"/>
      <family val="2"/>
    </font>
    <font>
      <sz val="8"/>
      <color indexed="8"/>
      <name val="Arial"/>
      <family val="2"/>
    </font>
    <font>
      <b/>
      <sz val="16"/>
      <color indexed="56"/>
      <name val="Arial"/>
      <family val="2"/>
    </font>
    <font>
      <b/>
      <sz val="10"/>
      <name val="Arial"/>
      <family val="2"/>
    </font>
    <font>
      <i/>
      <sz val="10"/>
      <name val="Arial"/>
      <family val="2"/>
    </font>
    <font>
      <b/>
      <vertAlign val="subscript"/>
      <sz val="10"/>
      <name val="Arial"/>
      <family val="2"/>
    </font>
    <font>
      <i/>
      <sz val="11"/>
      <color indexed="8"/>
      <name val="Calibri"/>
      <family val="2"/>
    </font>
    <font>
      <i/>
      <sz val="11"/>
      <color indexed="8"/>
      <name val="Calibri"/>
      <family val="2"/>
    </font>
    <font>
      <sz val="12"/>
      <name val="Arial"/>
      <family val="2"/>
    </font>
    <font>
      <b/>
      <sz val="14"/>
      <name val="Arial"/>
      <family val="2"/>
    </font>
    <font>
      <b/>
      <sz val="12"/>
      <name val="Arial"/>
      <family val="2"/>
    </font>
    <font>
      <vertAlign val="subscript"/>
      <sz val="12"/>
      <name val="Arial"/>
      <family val="2"/>
    </font>
    <font>
      <sz val="16"/>
      <name val="Arial"/>
      <family val="2"/>
    </font>
    <font>
      <sz val="26"/>
      <name val="Arial"/>
      <family val="2"/>
    </font>
    <font>
      <sz val="8"/>
      <name val="Arial"/>
      <family val="2"/>
    </font>
    <font>
      <vertAlign val="superscript"/>
      <sz val="12"/>
      <name val="Arial"/>
      <family val="2"/>
    </font>
    <font>
      <sz val="10"/>
      <name val="Arial"/>
      <family val="2"/>
    </font>
    <font>
      <sz val="72"/>
      <color indexed="10"/>
      <name val="ABB Logo"/>
      <charset val="2"/>
    </font>
    <font>
      <sz val="60"/>
      <color indexed="10"/>
      <name val="ABB Logo"/>
      <charset val="2"/>
    </font>
    <font>
      <b/>
      <sz val="18"/>
      <name val="Arial"/>
      <family val="2"/>
    </font>
    <font>
      <b/>
      <i/>
      <sz val="16"/>
      <color indexed="8"/>
      <name val="Calibri"/>
      <family val="2"/>
    </font>
    <font>
      <b/>
      <i/>
      <sz val="10"/>
      <name val="Arial"/>
      <family val="2"/>
    </font>
    <font>
      <sz val="8"/>
      <name val="Arial"/>
      <family val="2"/>
    </font>
    <font>
      <sz val="11"/>
      <color theme="1"/>
      <name val="Calibri"/>
      <family val="2"/>
      <scheme val="minor"/>
    </font>
    <font>
      <sz val="10"/>
      <color rgb="FF000000"/>
      <name val="Arial"/>
      <family val="2"/>
    </font>
    <font>
      <sz val="9"/>
      <color indexed="81"/>
      <name val="Tahoma"/>
      <family val="2"/>
    </font>
    <font>
      <i/>
      <sz val="10"/>
      <color rgb="FFFF0000"/>
      <name val="Arial"/>
      <family val="2"/>
    </font>
  </fonts>
  <fills count="13">
    <fill>
      <patternFill patternType="none"/>
    </fill>
    <fill>
      <patternFill patternType="gray125"/>
    </fill>
    <fill>
      <patternFill patternType="solid">
        <fgColor indexed="9"/>
      </patternFill>
    </fill>
    <fill>
      <patternFill patternType="solid">
        <fgColor indexed="45"/>
        <bgColor indexed="64"/>
      </patternFill>
    </fill>
    <fill>
      <patternFill patternType="solid">
        <fgColor indexed="22"/>
        <bgColor indexed="64"/>
      </patternFill>
    </fill>
    <fill>
      <patternFill patternType="solid">
        <fgColor indexed="26"/>
        <bgColor indexed="64"/>
      </patternFill>
    </fill>
    <fill>
      <patternFill patternType="solid">
        <fgColor indexed="51"/>
        <bgColor indexed="64"/>
      </patternFill>
    </fill>
    <fill>
      <patternFill patternType="solid">
        <fgColor indexed="46"/>
        <bgColor indexed="64"/>
      </patternFill>
    </fill>
    <fill>
      <patternFill patternType="solid">
        <fgColor indexed="13"/>
        <bgColor indexed="64"/>
      </patternFill>
    </fill>
    <fill>
      <patternFill patternType="solid">
        <fgColor indexed="42"/>
        <bgColor indexed="64"/>
      </patternFill>
    </fill>
    <fill>
      <patternFill patternType="solid">
        <fgColor indexed="43"/>
        <bgColor indexed="64"/>
      </patternFill>
    </fill>
    <fill>
      <patternFill patternType="solid">
        <fgColor indexed="15"/>
        <bgColor indexed="64"/>
      </patternFill>
    </fill>
    <fill>
      <patternFill patternType="solid">
        <fgColor indexed="47"/>
        <bgColor indexed="64"/>
      </patternFill>
    </fill>
  </fills>
  <borders count="37">
    <border>
      <left/>
      <right/>
      <top/>
      <bottom/>
      <diagonal/>
    </border>
    <border>
      <left style="thin">
        <color indexed="22"/>
      </left>
      <right style="thin">
        <color indexed="22"/>
      </right>
      <top style="thin">
        <color indexed="22"/>
      </top>
      <bottom style="thin">
        <color indexed="22"/>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right style="thin">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22"/>
      </top>
      <bottom style="thin">
        <color indexed="22"/>
      </bottom>
      <diagonal/>
    </border>
    <border>
      <left style="thin">
        <color indexed="22"/>
      </left>
      <right/>
      <top style="thin">
        <color indexed="22"/>
      </top>
      <bottom/>
      <diagonal/>
    </border>
    <border>
      <left/>
      <right style="thin">
        <color indexed="22"/>
      </right>
      <top/>
      <bottom/>
      <diagonal/>
    </border>
    <border>
      <left style="thin">
        <color indexed="64"/>
      </left>
      <right style="thin">
        <color indexed="64"/>
      </right>
      <top style="thin">
        <color indexed="64"/>
      </top>
      <bottom style="thin">
        <color indexed="22"/>
      </bottom>
      <diagonal/>
    </border>
    <border>
      <left style="thin">
        <color indexed="22"/>
      </left>
      <right style="thin">
        <color indexed="22"/>
      </right>
      <top/>
      <bottom/>
      <diagonal/>
    </border>
    <border>
      <left style="thin">
        <color indexed="64"/>
      </left>
      <right/>
      <top style="thin">
        <color indexed="22"/>
      </top>
      <bottom style="thin">
        <color indexed="22"/>
      </bottom>
      <diagonal/>
    </border>
    <border>
      <left/>
      <right/>
      <top/>
      <bottom style="thin">
        <color indexed="22"/>
      </bottom>
      <diagonal/>
    </border>
    <border>
      <left style="thin">
        <color auto="1"/>
      </left>
      <right/>
      <top/>
      <bottom/>
      <diagonal/>
    </border>
    <border>
      <left style="thin">
        <color auto="1"/>
      </left>
      <right/>
      <top style="thin">
        <color auto="1"/>
      </top>
      <bottom/>
      <diagonal/>
    </border>
    <border>
      <left/>
      <right style="thin">
        <color indexed="64"/>
      </right>
      <top style="thin">
        <color auto="1"/>
      </top>
      <bottom/>
      <diagonal/>
    </border>
    <border>
      <left style="dashDot">
        <color indexed="52"/>
      </left>
      <right style="dashDot">
        <color indexed="52"/>
      </right>
      <top style="dashDot">
        <color indexed="52"/>
      </top>
      <bottom style="dashDot">
        <color indexed="52"/>
      </bottom>
      <diagonal/>
    </border>
    <border>
      <left style="dashDot">
        <color indexed="52"/>
      </left>
      <right/>
      <top style="dashDot">
        <color indexed="52"/>
      </top>
      <bottom style="dashDot">
        <color indexed="52"/>
      </bottom>
      <diagonal/>
    </border>
    <border>
      <left style="dashDot">
        <color indexed="52"/>
      </left>
      <right style="dashDot">
        <color indexed="52"/>
      </right>
      <top/>
      <bottom style="dashDot">
        <color indexed="52"/>
      </bottom>
      <diagonal/>
    </border>
    <border>
      <left style="thin">
        <color indexed="22"/>
      </left>
      <right style="thin">
        <color indexed="22"/>
      </right>
      <top/>
      <bottom style="thin">
        <color indexed="22"/>
      </bottom>
      <diagonal/>
    </border>
    <border>
      <left style="thin">
        <color indexed="22"/>
      </left>
      <right/>
      <top/>
      <bottom style="thin">
        <color indexed="22"/>
      </bottom>
      <diagonal/>
    </border>
  </borders>
  <cellStyleXfs count="3">
    <xf numFmtId="0" fontId="0" fillId="0" borderId="0"/>
    <xf numFmtId="0" fontId="40" fillId="0" borderId="0"/>
    <xf numFmtId="0" fontId="13" fillId="2" borderId="0"/>
  </cellStyleXfs>
  <cellXfs count="327">
    <xf numFmtId="0" fontId="0" fillId="0" borderId="0" xfId="0"/>
    <xf numFmtId="0" fontId="0" fillId="0" borderId="0" xfId="0" applyAlignment="1">
      <alignment horizontal="center"/>
    </xf>
    <xf numFmtId="0" fontId="0" fillId="3" borderId="0" xfId="0" applyFill="1"/>
    <xf numFmtId="0" fontId="0" fillId="3" borderId="0" xfId="0" applyFill="1" applyAlignment="1">
      <alignment horizontal="center"/>
    </xf>
    <xf numFmtId="0" fontId="0" fillId="3" borderId="0" xfId="0" quotePrefix="1" applyFill="1" applyAlignment="1">
      <alignment horizontal="center"/>
    </xf>
    <xf numFmtId="0" fontId="0" fillId="0" borderId="0" xfId="0" applyAlignment="1"/>
    <xf numFmtId="14" fontId="0" fillId="0" borderId="0" xfId="0" applyNumberFormat="1"/>
    <xf numFmtId="0" fontId="0" fillId="0" borderId="0" xfId="0" applyAlignment="1">
      <alignment horizontal="center" vertical="center" wrapText="1"/>
    </xf>
    <xf numFmtId="0" fontId="0" fillId="0" borderId="0" xfId="0" applyAlignment="1">
      <alignment horizontal="center" vertical="center"/>
    </xf>
    <xf numFmtId="0" fontId="7" fillId="0" borderId="0" xfId="0" applyFont="1" applyAlignment="1">
      <alignment horizontal="center" vertical="center"/>
    </xf>
    <xf numFmtId="0" fontId="8" fillId="0" borderId="0" xfId="0" applyFont="1" applyFill="1" applyBorder="1" applyAlignment="1" applyProtection="1">
      <alignment horizontal="center" vertical="center" wrapText="1"/>
      <protection hidden="1"/>
    </xf>
    <xf numFmtId="0" fontId="7" fillId="0" borderId="0" xfId="0" applyFont="1" applyFill="1" applyBorder="1" applyAlignment="1" applyProtection="1">
      <alignment horizontal="center" vertical="center" wrapText="1"/>
      <protection hidden="1"/>
    </xf>
    <xf numFmtId="0" fontId="0" fillId="0" borderId="0" xfId="0" applyAlignment="1">
      <alignment wrapText="1"/>
    </xf>
    <xf numFmtId="0" fontId="7" fillId="0" borderId="0" xfId="0" quotePrefix="1" applyFont="1" applyFill="1" applyBorder="1" applyAlignment="1" applyProtection="1">
      <alignment horizontal="center" vertical="center" wrapText="1"/>
      <protection hidden="1"/>
    </xf>
    <xf numFmtId="0" fontId="0" fillId="0" borderId="0" xfId="0" applyFill="1" applyBorder="1"/>
    <xf numFmtId="0" fontId="0" fillId="0" borderId="0" xfId="0" applyBorder="1"/>
    <xf numFmtId="0" fontId="10" fillId="0" borderId="0" xfId="1" applyFont="1"/>
    <xf numFmtId="0" fontId="40" fillId="0" borderId="0" xfId="1"/>
    <xf numFmtId="0" fontId="11" fillId="0" borderId="0" xfId="1" applyFont="1"/>
    <xf numFmtId="11" fontId="40" fillId="0" borderId="0" xfId="1" applyNumberFormat="1"/>
    <xf numFmtId="0" fontId="40" fillId="0" borderId="0" xfId="1" applyNumberFormat="1"/>
    <xf numFmtId="0" fontId="12" fillId="0" borderId="0" xfId="1" applyFont="1"/>
    <xf numFmtId="2" fontId="40" fillId="0" borderId="0" xfId="1" applyNumberFormat="1"/>
    <xf numFmtId="0" fontId="9" fillId="0" borderId="0" xfId="1" applyFont="1"/>
    <xf numFmtId="0" fontId="15" fillId="0" borderId="0" xfId="1" applyFont="1"/>
    <xf numFmtId="0" fontId="7" fillId="0" borderId="0" xfId="0" applyFont="1" applyAlignment="1">
      <alignment horizontal="right"/>
    </xf>
    <xf numFmtId="15" fontId="18" fillId="0" borderId="2" xfId="0" applyNumberFormat="1" applyFont="1" applyBorder="1"/>
    <xf numFmtId="0" fontId="18" fillId="0" borderId="3" xfId="0" applyFont="1" applyBorder="1" applyAlignment="1">
      <alignment horizontal="center"/>
    </xf>
    <xf numFmtId="0" fontId="20" fillId="0" borderId="0" xfId="0" applyFont="1"/>
    <xf numFmtId="0" fontId="0" fillId="0" borderId="4" xfId="0" applyBorder="1" applyAlignment="1">
      <alignment vertical="center" wrapText="1"/>
    </xf>
    <xf numFmtId="0" fontId="0" fillId="0" borderId="0" xfId="0" applyBorder="1" applyAlignment="1">
      <alignment vertical="center"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0" fillId="0" borderId="5" xfId="0" applyBorder="1" applyAlignment="1">
      <alignment vertical="center" wrapText="1"/>
    </xf>
    <xf numFmtId="0" fontId="8" fillId="0" borderId="6" xfId="0" applyFont="1" applyFill="1" applyBorder="1" applyAlignment="1" applyProtection="1">
      <alignment horizontal="center" vertical="center" wrapText="1"/>
      <protection hidden="1"/>
    </xf>
    <xf numFmtId="0" fontId="7" fillId="0" borderId="6" xfId="0" applyFont="1" applyFill="1" applyBorder="1" applyAlignment="1" applyProtection="1">
      <alignment horizontal="center" vertical="center" wrapText="1"/>
      <protection hidden="1"/>
    </xf>
    <xf numFmtId="0" fontId="0" fillId="0" borderId="2" xfId="0" applyBorder="1" applyAlignment="1">
      <alignment vertical="center" wrapText="1"/>
    </xf>
    <xf numFmtId="0" fontId="0" fillId="0" borderId="6" xfId="0" applyBorder="1" applyAlignment="1">
      <alignment vertical="center" wrapText="1"/>
    </xf>
    <xf numFmtId="0" fontId="0" fillId="0" borderId="7" xfId="0" applyBorder="1" applyAlignment="1">
      <alignment vertical="center" wrapText="1"/>
    </xf>
    <xf numFmtId="0" fontId="8" fillId="0" borderId="8" xfId="0" applyFont="1" applyFill="1" applyBorder="1" applyAlignment="1" applyProtection="1">
      <alignment horizontal="center" vertical="center" wrapText="1"/>
      <protection hidden="1"/>
    </xf>
    <xf numFmtId="0" fontId="7" fillId="0" borderId="8" xfId="0" applyFont="1" applyFill="1" applyBorder="1" applyAlignment="1" applyProtection="1">
      <alignment horizontal="center" vertical="center" wrapText="1"/>
      <protection hidden="1"/>
    </xf>
    <xf numFmtId="0" fontId="0" fillId="0" borderId="9" xfId="0" applyBorder="1" applyAlignment="1">
      <alignment vertical="center" wrapText="1"/>
    </xf>
    <xf numFmtId="0" fontId="0" fillId="0" borderId="8" xfId="0" applyBorder="1" applyAlignment="1">
      <alignment vertical="center" wrapText="1"/>
    </xf>
    <xf numFmtId="0" fontId="0" fillId="0" borderId="10" xfId="0" applyBorder="1" applyAlignment="1">
      <alignment vertical="center" wrapText="1"/>
    </xf>
    <xf numFmtId="0" fontId="7" fillId="0" borderId="0" xfId="0" applyFont="1" applyAlignment="1">
      <alignment horizontal="center" vertical="center" wrapText="1"/>
    </xf>
    <xf numFmtId="0" fontId="7" fillId="0" borderId="0" xfId="0" applyFont="1" applyAlignment="1">
      <alignment wrapText="1"/>
    </xf>
    <xf numFmtId="0" fontId="21" fillId="0" borderId="0" xfId="0" applyFont="1" applyAlignment="1"/>
    <xf numFmtId="0" fontId="20" fillId="0" borderId="0" xfId="0" applyFont="1" applyAlignment="1">
      <alignment horizontal="center" vertical="center" wrapText="1"/>
    </xf>
    <xf numFmtId="0" fontId="7" fillId="0" borderId="11" xfId="0" applyFont="1" applyBorder="1" applyAlignment="1">
      <alignment vertical="center" wrapText="1"/>
    </xf>
    <xf numFmtId="0" fontId="7" fillId="0" borderId="12" xfId="0" applyFont="1" applyBorder="1" applyAlignment="1">
      <alignment vertical="center" wrapText="1"/>
    </xf>
    <xf numFmtId="0" fontId="7" fillId="0" borderId="3" xfId="0" applyFont="1" applyBorder="1" applyAlignment="1">
      <alignment vertical="center" wrapText="1"/>
    </xf>
    <xf numFmtId="0" fontId="0" fillId="0" borderId="3" xfId="0" applyBorder="1" applyAlignment="1">
      <alignment horizontal="center" vertical="center" wrapText="1"/>
    </xf>
    <xf numFmtId="0" fontId="14" fillId="0" borderId="0" xfId="1" applyFont="1"/>
    <xf numFmtId="0" fontId="23" fillId="0" borderId="0" xfId="1" applyFont="1"/>
    <xf numFmtId="0" fontId="20" fillId="0" borderId="0" xfId="0" applyFont="1" applyFill="1" applyBorder="1"/>
    <xf numFmtId="0" fontId="24" fillId="0" borderId="0" xfId="1" applyFont="1"/>
    <xf numFmtId="0" fontId="21" fillId="0" borderId="0" xfId="0" applyFont="1"/>
    <xf numFmtId="0" fontId="27" fillId="0" borderId="9" xfId="0" applyFont="1" applyBorder="1" applyAlignment="1">
      <alignment vertical="center"/>
    </xf>
    <xf numFmtId="0" fontId="25" fillId="0" borderId="4" xfId="0" applyFont="1" applyBorder="1" applyAlignment="1">
      <alignment vertical="center"/>
    </xf>
    <xf numFmtId="0" fontId="27" fillId="0" borderId="4" xfId="0" applyFont="1" applyBorder="1" applyAlignment="1">
      <alignment vertical="center"/>
    </xf>
    <xf numFmtId="0" fontId="25" fillId="0" borderId="0" xfId="0" applyFont="1" applyBorder="1" applyAlignment="1">
      <alignment vertical="center"/>
    </xf>
    <xf numFmtId="0" fontId="25" fillId="0" borderId="2" xfId="0" applyFont="1" applyBorder="1" applyAlignment="1">
      <alignment vertical="center"/>
    </xf>
    <xf numFmtId="0" fontId="25" fillId="0" borderId="9" xfId="0" applyFont="1" applyBorder="1" applyAlignment="1">
      <alignment vertical="center"/>
    </xf>
    <xf numFmtId="0" fontId="0" fillId="0" borderId="0" xfId="0" applyBorder="1" applyAlignment="1">
      <alignment vertical="center"/>
    </xf>
    <xf numFmtId="0" fontId="0" fillId="0" borderId="12" xfId="0" applyBorder="1" applyAlignment="1">
      <alignment vertical="center"/>
    </xf>
    <xf numFmtId="0" fontId="30" fillId="0" borderId="0" xfId="0" applyFont="1" applyBorder="1" applyAlignment="1">
      <alignment vertical="center"/>
    </xf>
    <xf numFmtId="0" fontId="25" fillId="0" borderId="12" xfId="0" applyFont="1" applyBorder="1" applyAlignment="1">
      <alignment vertical="center"/>
    </xf>
    <xf numFmtId="0" fontId="25" fillId="0" borderId="3" xfId="0" applyFont="1" applyBorder="1" applyAlignment="1">
      <alignment vertical="center"/>
    </xf>
    <xf numFmtId="0" fontId="25" fillId="0" borderId="0" xfId="0" applyFont="1" applyBorder="1" applyAlignment="1">
      <alignment horizontal="left" vertical="center"/>
    </xf>
    <xf numFmtId="0" fontId="25" fillId="0" borderId="8" xfId="0" applyFont="1" applyBorder="1" applyAlignment="1">
      <alignment vertical="center"/>
    </xf>
    <xf numFmtId="0" fontId="25" fillId="0" borderId="11" xfId="0" applyFont="1" applyBorder="1" applyAlignment="1">
      <alignment vertical="center"/>
    </xf>
    <xf numFmtId="0" fontId="25" fillId="0" borderId="12" xfId="0" applyFont="1" applyBorder="1"/>
    <xf numFmtId="0" fontId="25" fillId="0" borderId="0" xfId="0" applyFont="1" applyFill="1" applyBorder="1" applyAlignment="1">
      <alignment vertical="center"/>
    </xf>
    <xf numFmtId="0" fontId="25" fillId="0" borderId="12" xfId="0" applyFont="1" applyFill="1" applyBorder="1" applyAlignment="1">
      <alignment vertical="center"/>
    </xf>
    <xf numFmtId="0" fontId="25" fillId="0" borderId="6" xfId="0" applyFont="1" applyBorder="1" applyAlignment="1">
      <alignment vertical="center"/>
    </xf>
    <xf numFmtId="0" fontId="25" fillId="0" borderId="11" xfId="0" applyFont="1" applyBorder="1"/>
    <xf numFmtId="0" fontId="25" fillId="0" borderId="0" xfId="0" applyFont="1" applyBorder="1" applyAlignment="1">
      <alignment horizontal="left"/>
    </xf>
    <xf numFmtId="0" fontId="0" fillId="4" borderId="0" xfId="0" applyFill="1" applyProtection="1"/>
    <xf numFmtId="0" fontId="0" fillId="0" borderId="4" xfId="0" applyBorder="1" applyProtection="1"/>
    <xf numFmtId="0" fontId="0" fillId="0" borderId="0" xfId="0" applyBorder="1" applyProtection="1"/>
    <xf numFmtId="0" fontId="0" fillId="0" borderId="0" xfId="0" applyProtection="1"/>
    <xf numFmtId="0" fontId="7" fillId="0" borderId="0" xfId="0" applyFont="1" applyFill="1" applyBorder="1" applyAlignment="1" applyProtection="1">
      <alignment horizontal="center"/>
    </xf>
    <xf numFmtId="0" fontId="0" fillId="0" borderId="12" xfId="0" applyFill="1" applyBorder="1" applyAlignment="1" applyProtection="1">
      <alignment horizontal="center"/>
    </xf>
    <xf numFmtId="0" fontId="0" fillId="0" borderId="0" xfId="0" applyAlignment="1" applyProtection="1">
      <alignment horizontal="center"/>
    </xf>
    <xf numFmtId="0" fontId="0" fillId="0" borderId="12" xfId="0" applyBorder="1" applyProtection="1"/>
    <xf numFmtId="0" fontId="0" fillId="0" borderId="0" xfId="0" applyBorder="1" applyAlignment="1" applyProtection="1">
      <alignment horizontal="center"/>
    </xf>
    <xf numFmtId="0" fontId="0" fillId="0" borderId="4" xfId="0" applyBorder="1" applyAlignment="1" applyProtection="1">
      <alignment horizontal="center"/>
    </xf>
    <xf numFmtId="0" fontId="7" fillId="0" borderId="3" xfId="0" applyFont="1" applyFill="1" applyBorder="1" applyAlignment="1" applyProtection="1">
      <alignment horizontal="center" textRotation="90" wrapText="1"/>
    </xf>
    <xf numFmtId="0" fontId="7" fillId="0" borderId="2" xfId="0" applyFont="1" applyFill="1" applyBorder="1" applyAlignment="1" applyProtection="1">
      <alignment horizontal="center" textRotation="90" wrapText="1"/>
    </xf>
    <xf numFmtId="0" fontId="7" fillId="0" borderId="6" xfId="0" applyFont="1" applyBorder="1" applyAlignment="1" applyProtection="1">
      <alignment horizontal="center" textRotation="90" wrapText="1"/>
    </xf>
    <xf numFmtId="0" fontId="7" fillId="0" borderId="3" xfId="0" applyFont="1" applyBorder="1" applyAlignment="1" applyProtection="1">
      <alignment horizontal="center" textRotation="90" wrapText="1"/>
    </xf>
    <xf numFmtId="0" fontId="7" fillId="0" borderId="0" xfId="0" applyFont="1" applyAlignment="1" applyProtection="1">
      <alignment horizontal="center" textRotation="90"/>
    </xf>
    <xf numFmtId="0" fontId="7" fillId="0" borderId="0" xfId="0" applyFont="1" applyFill="1" applyBorder="1" applyAlignment="1" applyProtection="1">
      <alignment horizontal="center" textRotation="90" wrapText="1"/>
    </xf>
    <xf numFmtId="0" fontId="4" fillId="0" borderId="0" xfId="0" applyFont="1" applyFill="1" applyAlignment="1" applyProtection="1">
      <alignment horizontal="center" textRotation="90" wrapText="1"/>
    </xf>
    <xf numFmtId="0" fontId="0" fillId="4" borderId="0" xfId="0" applyFill="1" applyAlignment="1" applyProtection="1">
      <alignment horizontal="center"/>
    </xf>
    <xf numFmtId="0" fontId="0" fillId="0" borderId="4" xfId="0" applyFill="1" applyBorder="1" applyAlignment="1" applyProtection="1">
      <alignment horizontal="center"/>
    </xf>
    <xf numFmtId="0" fontId="0" fillId="0" borderId="0" xfId="0" applyFill="1" applyAlignment="1" applyProtection="1">
      <alignment horizontal="center"/>
    </xf>
    <xf numFmtId="0" fontId="0" fillId="0" borderId="0" xfId="0" applyFont="1" applyFill="1" applyBorder="1" applyAlignment="1" applyProtection="1">
      <alignment horizontal="center"/>
    </xf>
    <xf numFmtId="0" fontId="0" fillId="0" borderId="11" xfId="0" applyFont="1" applyFill="1" applyBorder="1" applyAlignment="1" applyProtection="1">
      <alignment horizontal="center"/>
    </xf>
    <xf numFmtId="0" fontId="0" fillId="0" borderId="10" xfId="0" applyFill="1" applyBorder="1" applyAlignment="1" applyProtection="1">
      <alignment horizontal="center"/>
    </xf>
    <xf numFmtId="0" fontId="0" fillId="0" borderId="4" xfId="0" applyFill="1" applyBorder="1" applyProtection="1"/>
    <xf numFmtId="0" fontId="0" fillId="0" borderId="0" xfId="0" applyFill="1" applyProtection="1"/>
    <xf numFmtId="0" fontId="0" fillId="0" borderId="12" xfId="0" applyFill="1" applyBorder="1" applyProtection="1"/>
    <xf numFmtId="0" fontId="0" fillId="0" borderId="4" xfId="0" applyNumberFormat="1" applyBorder="1" applyProtection="1"/>
    <xf numFmtId="0" fontId="0" fillId="0" borderId="0" xfId="0" applyFill="1" applyBorder="1" applyProtection="1"/>
    <xf numFmtId="0" fontId="7" fillId="0" borderId="0" xfId="0" applyFont="1" applyBorder="1" applyAlignment="1">
      <alignment vertical="center" wrapText="1"/>
    </xf>
    <xf numFmtId="0" fontId="0" fillId="0" borderId="0" xfId="0" applyAlignment="1" applyProtection="1">
      <alignment horizontal="center" vertical="center"/>
    </xf>
    <xf numFmtId="0" fontId="21" fillId="0" borderId="10" xfId="0" applyFont="1" applyBorder="1" applyAlignment="1" applyProtection="1">
      <alignment horizontal="center" vertical="center"/>
    </xf>
    <xf numFmtId="0" fontId="0" fillId="5" borderId="13" xfId="0" applyFill="1" applyBorder="1" applyProtection="1">
      <protection locked="0"/>
    </xf>
    <xf numFmtId="0" fontId="0" fillId="5" borderId="1" xfId="0" applyFill="1" applyBorder="1" applyProtection="1">
      <protection locked="0"/>
    </xf>
    <xf numFmtId="0" fontId="0" fillId="5" borderId="14" xfId="0" applyFill="1" applyBorder="1" applyProtection="1">
      <protection locked="0"/>
    </xf>
    <xf numFmtId="0" fontId="0" fillId="0" borderId="1" xfId="0" applyFill="1" applyBorder="1" applyProtection="1"/>
    <xf numFmtId="0" fontId="7" fillId="5" borderId="13" xfId="0" applyFont="1" applyFill="1" applyBorder="1" applyProtection="1">
      <protection locked="0"/>
    </xf>
    <xf numFmtId="0" fontId="25" fillId="0" borderId="0" xfId="0" applyFont="1" applyBorder="1" applyAlignment="1">
      <alignment horizontal="right" vertical="center"/>
    </xf>
    <xf numFmtId="0" fontId="25" fillId="0" borderId="0" xfId="0" applyFont="1" applyBorder="1"/>
    <xf numFmtId="15" fontId="25" fillId="0" borderId="0" xfId="0" applyNumberFormat="1" applyFont="1" applyBorder="1" applyAlignment="1">
      <alignment horizontal="left" vertical="center"/>
    </xf>
    <xf numFmtId="0" fontId="27" fillId="0" borderId="0" xfId="0" applyFont="1" applyBorder="1" applyAlignment="1">
      <alignment vertical="center"/>
    </xf>
    <xf numFmtId="0" fontId="29" fillId="0" borderId="4" xfId="0" applyFont="1" applyBorder="1" applyAlignment="1">
      <alignment vertical="center"/>
    </xf>
    <xf numFmtId="0" fontId="0" fillId="0" borderId="6" xfId="0" applyBorder="1"/>
    <xf numFmtId="0" fontId="0" fillId="0" borderId="3" xfId="0" applyBorder="1"/>
    <xf numFmtId="0" fontId="7" fillId="6" borderId="2" xfId="0" applyFont="1" applyFill="1" applyBorder="1" applyAlignment="1" applyProtection="1">
      <alignment horizontal="center" textRotation="90" wrapText="1"/>
    </xf>
    <xf numFmtId="0" fontId="7" fillId="6" borderId="3" xfId="0" applyFont="1" applyFill="1" applyBorder="1" applyAlignment="1" applyProtection="1">
      <alignment horizontal="center" textRotation="90" wrapText="1"/>
    </xf>
    <xf numFmtId="0" fontId="0" fillId="7" borderId="0" xfId="0" applyFill="1" applyBorder="1" applyProtection="1"/>
    <xf numFmtId="0" fontId="1" fillId="4" borderId="0" xfId="0" applyFont="1" applyFill="1" applyProtection="1"/>
    <xf numFmtId="0" fontId="33" fillId="0" borderId="0" xfId="0" applyFont="1" applyProtection="1"/>
    <xf numFmtId="0" fontId="33" fillId="0" borderId="12" xfId="0" applyFont="1" applyBorder="1" applyProtection="1"/>
    <xf numFmtId="0" fontId="33" fillId="0" borderId="0" xfId="0" applyFont="1" applyBorder="1" applyAlignment="1" applyProtection="1">
      <alignment horizontal="center"/>
    </xf>
    <xf numFmtId="0" fontId="33" fillId="0" borderId="0" xfId="0" applyFont="1" applyAlignment="1" applyProtection="1"/>
    <xf numFmtId="0" fontId="33" fillId="4" borderId="0" xfId="0" applyFont="1" applyFill="1" applyAlignment="1" applyProtection="1">
      <alignment horizontal="center" textRotation="90" wrapText="1"/>
    </xf>
    <xf numFmtId="0" fontId="7" fillId="6" borderId="6" xfId="0" applyFont="1" applyFill="1" applyBorder="1" applyAlignment="1" applyProtection="1">
      <alignment horizontal="center" textRotation="90" wrapText="1"/>
    </xf>
    <xf numFmtId="0" fontId="33" fillId="0" borderId="2" xfId="0" applyFont="1" applyFill="1" applyBorder="1" applyAlignment="1" applyProtection="1">
      <alignment horizontal="center" textRotation="90" wrapText="1"/>
    </xf>
    <xf numFmtId="0" fontId="33" fillId="0" borderId="6" xfId="0" applyFont="1" applyFill="1" applyBorder="1" applyAlignment="1" applyProtection="1">
      <alignment horizontal="center" textRotation="90" wrapText="1"/>
    </xf>
    <xf numFmtId="0" fontId="33" fillId="0" borderId="3" xfId="0" applyFont="1" applyFill="1" applyBorder="1" applyAlignment="1" applyProtection="1">
      <alignment horizontal="center" textRotation="90" wrapText="1"/>
    </xf>
    <xf numFmtId="0" fontId="33" fillId="0" borderId="6" xfId="0" applyFont="1" applyBorder="1" applyAlignment="1" applyProtection="1">
      <alignment horizontal="center" textRotation="90" wrapText="1"/>
    </xf>
    <xf numFmtId="0" fontId="33" fillId="0" borderId="4" xfId="0" applyFont="1" applyFill="1" applyBorder="1" applyAlignment="1" applyProtection="1">
      <alignment horizontal="center" textRotation="90" wrapText="1"/>
    </xf>
    <xf numFmtId="0" fontId="33" fillId="0" borderId="0" xfId="0" applyFont="1" applyFill="1" applyAlignment="1" applyProtection="1">
      <alignment horizontal="center" textRotation="90" wrapText="1"/>
    </xf>
    <xf numFmtId="0" fontId="0" fillId="8" borderId="0" xfId="0" applyFill="1"/>
    <xf numFmtId="0" fontId="0" fillId="9" borderId="0" xfId="0" applyFill="1"/>
    <xf numFmtId="0" fontId="25" fillId="0" borderId="0" xfId="0" applyNumberFormat="1" applyFont="1" applyBorder="1" applyAlignment="1">
      <alignment vertical="center"/>
    </xf>
    <xf numFmtId="0" fontId="25" fillId="0" borderId="0" xfId="0" applyNumberFormat="1" applyFont="1" applyFill="1" applyBorder="1" applyAlignment="1">
      <alignment vertical="center"/>
    </xf>
    <xf numFmtId="0" fontId="25" fillId="0" borderId="0" xfId="0" applyNumberFormat="1" applyFont="1" applyBorder="1" applyAlignment="1">
      <alignment horizontal="right"/>
    </xf>
    <xf numFmtId="0" fontId="25" fillId="0" borderId="0" xfId="0" applyNumberFormat="1" applyFont="1" applyBorder="1" applyAlignment="1">
      <alignment horizontal="right" vertical="center"/>
    </xf>
    <xf numFmtId="0" fontId="0" fillId="5" borderId="15" xfId="0" applyFill="1" applyBorder="1" applyProtection="1">
      <protection locked="0"/>
    </xf>
    <xf numFmtId="0" fontId="33" fillId="0" borderId="0" xfId="0" applyFont="1" applyAlignment="1" applyProtection="1">
      <alignment horizontal="center"/>
    </xf>
    <xf numFmtId="0" fontId="26" fillId="0" borderId="0" xfId="0" applyFont="1" applyBorder="1" applyAlignment="1">
      <alignment horizontal="center" vertical="center"/>
    </xf>
    <xf numFmtId="1" fontId="25" fillId="0" borderId="0" xfId="0" applyNumberFormat="1" applyFont="1" applyBorder="1" applyAlignment="1">
      <alignment vertical="center"/>
    </xf>
    <xf numFmtId="1" fontId="25" fillId="0" borderId="6" xfId="0" applyNumberFormat="1" applyFont="1" applyBorder="1" applyAlignment="1">
      <alignment vertical="center"/>
    </xf>
    <xf numFmtId="4" fontId="40" fillId="0" borderId="0" xfId="1" applyNumberFormat="1"/>
    <xf numFmtId="0" fontId="26" fillId="0" borderId="0" xfId="0" applyFont="1" applyBorder="1" applyAlignment="1">
      <alignment vertical="center"/>
    </xf>
    <xf numFmtId="0" fontId="25" fillId="0" borderId="6" xfId="0" applyFont="1" applyBorder="1" applyAlignment="1">
      <alignment horizontal="left" vertical="top" wrapText="1"/>
    </xf>
    <xf numFmtId="0" fontId="25" fillId="0" borderId="9" xfId="0" applyFont="1" applyBorder="1" applyAlignment="1">
      <alignment horizontal="left" vertical="top"/>
    </xf>
    <xf numFmtId="0" fontId="25" fillId="0" borderId="8" xfId="0" applyFont="1" applyBorder="1" applyAlignment="1">
      <alignment horizontal="left" vertical="top" wrapText="1"/>
    </xf>
    <xf numFmtId="0" fontId="25" fillId="0" borderId="11" xfId="0" applyFont="1" applyBorder="1" applyAlignment="1">
      <alignment horizontal="left" vertical="top" wrapText="1"/>
    </xf>
    <xf numFmtId="0" fontId="25" fillId="0" borderId="2" xfId="0" applyFont="1" applyBorder="1" applyAlignment="1">
      <alignment horizontal="left" vertical="top" wrapText="1"/>
    </xf>
    <xf numFmtId="0" fontId="25" fillId="0" borderId="3" xfId="0" applyFont="1" applyBorder="1" applyAlignment="1">
      <alignment horizontal="left" vertical="top" wrapText="1"/>
    </xf>
    <xf numFmtId="0" fontId="33" fillId="0" borderId="12" xfId="0" applyFont="1" applyFill="1" applyBorder="1" applyAlignment="1" applyProtection="1">
      <alignment horizontal="center" textRotation="90" wrapText="1"/>
    </xf>
    <xf numFmtId="0" fontId="0" fillId="0" borderId="12" xfId="0" applyBorder="1" applyAlignment="1" applyProtection="1">
      <alignment horizontal="center"/>
    </xf>
    <xf numFmtId="0" fontId="33" fillId="0" borderId="4" xfId="0" applyFont="1" applyBorder="1" applyAlignment="1" applyProtection="1"/>
    <xf numFmtId="0" fontId="33" fillId="0" borderId="0" xfId="0" applyFont="1" applyFill="1" applyBorder="1" applyAlignment="1" applyProtection="1">
      <alignment horizontal="center" textRotation="90" wrapText="1"/>
    </xf>
    <xf numFmtId="0" fontId="0" fillId="0" borderId="0" xfId="0" applyFill="1" applyBorder="1" applyAlignment="1" applyProtection="1">
      <alignment horizontal="center"/>
    </xf>
    <xf numFmtId="0" fontId="33" fillId="0" borderId="0" xfId="0" applyFont="1" applyBorder="1" applyAlignment="1" applyProtection="1"/>
    <xf numFmtId="0" fontId="33" fillId="0" borderId="0" xfId="0" applyFont="1" applyBorder="1" applyProtection="1"/>
    <xf numFmtId="0" fontId="0" fillId="7" borderId="4" xfId="0" applyFill="1" applyBorder="1" applyProtection="1"/>
    <xf numFmtId="0" fontId="33" fillId="7" borderId="2" xfId="0" applyFont="1" applyFill="1" applyBorder="1" applyAlignment="1" applyProtection="1">
      <alignment horizontal="center" textRotation="90" wrapText="1"/>
    </xf>
    <xf numFmtId="0" fontId="33" fillId="7" borderId="6" xfId="0" applyFont="1" applyFill="1" applyBorder="1" applyAlignment="1" applyProtection="1">
      <alignment horizontal="center" textRotation="90" wrapText="1"/>
    </xf>
    <xf numFmtId="0" fontId="33" fillId="7" borderId="3" xfId="0" applyFont="1" applyFill="1" applyBorder="1" applyAlignment="1" applyProtection="1">
      <alignment horizontal="center" textRotation="90" wrapText="1"/>
    </xf>
    <xf numFmtId="0" fontId="33" fillId="0" borderId="0" xfId="0" applyFont="1" applyFill="1" applyBorder="1" applyAlignment="1" applyProtection="1"/>
    <xf numFmtId="0" fontId="33" fillId="9" borderId="4" xfId="0" applyFont="1" applyFill="1" applyBorder="1" applyAlignment="1" applyProtection="1">
      <alignment horizontal="center" textRotation="90" wrapText="1"/>
    </xf>
    <xf numFmtId="0" fontId="33" fillId="9" borderId="0" xfId="0" applyFont="1" applyFill="1" applyBorder="1" applyAlignment="1" applyProtection="1">
      <alignment horizontal="center" textRotation="90" wrapText="1"/>
    </xf>
    <xf numFmtId="0" fontId="33" fillId="9" borderId="12" xfId="0" applyFont="1" applyFill="1" applyBorder="1" applyAlignment="1" applyProtection="1">
      <alignment horizontal="center" textRotation="90" wrapText="1"/>
    </xf>
    <xf numFmtId="0" fontId="0" fillId="9" borderId="4" xfId="0" applyFill="1" applyBorder="1" applyAlignment="1" applyProtection="1">
      <alignment horizontal="center" vertical="center"/>
    </xf>
    <xf numFmtId="0" fontId="0" fillId="9" borderId="0" xfId="0" applyFill="1" applyBorder="1" applyAlignment="1" applyProtection="1">
      <alignment horizontal="center" vertical="center"/>
    </xf>
    <xf numFmtId="0" fontId="8" fillId="9" borderId="0" xfId="0" applyFont="1" applyFill="1" applyBorder="1" applyAlignment="1" applyProtection="1">
      <alignment horizontal="center" vertical="center"/>
    </xf>
    <xf numFmtId="0" fontId="8" fillId="9" borderId="12" xfId="0" applyFont="1" applyFill="1" applyBorder="1" applyAlignment="1" applyProtection="1">
      <alignment horizontal="center" vertical="center"/>
    </xf>
    <xf numFmtId="0" fontId="0" fillId="0" borderId="10" xfId="0" applyBorder="1" applyAlignment="1" applyProtection="1">
      <alignment horizontal="center"/>
    </xf>
    <xf numFmtId="0" fontId="0" fillId="7" borderId="10" xfId="0" applyFill="1" applyBorder="1" applyAlignment="1" applyProtection="1">
      <alignment horizontal="center"/>
    </xf>
    <xf numFmtId="0" fontId="0" fillId="9" borderId="10" xfId="0" applyFill="1" applyBorder="1" applyAlignment="1" applyProtection="1">
      <alignment horizontal="center"/>
    </xf>
    <xf numFmtId="0" fontId="0" fillId="5" borderId="16" xfId="0" applyFill="1" applyBorder="1" applyProtection="1">
      <protection locked="0"/>
    </xf>
    <xf numFmtId="0" fontId="0" fillId="5" borderId="17" xfId="0" applyFill="1" applyBorder="1" applyProtection="1">
      <protection locked="0"/>
    </xf>
    <xf numFmtId="0" fontId="16" fillId="0" borderId="0" xfId="0" applyFont="1" applyAlignment="1">
      <alignment horizontal="right" indent="1"/>
    </xf>
    <xf numFmtId="0" fontId="7" fillId="7" borderId="10" xfId="0" applyFont="1" applyFill="1" applyBorder="1" applyAlignment="1" applyProtection="1">
      <alignment horizontal="center"/>
    </xf>
    <xf numFmtId="0" fontId="7" fillId="7" borderId="6" xfId="0" applyFont="1" applyFill="1" applyBorder="1" applyAlignment="1" applyProtection="1">
      <alignment horizontal="center" textRotation="90" wrapText="1"/>
    </xf>
    <xf numFmtId="164" fontId="25" fillId="0" borderId="0" xfId="0" applyNumberFormat="1" applyFont="1" applyBorder="1" applyAlignment="1">
      <alignment vertical="center"/>
    </xf>
    <xf numFmtId="0" fontId="33" fillId="0" borderId="12" xfId="0" applyFont="1" applyBorder="1" applyAlignment="1" applyProtection="1">
      <alignment horizontal="center"/>
    </xf>
    <xf numFmtId="0" fontId="34" fillId="0" borderId="0" xfId="0" applyFont="1" applyAlignment="1">
      <alignment horizontal="left" vertical="top"/>
    </xf>
    <xf numFmtId="0" fontId="19" fillId="0" borderId="0" xfId="0" applyFont="1" applyAlignment="1">
      <alignment vertical="center"/>
    </xf>
    <xf numFmtId="0" fontId="17" fillId="0" borderId="4" xfId="0" applyFont="1" applyBorder="1" applyAlignment="1"/>
    <xf numFmtId="0" fontId="33" fillId="0" borderId="12" xfId="0" applyFont="1" applyBorder="1" applyAlignment="1" applyProtection="1"/>
    <xf numFmtId="0" fontId="0" fillId="0" borderId="0" xfId="0" applyProtection="1">
      <protection hidden="1"/>
    </xf>
    <xf numFmtId="0" fontId="16" fillId="10" borderId="18" xfId="0" applyFont="1" applyFill="1" applyBorder="1" applyAlignment="1" applyProtection="1">
      <alignment horizontal="left" vertical="center"/>
      <protection locked="0"/>
    </xf>
    <xf numFmtId="15" fontId="16" fillId="10" borderId="18" xfId="0" applyNumberFormat="1" applyFont="1" applyFill="1" applyBorder="1" applyAlignment="1" applyProtection="1">
      <alignment horizontal="left" vertical="center"/>
      <protection locked="0"/>
    </xf>
    <xf numFmtId="0" fontId="0" fillId="10" borderId="18" xfId="0" applyFill="1" applyBorder="1" applyAlignment="1" applyProtection="1">
      <alignment vertical="center"/>
      <protection locked="0"/>
    </xf>
    <xf numFmtId="0" fontId="0" fillId="5" borderId="11" xfId="0" applyFill="1" applyBorder="1" applyAlignment="1" applyProtection="1">
      <alignment horizontal="center"/>
      <protection locked="0"/>
    </xf>
    <xf numFmtId="0" fontId="0" fillId="5" borderId="10" xfId="0" applyFill="1" applyBorder="1" applyAlignment="1" applyProtection="1">
      <alignment horizontal="center"/>
      <protection locked="0"/>
    </xf>
    <xf numFmtId="0" fontId="7" fillId="5" borderId="10" xfId="0" applyFont="1" applyFill="1" applyBorder="1" applyAlignment="1" applyProtection="1">
      <alignment horizontal="center"/>
      <protection locked="0"/>
    </xf>
    <xf numFmtId="0" fontId="0" fillId="7" borderId="12" xfId="0" applyFill="1" applyBorder="1" applyAlignment="1" applyProtection="1">
      <alignment horizontal="center"/>
    </xf>
    <xf numFmtId="0" fontId="7" fillId="0" borderId="0" xfId="0" applyFont="1"/>
    <xf numFmtId="0" fontId="16" fillId="0" borderId="0" xfId="0" applyFont="1" applyFill="1" applyBorder="1" applyAlignment="1">
      <alignment horizontal="right" indent="1"/>
    </xf>
    <xf numFmtId="0" fontId="36" fillId="0" borderId="0" xfId="0" applyFont="1" applyBorder="1" applyAlignment="1">
      <alignment horizontal="center" vertical="center"/>
    </xf>
    <xf numFmtId="1" fontId="25" fillId="0" borderId="8" xfId="0" applyNumberFormat="1" applyFont="1" applyBorder="1" applyAlignment="1">
      <alignment vertical="center"/>
    </xf>
    <xf numFmtId="165" fontId="25" fillId="0" borderId="0" xfId="0" applyNumberFormat="1" applyFont="1" applyBorder="1" applyAlignment="1">
      <alignment vertical="center"/>
    </xf>
    <xf numFmtId="0" fontId="0" fillId="0" borderId="0" xfId="0" applyAlignment="1">
      <alignment vertical="center"/>
    </xf>
    <xf numFmtId="0" fontId="8" fillId="0" borderId="8" xfId="0" applyNumberFormat="1" applyFont="1" applyBorder="1" applyAlignment="1">
      <alignment vertical="center" wrapText="1"/>
    </xf>
    <xf numFmtId="0" fontId="33" fillId="11" borderId="0" xfId="0" applyFont="1" applyFill="1" applyAlignment="1" applyProtection="1">
      <alignment horizontal="center" textRotation="90" wrapText="1"/>
    </xf>
    <xf numFmtId="0" fontId="0" fillId="11" borderId="0" xfId="0" applyFill="1" applyAlignment="1" applyProtection="1">
      <alignment horizontal="center"/>
    </xf>
    <xf numFmtId="0" fontId="0" fillId="11" borderId="0" xfId="0" applyFill="1" applyProtection="1"/>
    <xf numFmtId="0" fontId="7" fillId="0" borderId="6" xfId="0" applyFont="1" applyFill="1" applyBorder="1" applyAlignment="1" applyProtection="1">
      <alignment horizontal="center" textRotation="90" wrapText="1"/>
    </xf>
    <xf numFmtId="0" fontId="7" fillId="0" borderId="19" xfId="0" applyFont="1" applyFill="1" applyBorder="1" applyAlignment="1" applyProtection="1">
      <alignment horizontal="center" textRotation="90" wrapText="1"/>
    </xf>
    <xf numFmtId="16" fontId="25" fillId="0" borderId="0" xfId="0" applyNumberFormat="1" applyFont="1" applyBorder="1" applyAlignment="1">
      <alignment horizontal="left" vertical="center"/>
    </xf>
    <xf numFmtId="0" fontId="7" fillId="5" borderId="1" xfId="0" applyFont="1" applyFill="1" applyBorder="1" applyProtection="1">
      <protection locked="0"/>
    </xf>
    <xf numFmtId="0" fontId="0" fillId="0" borderId="0" xfId="0" applyBorder="1" applyAlignment="1">
      <alignment horizontal="center"/>
    </xf>
    <xf numFmtId="0" fontId="7" fillId="0" borderId="9" xfId="0" applyFont="1" applyBorder="1"/>
    <xf numFmtId="0" fontId="7" fillId="0" borderId="8" xfId="0" applyFont="1" applyBorder="1"/>
    <xf numFmtId="0" fontId="7" fillId="0" borderId="11" xfId="0" applyFont="1" applyBorder="1"/>
    <xf numFmtId="0" fontId="7" fillId="0" borderId="4" xfId="0" applyFont="1" applyBorder="1"/>
    <xf numFmtId="0" fontId="7" fillId="0" borderId="0" xfId="0" applyFont="1" applyBorder="1"/>
    <xf numFmtId="0" fontId="0" fillId="0" borderId="12" xfId="0" applyBorder="1"/>
    <xf numFmtId="0" fontId="7" fillId="0" borderId="2" xfId="0" applyFont="1" applyBorder="1"/>
    <xf numFmtId="0" fontId="0" fillId="0" borderId="8" xfId="0" applyBorder="1"/>
    <xf numFmtId="0" fontId="0" fillId="0" borderId="11" xfId="0" applyBorder="1"/>
    <xf numFmtId="0" fontId="20" fillId="0" borderId="9" xfId="0" applyFont="1" applyBorder="1" applyAlignment="1">
      <alignment horizontal="center" vertical="center"/>
    </xf>
    <xf numFmtId="0" fontId="20" fillId="0" borderId="8" xfId="0" applyFont="1" applyBorder="1" applyAlignment="1">
      <alignment horizontal="center" vertical="center"/>
    </xf>
    <xf numFmtId="0" fontId="20" fillId="0" borderId="11" xfId="0" applyFont="1" applyBorder="1" applyAlignment="1">
      <alignment horizontal="center" vertical="center"/>
    </xf>
    <xf numFmtId="0" fontId="7" fillId="5" borderId="9" xfId="0" applyFont="1" applyFill="1" applyBorder="1"/>
    <xf numFmtId="0" fontId="0" fillId="5" borderId="4" xfId="0" applyFill="1" applyBorder="1"/>
    <xf numFmtId="0" fontId="0" fillId="5" borderId="2" xfId="0" applyFill="1" applyBorder="1"/>
    <xf numFmtId="0" fontId="20" fillId="0" borderId="20" xfId="0" applyFont="1" applyBorder="1" applyAlignment="1">
      <alignment horizontal="center" vertical="center"/>
    </xf>
    <xf numFmtId="0" fontId="20" fillId="0" borderId="21" xfId="0" applyFont="1" applyBorder="1" applyAlignment="1">
      <alignment horizontal="center" vertical="center"/>
    </xf>
    <xf numFmtId="0" fontId="0" fillId="0" borderId="4" xfId="0" applyBorder="1"/>
    <xf numFmtId="0" fontId="0" fillId="0" borderId="2" xfId="0" applyBorder="1"/>
    <xf numFmtId="0" fontId="0" fillId="0" borderId="9" xfId="0" applyBorder="1"/>
    <xf numFmtId="0" fontId="25" fillId="0" borderId="0" xfId="0" applyFont="1" applyBorder="1" applyAlignment="1">
      <alignment horizontal="left" vertical="top" wrapText="1"/>
    </xf>
    <xf numFmtId="0" fontId="8" fillId="0" borderId="0" xfId="0" applyNumberFormat="1" applyFont="1" applyBorder="1" applyAlignment="1">
      <alignment vertical="center" wrapText="1"/>
    </xf>
    <xf numFmtId="0" fontId="34" fillId="0" borderId="9" xfId="0" applyFont="1" applyBorder="1" applyAlignment="1">
      <alignment horizontal="left" vertical="top"/>
    </xf>
    <xf numFmtId="0" fontId="25" fillId="0" borderId="12" xfId="0" applyFont="1" applyBorder="1" applyAlignment="1">
      <alignment horizontal="left" vertical="center"/>
    </xf>
    <xf numFmtId="15" fontId="25" fillId="0" borderId="12" xfId="0" applyNumberFormat="1" applyFont="1" applyBorder="1" applyAlignment="1">
      <alignment horizontal="left" vertical="center"/>
    </xf>
    <xf numFmtId="0" fontId="7" fillId="0" borderId="1" xfId="0" applyFont="1" applyFill="1" applyBorder="1" applyAlignment="1" applyProtection="1">
      <alignment horizontal="center" vertical="center"/>
    </xf>
    <xf numFmtId="0" fontId="0" fillId="0" borderId="0" xfId="0" applyAlignment="1">
      <alignment horizontal="right"/>
    </xf>
    <xf numFmtId="0" fontId="7" fillId="0" borderId="0" xfId="0" applyFont="1" applyFill="1" applyBorder="1"/>
    <xf numFmtId="0" fontId="0" fillId="0" borderId="0" xfId="0" applyFont="1" applyFill="1" applyBorder="1"/>
    <xf numFmtId="0" fontId="7" fillId="0" borderId="12" xfId="0" applyFont="1" applyBorder="1"/>
    <xf numFmtId="0" fontId="0" fillId="5" borderId="9" xfId="0" applyFill="1" applyBorder="1" applyAlignment="1" applyProtection="1">
      <alignment horizontal="center"/>
      <protection locked="0"/>
    </xf>
    <xf numFmtId="0" fontId="0" fillId="5" borderId="22" xfId="0" applyFill="1" applyBorder="1" applyProtection="1">
      <protection locked="0"/>
    </xf>
    <xf numFmtId="0" fontId="7" fillId="6" borderId="12" xfId="0" applyFont="1" applyFill="1" applyBorder="1" applyAlignment="1" applyProtection="1">
      <alignment horizontal="center" textRotation="90" wrapText="1"/>
    </xf>
    <xf numFmtId="0" fontId="7" fillId="0" borderId="23" xfId="0" applyFont="1" applyFill="1" applyBorder="1" applyAlignment="1" applyProtection="1">
      <alignment horizontal="center"/>
    </xf>
    <xf numFmtId="0" fontId="7" fillId="0" borderId="24" xfId="0" applyFont="1" applyFill="1" applyBorder="1" applyAlignment="1" applyProtection="1">
      <alignment horizontal="center"/>
    </xf>
    <xf numFmtId="0" fontId="0" fillId="5" borderId="25" xfId="0" applyFill="1" applyBorder="1" applyAlignment="1" applyProtection="1">
      <alignment horizontal="center"/>
      <protection locked="0"/>
    </xf>
    <xf numFmtId="0" fontId="7" fillId="12" borderId="6" xfId="0" applyFont="1" applyFill="1" applyBorder="1" applyAlignment="1" applyProtection="1">
      <alignment horizontal="center" textRotation="90" wrapText="1"/>
    </xf>
    <xf numFmtId="0" fontId="0" fillId="0" borderId="26" xfId="0" applyBorder="1" applyProtection="1"/>
    <xf numFmtId="0" fontId="0" fillId="0" borderId="11" xfId="0" applyBorder="1" applyProtection="1"/>
    <xf numFmtId="0" fontId="7" fillId="6" borderId="4" xfId="0" applyFont="1" applyFill="1" applyBorder="1" applyAlignment="1" applyProtection="1">
      <alignment horizontal="center" textRotation="90" wrapText="1"/>
    </xf>
    <xf numFmtId="0" fontId="21" fillId="0" borderId="27" xfId="0" applyFont="1" applyFill="1" applyBorder="1" applyAlignment="1" applyProtection="1">
      <alignment horizontal="center" vertical="center"/>
    </xf>
    <xf numFmtId="0" fontId="37" fillId="0" borderId="0" xfId="1" applyFont="1" applyAlignment="1">
      <alignment vertical="center"/>
    </xf>
    <xf numFmtId="0" fontId="38" fillId="0" borderId="0" xfId="0" applyFont="1" applyAlignment="1">
      <alignment vertical="center" wrapText="1"/>
    </xf>
    <xf numFmtId="0" fontId="8" fillId="0" borderId="4" xfId="0" applyFont="1" applyBorder="1" applyAlignment="1">
      <alignment horizontal="center" vertical="center"/>
    </xf>
    <xf numFmtId="15" fontId="8" fillId="0" borderId="0" xfId="0" applyNumberFormat="1" applyFont="1" applyBorder="1" applyAlignment="1">
      <alignment horizontal="center" vertical="center"/>
    </xf>
    <xf numFmtId="0" fontId="0" fillId="0" borderId="10" xfId="0" applyBorder="1" applyAlignment="1" applyProtection="1">
      <alignment horizontal="center" vertical="center"/>
    </xf>
    <xf numFmtId="0" fontId="0" fillId="0" borderId="28" xfId="0" applyFill="1" applyBorder="1" applyProtection="1"/>
    <xf numFmtId="0" fontId="7" fillId="0" borderId="10" xfId="0" applyFont="1" applyBorder="1" applyAlignment="1" applyProtection="1">
      <alignment horizontal="center"/>
    </xf>
    <xf numFmtId="0" fontId="21" fillId="0" borderId="19" xfId="0" applyFont="1" applyFill="1" applyBorder="1" applyAlignment="1" applyProtection="1">
      <alignment horizontal="center" vertical="center"/>
    </xf>
    <xf numFmtId="0" fontId="0" fillId="5" borderId="8" xfId="0" applyFill="1" applyBorder="1" applyAlignment="1" applyProtection="1">
      <alignment horizontal="center"/>
      <protection locked="0"/>
    </xf>
    <xf numFmtId="0" fontId="0" fillId="5" borderId="28" xfId="0" applyFill="1" applyBorder="1" applyProtection="1">
      <protection locked="0"/>
    </xf>
    <xf numFmtId="0" fontId="1" fillId="6" borderId="6" xfId="0" applyFont="1" applyFill="1" applyBorder="1" applyAlignment="1" applyProtection="1">
      <alignment horizontal="center" textRotation="90" wrapText="1"/>
    </xf>
    <xf numFmtId="0" fontId="1" fillId="5" borderId="14" xfId="0" applyFont="1" applyFill="1" applyBorder="1" applyProtection="1">
      <protection locked="0"/>
    </xf>
    <xf numFmtId="0" fontId="0" fillId="0" borderId="16" xfId="0" applyFill="1" applyBorder="1" applyProtection="1"/>
    <xf numFmtId="0" fontId="1" fillId="0" borderId="0" xfId="0" applyFont="1" applyAlignment="1">
      <alignment horizontal="right"/>
    </xf>
    <xf numFmtId="0" fontId="21" fillId="0" borderId="0" xfId="0" applyFont="1" applyBorder="1" applyAlignment="1">
      <alignment horizontal="left"/>
    </xf>
    <xf numFmtId="0" fontId="1" fillId="0" borderId="0" xfId="0" applyFont="1" applyBorder="1" applyAlignment="1">
      <alignment horizontal="left" vertical="center"/>
    </xf>
    <xf numFmtId="0" fontId="1" fillId="0" borderId="0" xfId="0" applyFont="1" applyBorder="1" applyAlignment="1">
      <alignment horizontal="right" vertical="center"/>
    </xf>
    <xf numFmtId="0" fontId="27" fillId="0" borderId="0" xfId="0" applyFont="1" applyBorder="1" applyAlignment="1">
      <alignment horizontal="right" vertical="center"/>
    </xf>
    <xf numFmtId="0" fontId="1" fillId="5" borderId="1" xfId="0" applyFont="1" applyFill="1" applyBorder="1" applyProtection="1">
      <protection locked="0"/>
    </xf>
    <xf numFmtId="0" fontId="33" fillId="0" borderId="29" xfId="0" applyFont="1" applyBorder="1" applyAlignment="1" applyProtection="1"/>
    <xf numFmtId="0" fontId="33" fillId="9" borderId="29" xfId="0" applyFont="1" applyFill="1" applyBorder="1" applyAlignment="1" applyProtection="1">
      <alignment horizontal="center" textRotation="90" wrapText="1"/>
    </xf>
    <xf numFmtId="0" fontId="0" fillId="9" borderId="29" xfId="0" applyFill="1" applyBorder="1" applyAlignment="1" applyProtection="1"/>
    <xf numFmtId="0" fontId="0" fillId="0" borderId="29" xfId="0" applyBorder="1" applyProtection="1"/>
    <xf numFmtId="0" fontId="0" fillId="9" borderId="12" xfId="0" applyFill="1" applyBorder="1" applyAlignment="1" applyProtection="1"/>
    <xf numFmtId="0" fontId="0" fillId="9" borderId="30" xfId="0" applyFill="1" applyBorder="1" applyAlignment="1" applyProtection="1">
      <alignment horizontal="center"/>
    </xf>
    <xf numFmtId="0" fontId="0" fillId="9" borderId="31" xfId="0" applyFill="1" applyBorder="1" applyAlignment="1" applyProtection="1">
      <alignment horizontal="center"/>
    </xf>
    <xf numFmtId="0" fontId="1" fillId="0" borderId="0" xfId="0" applyFont="1"/>
    <xf numFmtId="0" fontId="0" fillId="5" borderId="32" xfId="0" applyFill="1" applyBorder="1" applyProtection="1">
      <protection locked="0"/>
    </xf>
    <xf numFmtId="0" fontId="1" fillId="9" borderId="0" xfId="0" applyFont="1" applyFill="1" applyBorder="1" applyAlignment="1" applyProtection="1">
      <alignment horizontal="center" textRotation="90" wrapText="1"/>
    </xf>
    <xf numFmtId="0" fontId="43" fillId="0" borderId="0" xfId="0" applyFont="1" applyAlignment="1">
      <alignment horizontal="center" vertical="center"/>
    </xf>
    <xf numFmtId="0" fontId="0" fillId="5" borderId="33" xfId="0" applyFill="1" applyBorder="1" applyProtection="1">
      <protection locked="0"/>
    </xf>
    <xf numFmtId="0" fontId="0" fillId="5" borderId="32" xfId="0" applyFill="1" applyBorder="1" applyAlignment="1" applyProtection="1">
      <alignment horizontal="center" vertical="center"/>
      <protection locked="0"/>
    </xf>
    <xf numFmtId="0" fontId="0" fillId="0" borderId="1" xfId="0" applyFill="1" applyBorder="1" applyAlignment="1" applyProtection="1">
      <alignment horizontal="center" vertical="center"/>
    </xf>
    <xf numFmtId="0" fontId="0" fillId="5" borderId="34" xfId="0" applyFill="1" applyBorder="1" applyProtection="1">
      <protection locked="0"/>
    </xf>
    <xf numFmtId="0" fontId="0" fillId="0" borderId="35" xfId="0" applyFill="1" applyBorder="1" applyProtection="1"/>
    <xf numFmtId="0" fontId="0" fillId="0" borderId="36" xfId="0" applyFill="1" applyBorder="1" applyProtection="1"/>
    <xf numFmtId="0" fontId="1" fillId="5" borderId="13" xfId="0" applyFont="1" applyFill="1" applyBorder="1" applyProtection="1">
      <protection locked="0"/>
    </xf>
    <xf numFmtId="0" fontId="35" fillId="0" borderId="0" xfId="0" applyFont="1" applyAlignment="1">
      <alignment horizontal="center" vertical="center"/>
    </xf>
    <xf numFmtId="0" fontId="17" fillId="0" borderId="9" xfId="0" applyFont="1" applyBorder="1" applyAlignment="1">
      <alignment horizontal="center"/>
    </xf>
    <xf numFmtId="0" fontId="17" fillId="0" borderId="8" xfId="0" applyFont="1" applyBorder="1" applyAlignment="1">
      <alignment horizontal="center"/>
    </xf>
    <xf numFmtId="0" fontId="7" fillId="6" borderId="2" xfId="0" applyFont="1" applyFill="1" applyBorder="1" applyAlignment="1" applyProtection="1">
      <alignment horizontal="center" textRotation="90" wrapText="1"/>
    </xf>
    <xf numFmtId="0" fontId="7" fillId="6" borderId="6" xfId="0" applyFont="1" applyFill="1" applyBorder="1" applyAlignment="1" applyProtection="1">
      <alignment horizontal="center" textRotation="90" wrapText="1"/>
    </xf>
    <xf numFmtId="0" fontId="7" fillId="6" borderId="3" xfId="0" applyFont="1" applyFill="1" applyBorder="1" applyAlignment="1" applyProtection="1">
      <alignment horizontal="center" textRotation="90" wrapText="1"/>
    </xf>
    <xf numFmtId="0" fontId="7" fillId="0" borderId="4" xfId="0" applyFont="1" applyFill="1" applyBorder="1" applyAlignment="1" applyProtection="1">
      <alignment horizontal="center"/>
    </xf>
    <xf numFmtId="0" fontId="7" fillId="0" borderId="0" xfId="0" applyFont="1" applyFill="1" applyBorder="1" applyAlignment="1" applyProtection="1">
      <alignment horizontal="center"/>
    </xf>
    <xf numFmtId="0" fontId="7" fillId="0" borderId="12" xfId="0" applyFont="1" applyFill="1" applyBorder="1" applyAlignment="1" applyProtection="1">
      <alignment horizontal="center"/>
    </xf>
    <xf numFmtId="0" fontId="33" fillId="0" borderId="0" xfId="0" applyFont="1" applyFill="1" applyBorder="1" applyAlignment="1" applyProtection="1">
      <alignment horizontal="center"/>
    </xf>
    <xf numFmtId="0" fontId="33" fillId="0" borderId="12" xfId="0" applyFont="1" applyFill="1" applyBorder="1" applyAlignment="1" applyProtection="1">
      <alignment horizontal="center"/>
    </xf>
    <xf numFmtId="0" fontId="7" fillId="0" borderId="4" xfId="0" applyFont="1" applyBorder="1" applyAlignment="1" applyProtection="1">
      <alignment horizontal="center"/>
    </xf>
    <xf numFmtId="0" fontId="33" fillId="0" borderId="0" xfId="0" applyFont="1" applyBorder="1" applyAlignment="1" applyProtection="1">
      <alignment horizontal="center"/>
    </xf>
    <xf numFmtId="0" fontId="33" fillId="5" borderId="12" xfId="0" applyFont="1" applyFill="1" applyBorder="1" applyAlignment="1" applyProtection="1">
      <alignment horizontal="center"/>
    </xf>
    <xf numFmtId="0" fontId="33" fillId="0" borderId="4" xfId="0" applyFont="1" applyBorder="1" applyAlignment="1" applyProtection="1">
      <alignment horizontal="center"/>
    </xf>
    <xf numFmtId="0" fontId="33" fillId="0" borderId="4" xfId="0" applyFont="1" applyFill="1" applyBorder="1" applyAlignment="1" applyProtection="1">
      <alignment horizontal="center"/>
    </xf>
    <xf numFmtId="0" fontId="33" fillId="0" borderId="0" xfId="0" applyFont="1" applyAlignment="1" applyProtection="1">
      <alignment horizontal="center"/>
    </xf>
    <xf numFmtId="0" fontId="33" fillId="0" borderId="12" xfId="0" applyFont="1" applyBorder="1" applyAlignment="1" applyProtection="1">
      <alignment horizontal="center"/>
    </xf>
    <xf numFmtId="0" fontId="0" fillId="0" borderId="0" xfId="0" applyAlignment="1">
      <alignment horizontal="center" vertical="center"/>
    </xf>
    <xf numFmtId="0" fontId="38" fillId="0" borderId="0" xfId="0" applyFont="1" applyFill="1" applyBorder="1" applyAlignment="1" applyProtection="1">
      <alignment horizontal="center" vertical="center" wrapText="1"/>
      <protection hidden="1"/>
    </xf>
    <xf numFmtId="0" fontId="0" fillId="0" borderId="0" xfId="0" applyAlignment="1">
      <alignment horizontal="center"/>
    </xf>
    <xf numFmtId="0" fontId="38" fillId="0" borderId="0" xfId="0" applyFont="1" applyAlignment="1">
      <alignment horizontal="center" vertical="center" wrapText="1"/>
    </xf>
    <xf numFmtId="0" fontId="0" fillId="0" borderId="0" xfId="0" applyAlignment="1">
      <alignment horizontal="center" vertical="center" wrapText="1"/>
    </xf>
    <xf numFmtId="0" fontId="0" fillId="0" borderId="4" xfId="0" applyFill="1" applyBorder="1" applyAlignment="1">
      <alignment horizontal="center" vertical="center" wrapText="1"/>
    </xf>
    <xf numFmtId="0" fontId="0" fillId="0" borderId="0" xfId="0" applyFill="1" applyBorder="1" applyAlignment="1">
      <alignment horizontal="center" vertical="center" wrapText="1"/>
    </xf>
    <xf numFmtId="0" fontId="0" fillId="0" borderId="4" xfId="0" applyBorder="1" applyAlignment="1">
      <alignment horizontal="center" vertical="center" wrapText="1"/>
    </xf>
    <xf numFmtId="0" fontId="0" fillId="0" borderId="0" xfId="0" applyBorder="1" applyAlignment="1">
      <alignment horizontal="center" vertical="center" wrapText="1"/>
    </xf>
    <xf numFmtId="0" fontId="38" fillId="0" borderId="0" xfId="0" quotePrefix="1" applyFont="1" applyFill="1" applyBorder="1" applyAlignment="1" applyProtection="1">
      <alignment horizontal="center" vertical="center" wrapText="1"/>
      <protection hidden="1"/>
    </xf>
    <xf numFmtId="0" fontId="0" fillId="3" borderId="0" xfId="0" applyFill="1" applyAlignment="1">
      <alignment horizontal="center"/>
    </xf>
    <xf numFmtId="0" fontId="7" fillId="0" borderId="0" xfId="0" applyFont="1" applyBorder="1" applyAlignment="1">
      <alignment horizontal="center"/>
    </xf>
    <xf numFmtId="0" fontId="0" fillId="0" borderId="0" xfId="0" applyBorder="1" applyAlignment="1">
      <alignment horizontal="center"/>
    </xf>
    <xf numFmtId="0" fontId="25" fillId="0" borderId="0" xfId="0" applyFont="1" applyBorder="1" applyAlignment="1">
      <alignment horizontal="left" vertical="center"/>
    </xf>
    <xf numFmtId="0" fontId="20" fillId="0" borderId="0" xfId="0" applyFont="1" applyBorder="1" applyAlignment="1">
      <alignment horizontal="center" vertical="center"/>
    </xf>
    <xf numFmtId="0" fontId="20" fillId="0" borderId="12" xfId="0" applyFont="1" applyBorder="1" applyAlignment="1">
      <alignment horizontal="center" vertical="center"/>
    </xf>
    <xf numFmtId="0" fontId="30" fillId="0" borderId="8" xfId="0" applyFont="1" applyBorder="1" applyAlignment="1">
      <alignment horizontal="center" vertical="center"/>
    </xf>
    <xf numFmtId="0" fontId="30" fillId="0" borderId="11" xfId="0" applyFont="1" applyBorder="1" applyAlignment="1">
      <alignment horizontal="center" vertical="center"/>
    </xf>
    <xf numFmtId="0" fontId="20" fillId="0" borderId="0" xfId="0" applyFont="1" applyBorder="1" applyAlignment="1">
      <alignment horizontal="center"/>
    </xf>
    <xf numFmtId="0" fontId="0" fillId="0" borderId="17" xfId="0" applyFill="1" applyBorder="1" applyProtection="1"/>
  </cellXfs>
  <cellStyles count="3">
    <cellStyle name="Normal" xfId="0" builtinId="0"/>
    <cellStyle name="Normal 2" xfId="1" xr:uid="{00000000-0005-0000-0000-000001000000}"/>
    <cellStyle name="Normal 3" xfId="2" xr:uid="{00000000-0005-0000-0000-000002000000}"/>
  </cellStyles>
  <dxfs count="2">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wmf"/></Relationships>
</file>

<file path=xl/drawings/_rels/drawing4.xml.rels><?xml version="1.0" encoding="UTF-8" standalone="yes"?>
<Relationships xmlns="http://schemas.openxmlformats.org/package/2006/relationships"><Relationship Id="rId8" Type="http://schemas.openxmlformats.org/officeDocument/2006/relationships/image" Target="../media/image8.wmf"/><Relationship Id="rId13" Type="http://schemas.openxmlformats.org/officeDocument/2006/relationships/image" Target="../media/image13.wmf"/><Relationship Id="rId18" Type="http://schemas.openxmlformats.org/officeDocument/2006/relationships/image" Target="../media/image18.wmf"/><Relationship Id="rId3" Type="http://schemas.openxmlformats.org/officeDocument/2006/relationships/image" Target="../media/image3.wmf"/><Relationship Id="rId21" Type="http://schemas.openxmlformats.org/officeDocument/2006/relationships/image" Target="../media/image21.wmf"/><Relationship Id="rId7" Type="http://schemas.openxmlformats.org/officeDocument/2006/relationships/image" Target="../media/image7.wmf"/><Relationship Id="rId12" Type="http://schemas.openxmlformats.org/officeDocument/2006/relationships/image" Target="../media/image12.wmf"/><Relationship Id="rId17" Type="http://schemas.openxmlformats.org/officeDocument/2006/relationships/image" Target="../media/image17.wmf"/><Relationship Id="rId2" Type="http://schemas.openxmlformats.org/officeDocument/2006/relationships/image" Target="../media/image1.wmf"/><Relationship Id="rId16" Type="http://schemas.openxmlformats.org/officeDocument/2006/relationships/image" Target="../media/image16.wmf"/><Relationship Id="rId20" Type="http://schemas.openxmlformats.org/officeDocument/2006/relationships/image" Target="../media/image20.wmf"/><Relationship Id="rId1" Type="http://schemas.openxmlformats.org/officeDocument/2006/relationships/image" Target="../media/image2.wmf"/><Relationship Id="rId6" Type="http://schemas.openxmlformats.org/officeDocument/2006/relationships/image" Target="../media/image6.wmf"/><Relationship Id="rId11" Type="http://schemas.openxmlformats.org/officeDocument/2006/relationships/image" Target="../media/image11.wmf"/><Relationship Id="rId5" Type="http://schemas.openxmlformats.org/officeDocument/2006/relationships/image" Target="../media/image5.wmf"/><Relationship Id="rId15" Type="http://schemas.openxmlformats.org/officeDocument/2006/relationships/image" Target="../media/image15.wmf"/><Relationship Id="rId10" Type="http://schemas.openxmlformats.org/officeDocument/2006/relationships/image" Target="../media/image10.wmf"/><Relationship Id="rId19" Type="http://schemas.openxmlformats.org/officeDocument/2006/relationships/image" Target="../media/image19.w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 Id="rId22" Type="http://schemas.openxmlformats.org/officeDocument/2006/relationships/image" Target="../media/image22.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180975</xdr:colOff>
          <xdr:row>22</xdr:row>
          <xdr:rowOff>142875</xdr:rowOff>
        </xdr:from>
        <xdr:to>
          <xdr:col>3</xdr:col>
          <xdr:colOff>66675</xdr:colOff>
          <xdr:row>24</xdr:row>
          <xdr:rowOff>76200</xdr:rowOff>
        </xdr:to>
        <xdr:sp macro="" textlink="">
          <xdr:nvSpPr>
            <xdr:cNvPr id="5121" name="btnReset"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180975</xdr:colOff>
          <xdr:row>19</xdr:row>
          <xdr:rowOff>142875</xdr:rowOff>
        </xdr:from>
        <xdr:to>
          <xdr:col>3</xdr:col>
          <xdr:colOff>66675</xdr:colOff>
          <xdr:row>21</xdr:row>
          <xdr:rowOff>76200</xdr:rowOff>
        </xdr:to>
        <xdr:sp macro="" textlink="">
          <xdr:nvSpPr>
            <xdr:cNvPr id="5182" name="btnPrint" hidden="1">
              <a:extLst>
                <a:ext uri="{63B3BB69-23CF-44E3-9099-C40C66FF867C}">
                  <a14:compatExt spid="_x0000_s5182"/>
                </a:ext>
                <a:ext uri="{FF2B5EF4-FFF2-40B4-BE49-F238E27FC236}">
                  <a16:creationId xmlns:a16="http://schemas.microsoft.com/office/drawing/2014/main" id="{00000000-0008-0000-0000-00003E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2</xdr:row>
          <xdr:rowOff>19050</xdr:rowOff>
        </xdr:from>
        <xdr:to>
          <xdr:col>0</xdr:col>
          <xdr:colOff>190500</xdr:colOff>
          <xdr:row>3</xdr:row>
          <xdr:rowOff>0</xdr:rowOff>
        </xdr:to>
        <xdr:sp macro="" textlink="">
          <xdr:nvSpPr>
            <xdr:cNvPr id="2060" name="btnRemoveRows"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GB" sz="10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1095375</xdr:rowOff>
        </xdr:from>
        <xdr:to>
          <xdr:col>0</xdr:col>
          <xdr:colOff>190500</xdr:colOff>
          <xdr:row>1</xdr:row>
          <xdr:rowOff>1257300</xdr:rowOff>
        </xdr:to>
        <xdr:sp macro="" textlink="">
          <xdr:nvSpPr>
            <xdr:cNvPr id="2072" name="btnAddRows"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GB" sz="10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xdr:row>
          <xdr:rowOff>47625</xdr:rowOff>
        </xdr:from>
        <xdr:to>
          <xdr:col>0</xdr:col>
          <xdr:colOff>190500</xdr:colOff>
          <xdr:row>1</xdr:row>
          <xdr:rowOff>828675</xdr:rowOff>
        </xdr:to>
        <xdr:sp macro="" textlink="">
          <xdr:nvSpPr>
            <xdr:cNvPr id="2102" name="btnCalculate" descr="RE-CALC"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w="9525">
              <a:miter lim="800000"/>
              <a:headEnd/>
              <a:tailEnd/>
            </a:ln>
          </xdr:spPr>
          <xdr:txBody>
            <a:bodyPr vertOverflow="clip" vert="wordArtVert" wrap="square" lIns="0" tIns="0" rIns="0" bIns="0" anchor="ctr" upright="1"/>
            <a:lstStyle/>
            <a:p>
              <a:pPr algn="ctr" rtl="0">
                <a:defRPr sz="1000"/>
              </a:pPr>
              <a:r>
                <a:rPr lang="en-GB" sz="1000" b="0" i="0" u="none" strike="noStrike" baseline="0">
                  <a:solidFill>
                    <a:srgbClr val="000000"/>
                  </a:solidFill>
                  <a:latin typeface="Arial"/>
                  <a:cs typeface="Arial"/>
                </a:rPr>
                <a:t>CALC</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7</xdr:col>
      <xdr:colOff>800100</xdr:colOff>
      <xdr:row>7</xdr:row>
      <xdr:rowOff>180975</xdr:rowOff>
    </xdr:from>
    <xdr:to>
      <xdr:col>10</xdr:col>
      <xdr:colOff>1752600</xdr:colOff>
      <xdr:row>58</xdr:row>
      <xdr:rowOff>95250</xdr:rowOff>
    </xdr:to>
    <xdr:pic>
      <xdr:nvPicPr>
        <xdr:cNvPr id="9217" name="GATemplate">
          <a:extLst>
            <a:ext uri="{FF2B5EF4-FFF2-40B4-BE49-F238E27FC236}">
              <a16:creationId xmlns:a16="http://schemas.microsoft.com/office/drawing/2014/main" id="{00000000-0008-0000-0500-000001240000}"/>
            </a:ext>
          </a:extLst>
        </xdr:cNvPr>
        <xdr:cNvPicPr>
          <a:picLocks noChangeAspect="1"/>
        </xdr:cNvPicPr>
      </xdr:nvPicPr>
      <xdr:blipFill>
        <a:blip xmlns:r="http://schemas.openxmlformats.org/officeDocument/2006/relationships" r:embed="rId1"/>
        <a:srcRect/>
        <a:stretch>
          <a:fillRect/>
        </a:stretch>
      </xdr:blipFill>
      <xdr:spPr bwMode="auto">
        <a:xfrm>
          <a:off x="8677275" y="2276475"/>
          <a:ext cx="5734050" cy="9124950"/>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21</xdr:row>
      <xdr:rowOff>104775</xdr:rowOff>
    </xdr:from>
    <xdr:to>
      <xdr:col>5</xdr:col>
      <xdr:colOff>371475</xdr:colOff>
      <xdr:row>72</xdr:row>
      <xdr:rowOff>76200</xdr:rowOff>
    </xdr:to>
    <xdr:pic>
      <xdr:nvPicPr>
        <xdr:cNvPr id="10241" name="GADrawing1">
          <a:extLst>
            <a:ext uri="{FF2B5EF4-FFF2-40B4-BE49-F238E27FC236}">
              <a16:creationId xmlns:a16="http://schemas.microsoft.com/office/drawing/2014/main" id="{00000000-0008-0000-0600-000001280000}"/>
            </a:ext>
          </a:extLst>
        </xdr:cNvPr>
        <xdr:cNvPicPr>
          <a:picLocks noChangeAspect="1"/>
        </xdr:cNvPicPr>
      </xdr:nvPicPr>
      <xdr:blipFill>
        <a:blip xmlns:r="http://schemas.openxmlformats.org/officeDocument/2006/relationships" r:embed="rId1"/>
        <a:srcRect/>
        <a:stretch>
          <a:fillRect/>
        </a:stretch>
      </xdr:blipFill>
      <xdr:spPr bwMode="auto">
        <a:xfrm>
          <a:off x="0" y="3505200"/>
          <a:ext cx="5133975" cy="8229600"/>
        </a:xfrm>
        <a:prstGeom prst="rect">
          <a:avLst/>
        </a:prstGeom>
        <a:noFill/>
        <a:ln w="9525">
          <a:noFill/>
          <a:miter lim="800000"/>
          <a:headEnd/>
          <a:tailEnd/>
        </a:ln>
      </xdr:spPr>
    </xdr:pic>
    <xdr:clientData/>
  </xdr:twoCellAnchor>
  <xdr:twoCellAnchor editAs="oneCell">
    <xdr:from>
      <xdr:col>16</xdr:col>
      <xdr:colOff>447675</xdr:colOff>
      <xdr:row>21</xdr:row>
      <xdr:rowOff>104775</xdr:rowOff>
    </xdr:from>
    <xdr:to>
      <xdr:col>25</xdr:col>
      <xdr:colOff>95250</xdr:colOff>
      <xdr:row>72</xdr:row>
      <xdr:rowOff>76200</xdr:rowOff>
    </xdr:to>
    <xdr:pic>
      <xdr:nvPicPr>
        <xdr:cNvPr id="10242" name="GADrawing3">
          <a:extLst>
            <a:ext uri="{FF2B5EF4-FFF2-40B4-BE49-F238E27FC236}">
              <a16:creationId xmlns:a16="http://schemas.microsoft.com/office/drawing/2014/main" id="{00000000-0008-0000-0600-000002280000}"/>
            </a:ext>
          </a:extLst>
        </xdr:cNvPr>
        <xdr:cNvPicPr>
          <a:picLocks noChangeAspect="1"/>
        </xdr:cNvPicPr>
      </xdr:nvPicPr>
      <xdr:blipFill>
        <a:blip xmlns:r="http://schemas.openxmlformats.org/officeDocument/2006/relationships" r:embed="rId2"/>
        <a:srcRect/>
        <a:stretch>
          <a:fillRect/>
        </a:stretch>
      </xdr:blipFill>
      <xdr:spPr bwMode="auto">
        <a:xfrm>
          <a:off x="11915775" y="3505200"/>
          <a:ext cx="5133975" cy="8229600"/>
        </a:xfrm>
        <a:prstGeom prst="rect">
          <a:avLst/>
        </a:prstGeom>
        <a:noFill/>
        <a:ln w="9525">
          <a:noFill/>
          <a:miter lim="800000"/>
          <a:headEnd/>
          <a:tailEnd/>
        </a:ln>
      </xdr:spPr>
    </xdr:pic>
    <xdr:clientData/>
  </xdr:twoCellAnchor>
  <xdr:twoCellAnchor editAs="oneCell">
    <xdr:from>
      <xdr:col>26</xdr:col>
      <xdr:colOff>523875</xdr:colOff>
      <xdr:row>137</xdr:row>
      <xdr:rowOff>28575</xdr:rowOff>
    </xdr:from>
    <xdr:to>
      <xdr:col>35</xdr:col>
      <xdr:colOff>190500</xdr:colOff>
      <xdr:row>187</xdr:row>
      <xdr:rowOff>142875</xdr:rowOff>
    </xdr:to>
    <xdr:pic>
      <xdr:nvPicPr>
        <xdr:cNvPr id="10243" name="GADrawingDefault">
          <a:extLst>
            <a:ext uri="{FF2B5EF4-FFF2-40B4-BE49-F238E27FC236}">
              <a16:creationId xmlns:a16="http://schemas.microsoft.com/office/drawing/2014/main" id="{00000000-0008-0000-0600-000003280000}"/>
            </a:ext>
          </a:extLst>
        </xdr:cNvPr>
        <xdr:cNvPicPr>
          <a:picLocks noChangeAspect="1"/>
        </xdr:cNvPicPr>
      </xdr:nvPicPr>
      <xdr:blipFill>
        <a:blip xmlns:r="http://schemas.openxmlformats.org/officeDocument/2006/relationships" r:embed="rId3"/>
        <a:srcRect/>
        <a:stretch>
          <a:fillRect/>
        </a:stretch>
      </xdr:blipFill>
      <xdr:spPr bwMode="auto">
        <a:xfrm>
          <a:off x="18087975" y="22212300"/>
          <a:ext cx="5153025" cy="8210550"/>
        </a:xfrm>
        <a:prstGeom prst="rect">
          <a:avLst/>
        </a:prstGeom>
        <a:noFill/>
        <a:ln w="9525">
          <a:noFill/>
          <a:miter lim="800000"/>
          <a:headEnd/>
          <a:tailEnd/>
        </a:ln>
      </xdr:spPr>
    </xdr:pic>
    <xdr:clientData/>
  </xdr:twoCellAnchor>
  <xdr:twoCellAnchor editAs="oneCell">
    <xdr:from>
      <xdr:col>17</xdr:col>
      <xdr:colOff>161925</xdr:colOff>
      <xdr:row>137</xdr:row>
      <xdr:rowOff>28575</xdr:rowOff>
    </xdr:from>
    <xdr:to>
      <xdr:col>25</xdr:col>
      <xdr:colOff>438150</xdr:colOff>
      <xdr:row>188</xdr:row>
      <xdr:rowOff>0</xdr:rowOff>
    </xdr:to>
    <xdr:pic>
      <xdr:nvPicPr>
        <xdr:cNvPr id="10244" name="GADrawing21">
          <a:extLst>
            <a:ext uri="{FF2B5EF4-FFF2-40B4-BE49-F238E27FC236}">
              <a16:creationId xmlns:a16="http://schemas.microsoft.com/office/drawing/2014/main" id="{00000000-0008-0000-0600-000004280000}"/>
            </a:ext>
          </a:extLst>
        </xdr:cNvPr>
        <xdr:cNvPicPr>
          <a:picLocks noChangeAspect="1"/>
        </xdr:cNvPicPr>
      </xdr:nvPicPr>
      <xdr:blipFill>
        <a:blip xmlns:r="http://schemas.openxmlformats.org/officeDocument/2006/relationships" r:embed="rId4"/>
        <a:srcRect/>
        <a:stretch>
          <a:fillRect/>
        </a:stretch>
      </xdr:blipFill>
      <xdr:spPr bwMode="auto">
        <a:xfrm>
          <a:off x="12239625" y="22212300"/>
          <a:ext cx="5153025" cy="8229600"/>
        </a:xfrm>
        <a:prstGeom prst="rect">
          <a:avLst/>
        </a:prstGeom>
        <a:noFill/>
        <a:ln w="9525">
          <a:noFill/>
          <a:miter lim="800000"/>
          <a:headEnd/>
          <a:tailEnd/>
        </a:ln>
      </xdr:spPr>
    </xdr:pic>
    <xdr:clientData/>
  </xdr:twoCellAnchor>
  <xdr:twoCellAnchor editAs="oneCell">
    <xdr:from>
      <xdr:col>55</xdr:col>
      <xdr:colOff>533400</xdr:colOff>
      <xdr:row>21</xdr:row>
      <xdr:rowOff>104775</xdr:rowOff>
    </xdr:from>
    <xdr:to>
      <xdr:col>64</xdr:col>
      <xdr:colOff>200025</xdr:colOff>
      <xdr:row>72</xdr:row>
      <xdr:rowOff>76200</xdr:rowOff>
    </xdr:to>
    <xdr:pic>
      <xdr:nvPicPr>
        <xdr:cNvPr id="10245" name="GADrawing7">
          <a:extLst>
            <a:ext uri="{FF2B5EF4-FFF2-40B4-BE49-F238E27FC236}">
              <a16:creationId xmlns:a16="http://schemas.microsoft.com/office/drawing/2014/main" id="{00000000-0008-0000-0600-000005280000}"/>
            </a:ext>
          </a:extLst>
        </xdr:cNvPr>
        <xdr:cNvPicPr>
          <a:picLocks noChangeAspect="1"/>
        </xdr:cNvPicPr>
      </xdr:nvPicPr>
      <xdr:blipFill>
        <a:blip xmlns:r="http://schemas.openxmlformats.org/officeDocument/2006/relationships" r:embed="rId5"/>
        <a:srcRect/>
        <a:stretch>
          <a:fillRect/>
        </a:stretch>
      </xdr:blipFill>
      <xdr:spPr bwMode="auto">
        <a:xfrm>
          <a:off x="35775900" y="3505200"/>
          <a:ext cx="5153025" cy="8229600"/>
        </a:xfrm>
        <a:prstGeom prst="rect">
          <a:avLst/>
        </a:prstGeom>
        <a:noFill/>
        <a:ln w="9525">
          <a:noFill/>
          <a:miter lim="800000"/>
          <a:headEnd/>
          <a:tailEnd/>
        </a:ln>
      </xdr:spPr>
    </xdr:pic>
    <xdr:clientData/>
  </xdr:twoCellAnchor>
  <xdr:twoCellAnchor editAs="oneCell">
    <xdr:from>
      <xdr:col>75</xdr:col>
      <xdr:colOff>276225</xdr:colOff>
      <xdr:row>21</xdr:row>
      <xdr:rowOff>104775</xdr:rowOff>
    </xdr:from>
    <xdr:to>
      <xdr:col>83</xdr:col>
      <xdr:colOff>542925</xdr:colOff>
      <xdr:row>72</xdr:row>
      <xdr:rowOff>76200</xdr:rowOff>
    </xdr:to>
    <xdr:pic>
      <xdr:nvPicPr>
        <xdr:cNvPr id="10246" name="GADrawing9">
          <a:extLst>
            <a:ext uri="{FF2B5EF4-FFF2-40B4-BE49-F238E27FC236}">
              <a16:creationId xmlns:a16="http://schemas.microsoft.com/office/drawing/2014/main" id="{00000000-0008-0000-0600-000006280000}"/>
            </a:ext>
          </a:extLst>
        </xdr:cNvPr>
        <xdr:cNvPicPr>
          <a:picLocks noChangeAspect="1"/>
        </xdr:cNvPicPr>
      </xdr:nvPicPr>
      <xdr:blipFill>
        <a:blip xmlns:r="http://schemas.openxmlformats.org/officeDocument/2006/relationships" r:embed="rId6"/>
        <a:srcRect/>
        <a:stretch>
          <a:fillRect/>
        </a:stretch>
      </xdr:blipFill>
      <xdr:spPr bwMode="auto">
        <a:xfrm>
          <a:off x="47710725" y="3505200"/>
          <a:ext cx="5143500" cy="8229600"/>
        </a:xfrm>
        <a:prstGeom prst="rect">
          <a:avLst/>
        </a:prstGeom>
        <a:noFill/>
        <a:ln w="9525">
          <a:noFill/>
          <a:miter lim="800000"/>
          <a:headEnd/>
          <a:tailEnd/>
        </a:ln>
      </xdr:spPr>
    </xdr:pic>
    <xdr:clientData/>
  </xdr:twoCellAnchor>
  <xdr:twoCellAnchor editAs="oneCell">
    <xdr:from>
      <xdr:col>46</xdr:col>
      <xdr:colOff>57150</xdr:colOff>
      <xdr:row>21</xdr:row>
      <xdr:rowOff>104775</xdr:rowOff>
    </xdr:from>
    <xdr:to>
      <xdr:col>54</xdr:col>
      <xdr:colOff>323850</xdr:colOff>
      <xdr:row>72</xdr:row>
      <xdr:rowOff>76200</xdr:rowOff>
    </xdr:to>
    <xdr:pic>
      <xdr:nvPicPr>
        <xdr:cNvPr id="10247" name="GADrawing6">
          <a:extLst>
            <a:ext uri="{FF2B5EF4-FFF2-40B4-BE49-F238E27FC236}">
              <a16:creationId xmlns:a16="http://schemas.microsoft.com/office/drawing/2014/main" id="{00000000-0008-0000-0600-000007280000}"/>
            </a:ext>
          </a:extLst>
        </xdr:cNvPr>
        <xdr:cNvPicPr>
          <a:picLocks noChangeAspect="1"/>
        </xdr:cNvPicPr>
      </xdr:nvPicPr>
      <xdr:blipFill>
        <a:blip xmlns:r="http://schemas.openxmlformats.org/officeDocument/2006/relationships" r:embed="rId7"/>
        <a:srcRect/>
        <a:stretch>
          <a:fillRect/>
        </a:stretch>
      </xdr:blipFill>
      <xdr:spPr bwMode="auto">
        <a:xfrm>
          <a:off x="29813250" y="3505200"/>
          <a:ext cx="5143500" cy="8229600"/>
        </a:xfrm>
        <a:prstGeom prst="rect">
          <a:avLst/>
        </a:prstGeom>
        <a:noFill/>
        <a:ln w="9525">
          <a:noFill/>
          <a:miter lim="800000"/>
          <a:headEnd/>
          <a:tailEnd/>
        </a:ln>
      </xdr:spPr>
    </xdr:pic>
    <xdr:clientData/>
  </xdr:twoCellAnchor>
  <xdr:twoCellAnchor editAs="oneCell">
    <xdr:from>
      <xdr:col>26</xdr:col>
      <xdr:colOff>561975</xdr:colOff>
      <xdr:row>77</xdr:row>
      <xdr:rowOff>9525</xdr:rowOff>
    </xdr:from>
    <xdr:to>
      <xdr:col>35</xdr:col>
      <xdr:colOff>228600</xdr:colOff>
      <xdr:row>127</xdr:row>
      <xdr:rowOff>133350</xdr:rowOff>
    </xdr:to>
    <xdr:pic>
      <xdr:nvPicPr>
        <xdr:cNvPr id="10248" name="GADrawing13">
          <a:extLst>
            <a:ext uri="{FF2B5EF4-FFF2-40B4-BE49-F238E27FC236}">
              <a16:creationId xmlns:a16="http://schemas.microsoft.com/office/drawing/2014/main" id="{00000000-0008-0000-0600-000008280000}"/>
            </a:ext>
          </a:extLst>
        </xdr:cNvPr>
        <xdr:cNvPicPr>
          <a:picLocks noChangeAspect="1"/>
        </xdr:cNvPicPr>
      </xdr:nvPicPr>
      <xdr:blipFill>
        <a:blip xmlns:r="http://schemas.openxmlformats.org/officeDocument/2006/relationships" r:embed="rId8"/>
        <a:srcRect/>
        <a:stretch>
          <a:fillRect/>
        </a:stretch>
      </xdr:blipFill>
      <xdr:spPr bwMode="auto">
        <a:xfrm>
          <a:off x="18126075" y="12477750"/>
          <a:ext cx="5153025" cy="8220075"/>
        </a:xfrm>
        <a:prstGeom prst="rect">
          <a:avLst/>
        </a:prstGeom>
        <a:noFill/>
        <a:ln w="9525">
          <a:noFill/>
          <a:miter lim="800000"/>
          <a:headEnd/>
          <a:tailEnd/>
        </a:ln>
      </xdr:spPr>
    </xdr:pic>
    <xdr:clientData/>
  </xdr:twoCellAnchor>
  <xdr:twoCellAnchor editAs="oneCell">
    <xdr:from>
      <xdr:col>46</xdr:col>
      <xdr:colOff>390525</xdr:colOff>
      <xdr:row>77</xdr:row>
      <xdr:rowOff>9525</xdr:rowOff>
    </xdr:from>
    <xdr:to>
      <xdr:col>55</xdr:col>
      <xdr:colOff>47625</xdr:colOff>
      <xdr:row>127</xdr:row>
      <xdr:rowOff>133350</xdr:rowOff>
    </xdr:to>
    <xdr:pic>
      <xdr:nvPicPr>
        <xdr:cNvPr id="10249" name="GADrawing15">
          <a:extLst>
            <a:ext uri="{FF2B5EF4-FFF2-40B4-BE49-F238E27FC236}">
              <a16:creationId xmlns:a16="http://schemas.microsoft.com/office/drawing/2014/main" id="{00000000-0008-0000-0600-000009280000}"/>
            </a:ext>
          </a:extLst>
        </xdr:cNvPr>
        <xdr:cNvPicPr>
          <a:picLocks noChangeAspect="1"/>
        </xdr:cNvPicPr>
      </xdr:nvPicPr>
      <xdr:blipFill>
        <a:blip xmlns:r="http://schemas.openxmlformats.org/officeDocument/2006/relationships" r:embed="rId9"/>
        <a:srcRect/>
        <a:stretch>
          <a:fillRect/>
        </a:stretch>
      </xdr:blipFill>
      <xdr:spPr bwMode="auto">
        <a:xfrm>
          <a:off x="30146625" y="12477750"/>
          <a:ext cx="5143500" cy="8220075"/>
        </a:xfrm>
        <a:prstGeom prst="rect">
          <a:avLst/>
        </a:prstGeom>
        <a:noFill/>
        <a:ln w="9525">
          <a:noFill/>
          <a:miter lim="800000"/>
          <a:headEnd/>
          <a:tailEnd/>
        </a:ln>
      </xdr:spPr>
    </xdr:pic>
    <xdr:clientData/>
  </xdr:twoCellAnchor>
  <xdr:twoCellAnchor editAs="oneCell">
    <xdr:from>
      <xdr:col>0</xdr:col>
      <xdr:colOff>85725</xdr:colOff>
      <xdr:row>77</xdr:row>
      <xdr:rowOff>9525</xdr:rowOff>
    </xdr:from>
    <xdr:to>
      <xdr:col>5</xdr:col>
      <xdr:colOff>523875</xdr:colOff>
      <xdr:row>127</xdr:row>
      <xdr:rowOff>142875</xdr:rowOff>
    </xdr:to>
    <xdr:pic>
      <xdr:nvPicPr>
        <xdr:cNvPr id="10250" name="GADrawing10">
          <a:extLst>
            <a:ext uri="{FF2B5EF4-FFF2-40B4-BE49-F238E27FC236}">
              <a16:creationId xmlns:a16="http://schemas.microsoft.com/office/drawing/2014/main" id="{00000000-0008-0000-0600-00000A280000}"/>
            </a:ext>
          </a:extLst>
        </xdr:cNvPr>
        <xdr:cNvPicPr>
          <a:picLocks noChangeAspect="1"/>
        </xdr:cNvPicPr>
      </xdr:nvPicPr>
      <xdr:blipFill>
        <a:blip xmlns:r="http://schemas.openxmlformats.org/officeDocument/2006/relationships" r:embed="rId10"/>
        <a:srcRect/>
        <a:stretch>
          <a:fillRect/>
        </a:stretch>
      </xdr:blipFill>
      <xdr:spPr bwMode="auto">
        <a:xfrm>
          <a:off x="85725" y="12477750"/>
          <a:ext cx="5200650" cy="8229600"/>
        </a:xfrm>
        <a:prstGeom prst="rect">
          <a:avLst/>
        </a:prstGeom>
        <a:noFill/>
        <a:ln w="9525">
          <a:noFill/>
          <a:miter lim="800000"/>
          <a:headEnd/>
          <a:tailEnd/>
        </a:ln>
      </xdr:spPr>
    </xdr:pic>
    <xdr:clientData/>
  </xdr:twoCellAnchor>
  <xdr:twoCellAnchor editAs="oneCell">
    <xdr:from>
      <xdr:col>17</xdr:col>
      <xdr:colOff>66675</xdr:colOff>
      <xdr:row>77</xdr:row>
      <xdr:rowOff>9525</xdr:rowOff>
    </xdr:from>
    <xdr:to>
      <xdr:col>25</xdr:col>
      <xdr:colOff>314325</xdr:colOff>
      <xdr:row>127</xdr:row>
      <xdr:rowOff>142875</xdr:rowOff>
    </xdr:to>
    <xdr:pic>
      <xdr:nvPicPr>
        <xdr:cNvPr id="10251" name="GADrawing12">
          <a:extLst>
            <a:ext uri="{FF2B5EF4-FFF2-40B4-BE49-F238E27FC236}">
              <a16:creationId xmlns:a16="http://schemas.microsoft.com/office/drawing/2014/main" id="{00000000-0008-0000-0600-00000B280000}"/>
            </a:ext>
          </a:extLst>
        </xdr:cNvPr>
        <xdr:cNvPicPr>
          <a:picLocks noChangeAspect="1"/>
        </xdr:cNvPicPr>
      </xdr:nvPicPr>
      <xdr:blipFill>
        <a:blip xmlns:r="http://schemas.openxmlformats.org/officeDocument/2006/relationships" r:embed="rId11"/>
        <a:srcRect/>
        <a:stretch>
          <a:fillRect/>
        </a:stretch>
      </xdr:blipFill>
      <xdr:spPr bwMode="auto">
        <a:xfrm>
          <a:off x="12144375" y="12477750"/>
          <a:ext cx="5124450" cy="8229600"/>
        </a:xfrm>
        <a:prstGeom prst="rect">
          <a:avLst/>
        </a:prstGeom>
        <a:noFill/>
        <a:ln w="9525">
          <a:noFill/>
          <a:miter lim="800000"/>
          <a:headEnd/>
          <a:tailEnd/>
        </a:ln>
      </xdr:spPr>
    </xdr:pic>
    <xdr:clientData/>
  </xdr:twoCellAnchor>
  <xdr:twoCellAnchor editAs="oneCell">
    <xdr:from>
      <xdr:col>56</xdr:col>
      <xdr:colOff>285750</xdr:colOff>
      <xdr:row>77</xdr:row>
      <xdr:rowOff>9525</xdr:rowOff>
    </xdr:from>
    <xdr:to>
      <xdr:col>64</xdr:col>
      <xdr:colOff>552450</xdr:colOff>
      <xdr:row>127</xdr:row>
      <xdr:rowOff>142875</xdr:rowOff>
    </xdr:to>
    <xdr:pic>
      <xdr:nvPicPr>
        <xdr:cNvPr id="10252" name="GADrawing16">
          <a:extLst>
            <a:ext uri="{FF2B5EF4-FFF2-40B4-BE49-F238E27FC236}">
              <a16:creationId xmlns:a16="http://schemas.microsoft.com/office/drawing/2014/main" id="{00000000-0008-0000-0600-00000C280000}"/>
            </a:ext>
          </a:extLst>
        </xdr:cNvPr>
        <xdr:cNvPicPr>
          <a:picLocks noChangeAspect="1"/>
        </xdr:cNvPicPr>
      </xdr:nvPicPr>
      <xdr:blipFill>
        <a:blip xmlns:r="http://schemas.openxmlformats.org/officeDocument/2006/relationships" r:embed="rId12"/>
        <a:srcRect/>
        <a:stretch>
          <a:fillRect/>
        </a:stretch>
      </xdr:blipFill>
      <xdr:spPr bwMode="auto">
        <a:xfrm>
          <a:off x="36137850" y="12477750"/>
          <a:ext cx="5143500" cy="8229600"/>
        </a:xfrm>
        <a:prstGeom prst="rect">
          <a:avLst/>
        </a:prstGeom>
        <a:noFill/>
        <a:ln w="9525">
          <a:noFill/>
          <a:miter lim="800000"/>
          <a:headEnd/>
          <a:tailEnd/>
        </a:ln>
      </xdr:spPr>
    </xdr:pic>
    <xdr:clientData/>
  </xdr:twoCellAnchor>
  <xdr:twoCellAnchor editAs="oneCell">
    <xdr:from>
      <xdr:col>66</xdr:col>
      <xdr:colOff>190500</xdr:colOff>
      <xdr:row>77</xdr:row>
      <xdr:rowOff>9525</xdr:rowOff>
    </xdr:from>
    <xdr:to>
      <xdr:col>74</xdr:col>
      <xdr:colOff>457200</xdr:colOff>
      <xdr:row>127</xdr:row>
      <xdr:rowOff>133350</xdr:rowOff>
    </xdr:to>
    <xdr:pic>
      <xdr:nvPicPr>
        <xdr:cNvPr id="10253" name="GADrawing17">
          <a:extLst>
            <a:ext uri="{FF2B5EF4-FFF2-40B4-BE49-F238E27FC236}">
              <a16:creationId xmlns:a16="http://schemas.microsoft.com/office/drawing/2014/main" id="{00000000-0008-0000-0600-00000D280000}"/>
            </a:ext>
          </a:extLst>
        </xdr:cNvPr>
        <xdr:cNvPicPr>
          <a:picLocks noChangeAspect="1"/>
        </xdr:cNvPicPr>
      </xdr:nvPicPr>
      <xdr:blipFill>
        <a:blip xmlns:r="http://schemas.openxmlformats.org/officeDocument/2006/relationships" r:embed="rId13"/>
        <a:srcRect/>
        <a:stretch>
          <a:fillRect/>
        </a:stretch>
      </xdr:blipFill>
      <xdr:spPr bwMode="auto">
        <a:xfrm>
          <a:off x="42138600" y="12477750"/>
          <a:ext cx="5143500" cy="8220075"/>
        </a:xfrm>
        <a:prstGeom prst="rect">
          <a:avLst/>
        </a:prstGeom>
        <a:noFill/>
        <a:ln w="9525">
          <a:noFill/>
          <a:miter lim="800000"/>
          <a:headEnd/>
          <a:tailEnd/>
        </a:ln>
      </xdr:spPr>
    </xdr:pic>
    <xdr:clientData/>
  </xdr:twoCellAnchor>
  <xdr:twoCellAnchor editAs="oneCell">
    <xdr:from>
      <xdr:col>76</xdr:col>
      <xdr:colOff>95250</xdr:colOff>
      <xdr:row>77</xdr:row>
      <xdr:rowOff>9525</xdr:rowOff>
    </xdr:from>
    <xdr:to>
      <xdr:col>84</xdr:col>
      <xdr:colOff>361950</xdr:colOff>
      <xdr:row>127</xdr:row>
      <xdr:rowOff>133350</xdr:rowOff>
    </xdr:to>
    <xdr:pic>
      <xdr:nvPicPr>
        <xdr:cNvPr id="10254" name="GADrawing18">
          <a:extLst>
            <a:ext uri="{FF2B5EF4-FFF2-40B4-BE49-F238E27FC236}">
              <a16:creationId xmlns:a16="http://schemas.microsoft.com/office/drawing/2014/main" id="{00000000-0008-0000-0600-00000E280000}"/>
            </a:ext>
          </a:extLst>
        </xdr:cNvPr>
        <xdr:cNvPicPr>
          <a:picLocks noChangeAspect="1"/>
        </xdr:cNvPicPr>
      </xdr:nvPicPr>
      <xdr:blipFill>
        <a:blip xmlns:r="http://schemas.openxmlformats.org/officeDocument/2006/relationships" r:embed="rId14"/>
        <a:srcRect/>
        <a:stretch>
          <a:fillRect/>
        </a:stretch>
      </xdr:blipFill>
      <xdr:spPr bwMode="auto">
        <a:xfrm>
          <a:off x="48139350" y="12477750"/>
          <a:ext cx="5143500" cy="8220075"/>
        </a:xfrm>
        <a:prstGeom prst="rect">
          <a:avLst/>
        </a:prstGeom>
        <a:noFill/>
        <a:ln w="9525">
          <a:noFill/>
          <a:miter lim="800000"/>
          <a:headEnd/>
          <a:tailEnd/>
        </a:ln>
      </xdr:spPr>
    </xdr:pic>
    <xdr:clientData/>
  </xdr:twoCellAnchor>
  <xdr:twoCellAnchor editAs="oneCell">
    <xdr:from>
      <xdr:col>0</xdr:col>
      <xdr:colOff>561975</xdr:colOff>
      <xdr:row>137</xdr:row>
      <xdr:rowOff>28575</xdr:rowOff>
    </xdr:from>
    <xdr:to>
      <xdr:col>6</xdr:col>
      <xdr:colOff>333375</xdr:colOff>
      <xdr:row>188</xdr:row>
      <xdr:rowOff>0</xdr:rowOff>
    </xdr:to>
    <xdr:pic>
      <xdr:nvPicPr>
        <xdr:cNvPr id="10255" name="GADrawing19">
          <a:extLst>
            <a:ext uri="{FF2B5EF4-FFF2-40B4-BE49-F238E27FC236}">
              <a16:creationId xmlns:a16="http://schemas.microsoft.com/office/drawing/2014/main" id="{00000000-0008-0000-0600-00000F280000}"/>
            </a:ext>
          </a:extLst>
        </xdr:cNvPr>
        <xdr:cNvPicPr>
          <a:picLocks noChangeAspect="1"/>
        </xdr:cNvPicPr>
      </xdr:nvPicPr>
      <xdr:blipFill>
        <a:blip xmlns:r="http://schemas.openxmlformats.org/officeDocument/2006/relationships" r:embed="rId15"/>
        <a:srcRect/>
        <a:stretch>
          <a:fillRect/>
        </a:stretch>
      </xdr:blipFill>
      <xdr:spPr bwMode="auto">
        <a:xfrm>
          <a:off x="561975" y="22212300"/>
          <a:ext cx="5143500" cy="8229600"/>
        </a:xfrm>
        <a:prstGeom prst="rect">
          <a:avLst/>
        </a:prstGeom>
        <a:noFill/>
        <a:ln w="9525">
          <a:noFill/>
          <a:miter lim="800000"/>
          <a:headEnd/>
          <a:tailEnd/>
        </a:ln>
      </xdr:spPr>
    </xdr:pic>
    <xdr:clientData/>
  </xdr:twoCellAnchor>
  <xdr:twoCellAnchor editAs="oneCell">
    <xdr:from>
      <xdr:col>0</xdr:col>
      <xdr:colOff>85725</xdr:colOff>
      <xdr:row>72</xdr:row>
      <xdr:rowOff>85725</xdr:rowOff>
    </xdr:from>
    <xdr:to>
      <xdr:col>5</xdr:col>
      <xdr:colOff>523875</xdr:colOff>
      <xdr:row>120</xdr:row>
      <xdr:rowOff>66675</xdr:rowOff>
    </xdr:to>
    <xdr:sp macro="" textlink="">
      <xdr:nvSpPr>
        <xdr:cNvPr id="10256" name="AutoShape 1">
          <a:extLst>
            <a:ext uri="{FF2B5EF4-FFF2-40B4-BE49-F238E27FC236}">
              <a16:creationId xmlns:a16="http://schemas.microsoft.com/office/drawing/2014/main" id="{00000000-0008-0000-0600-000010280000}"/>
            </a:ext>
          </a:extLst>
        </xdr:cNvPr>
        <xdr:cNvSpPr>
          <a:spLocks noChangeAspect="1" noChangeArrowheads="1"/>
        </xdr:cNvSpPr>
      </xdr:nvSpPr>
      <xdr:spPr bwMode="auto">
        <a:xfrm>
          <a:off x="85725" y="11744325"/>
          <a:ext cx="5200650" cy="7753350"/>
        </a:xfrm>
        <a:prstGeom prst="rect">
          <a:avLst/>
        </a:prstGeom>
        <a:noFill/>
        <a:ln w="9525">
          <a:noFill/>
          <a:miter lim="800000"/>
          <a:headEnd/>
          <a:tailEnd/>
        </a:ln>
      </xdr:spPr>
    </xdr:sp>
    <xdr:clientData/>
  </xdr:twoCellAnchor>
  <xdr:twoCellAnchor editAs="oneCell">
    <xdr:from>
      <xdr:col>7</xdr:col>
      <xdr:colOff>381000</xdr:colOff>
      <xdr:row>136</xdr:row>
      <xdr:rowOff>76200</xdr:rowOff>
    </xdr:from>
    <xdr:to>
      <xdr:col>16</xdr:col>
      <xdr:colOff>95250</xdr:colOff>
      <xdr:row>188</xdr:row>
      <xdr:rowOff>57150</xdr:rowOff>
    </xdr:to>
    <xdr:pic>
      <xdr:nvPicPr>
        <xdr:cNvPr id="10257" name="GADrawing20">
          <a:extLst>
            <a:ext uri="{FF2B5EF4-FFF2-40B4-BE49-F238E27FC236}">
              <a16:creationId xmlns:a16="http://schemas.microsoft.com/office/drawing/2014/main" id="{00000000-0008-0000-0600-000011280000}"/>
            </a:ext>
          </a:extLst>
        </xdr:cNvPr>
        <xdr:cNvPicPr>
          <a:picLocks noChangeAspect="1"/>
        </xdr:cNvPicPr>
      </xdr:nvPicPr>
      <xdr:blipFill>
        <a:blip xmlns:r="http://schemas.openxmlformats.org/officeDocument/2006/relationships" r:embed="rId16"/>
        <a:srcRect/>
        <a:stretch>
          <a:fillRect/>
        </a:stretch>
      </xdr:blipFill>
      <xdr:spPr bwMode="auto">
        <a:xfrm>
          <a:off x="6362700" y="22098000"/>
          <a:ext cx="5200650" cy="8401050"/>
        </a:xfrm>
        <a:prstGeom prst="rect">
          <a:avLst/>
        </a:prstGeom>
        <a:noFill/>
        <a:ln w="9525">
          <a:noFill/>
          <a:miter lim="800000"/>
          <a:headEnd/>
          <a:tailEnd/>
        </a:ln>
      </xdr:spPr>
    </xdr:pic>
    <xdr:clientData/>
  </xdr:twoCellAnchor>
  <xdr:twoCellAnchor editAs="oneCell">
    <xdr:from>
      <xdr:col>7</xdr:col>
      <xdr:colOff>190500</xdr:colOff>
      <xdr:row>76</xdr:row>
      <xdr:rowOff>28575</xdr:rowOff>
    </xdr:from>
    <xdr:to>
      <xdr:col>15</xdr:col>
      <xdr:colOff>504825</xdr:colOff>
      <xdr:row>128</xdr:row>
      <xdr:rowOff>9525</xdr:rowOff>
    </xdr:to>
    <xdr:pic>
      <xdr:nvPicPr>
        <xdr:cNvPr id="10258" name="GADrawing11">
          <a:extLst>
            <a:ext uri="{FF2B5EF4-FFF2-40B4-BE49-F238E27FC236}">
              <a16:creationId xmlns:a16="http://schemas.microsoft.com/office/drawing/2014/main" id="{00000000-0008-0000-0600-000012280000}"/>
            </a:ext>
          </a:extLst>
        </xdr:cNvPr>
        <xdr:cNvPicPr>
          <a:picLocks noChangeAspect="1"/>
        </xdr:cNvPicPr>
      </xdr:nvPicPr>
      <xdr:blipFill>
        <a:blip xmlns:r="http://schemas.openxmlformats.org/officeDocument/2006/relationships" r:embed="rId17"/>
        <a:srcRect/>
        <a:stretch>
          <a:fillRect/>
        </a:stretch>
      </xdr:blipFill>
      <xdr:spPr bwMode="auto">
        <a:xfrm>
          <a:off x="6172200" y="12334875"/>
          <a:ext cx="5191125" cy="8401050"/>
        </a:xfrm>
        <a:prstGeom prst="rect">
          <a:avLst/>
        </a:prstGeom>
        <a:noFill/>
        <a:ln w="9525">
          <a:noFill/>
          <a:miter lim="800000"/>
          <a:headEnd/>
          <a:tailEnd/>
        </a:ln>
      </xdr:spPr>
    </xdr:pic>
    <xdr:clientData/>
  </xdr:twoCellAnchor>
  <xdr:twoCellAnchor editAs="oneCell">
    <xdr:from>
      <xdr:col>36</xdr:col>
      <xdr:colOff>495300</xdr:colOff>
      <xdr:row>76</xdr:row>
      <xdr:rowOff>47625</xdr:rowOff>
    </xdr:from>
    <xdr:to>
      <xdr:col>45</xdr:col>
      <xdr:colOff>209550</xdr:colOff>
      <xdr:row>128</xdr:row>
      <xdr:rowOff>19050</xdr:rowOff>
    </xdr:to>
    <xdr:pic>
      <xdr:nvPicPr>
        <xdr:cNvPr id="10259" name="GADrawing14">
          <a:extLst>
            <a:ext uri="{FF2B5EF4-FFF2-40B4-BE49-F238E27FC236}">
              <a16:creationId xmlns:a16="http://schemas.microsoft.com/office/drawing/2014/main" id="{00000000-0008-0000-0600-000013280000}"/>
            </a:ext>
          </a:extLst>
        </xdr:cNvPr>
        <xdr:cNvPicPr>
          <a:picLocks noChangeAspect="1"/>
        </xdr:cNvPicPr>
      </xdr:nvPicPr>
      <xdr:blipFill>
        <a:blip xmlns:r="http://schemas.openxmlformats.org/officeDocument/2006/relationships" r:embed="rId18"/>
        <a:srcRect/>
        <a:stretch>
          <a:fillRect/>
        </a:stretch>
      </xdr:blipFill>
      <xdr:spPr bwMode="auto">
        <a:xfrm>
          <a:off x="24155400" y="12353925"/>
          <a:ext cx="5200650" cy="8391525"/>
        </a:xfrm>
        <a:prstGeom prst="rect">
          <a:avLst/>
        </a:prstGeom>
        <a:noFill/>
        <a:ln w="9525">
          <a:noFill/>
          <a:miter lim="800000"/>
          <a:headEnd/>
          <a:tailEnd/>
        </a:ln>
      </xdr:spPr>
    </xdr:pic>
    <xdr:clientData/>
  </xdr:twoCellAnchor>
  <xdr:twoCellAnchor editAs="oneCell">
    <xdr:from>
      <xdr:col>36</xdr:col>
      <xdr:colOff>476250</xdr:colOff>
      <xdr:row>20</xdr:row>
      <xdr:rowOff>66675</xdr:rowOff>
    </xdr:from>
    <xdr:to>
      <xdr:col>45</xdr:col>
      <xdr:colOff>190500</xdr:colOff>
      <xdr:row>72</xdr:row>
      <xdr:rowOff>38100</xdr:rowOff>
    </xdr:to>
    <xdr:pic>
      <xdr:nvPicPr>
        <xdr:cNvPr id="10260" name="GADrawing5">
          <a:extLst>
            <a:ext uri="{FF2B5EF4-FFF2-40B4-BE49-F238E27FC236}">
              <a16:creationId xmlns:a16="http://schemas.microsoft.com/office/drawing/2014/main" id="{00000000-0008-0000-0600-000014280000}"/>
            </a:ext>
          </a:extLst>
        </xdr:cNvPr>
        <xdr:cNvPicPr>
          <a:picLocks noChangeAspect="1"/>
        </xdr:cNvPicPr>
      </xdr:nvPicPr>
      <xdr:blipFill>
        <a:blip xmlns:r="http://schemas.openxmlformats.org/officeDocument/2006/relationships" r:embed="rId19"/>
        <a:srcRect/>
        <a:stretch>
          <a:fillRect/>
        </a:stretch>
      </xdr:blipFill>
      <xdr:spPr bwMode="auto">
        <a:xfrm>
          <a:off x="24136350" y="3305175"/>
          <a:ext cx="5200650" cy="8391525"/>
        </a:xfrm>
        <a:prstGeom prst="rect">
          <a:avLst/>
        </a:prstGeom>
        <a:noFill/>
        <a:ln w="9525">
          <a:noFill/>
          <a:miter lim="800000"/>
          <a:headEnd/>
          <a:tailEnd/>
        </a:ln>
      </xdr:spPr>
    </xdr:pic>
    <xdr:clientData/>
  </xdr:twoCellAnchor>
  <xdr:twoCellAnchor editAs="oneCell">
    <xdr:from>
      <xdr:col>26</xdr:col>
      <xdr:colOff>504825</xdr:colOff>
      <xdr:row>21</xdr:row>
      <xdr:rowOff>19050</xdr:rowOff>
    </xdr:from>
    <xdr:to>
      <xdr:col>35</xdr:col>
      <xdr:colOff>219075</xdr:colOff>
      <xdr:row>72</xdr:row>
      <xdr:rowOff>152400</xdr:rowOff>
    </xdr:to>
    <xdr:pic>
      <xdr:nvPicPr>
        <xdr:cNvPr id="10261" name="GADrawing4">
          <a:extLst>
            <a:ext uri="{FF2B5EF4-FFF2-40B4-BE49-F238E27FC236}">
              <a16:creationId xmlns:a16="http://schemas.microsoft.com/office/drawing/2014/main" id="{00000000-0008-0000-0600-000015280000}"/>
            </a:ext>
          </a:extLst>
        </xdr:cNvPr>
        <xdr:cNvPicPr>
          <a:picLocks noChangeAspect="1"/>
        </xdr:cNvPicPr>
      </xdr:nvPicPr>
      <xdr:blipFill>
        <a:blip xmlns:r="http://schemas.openxmlformats.org/officeDocument/2006/relationships" r:embed="rId20"/>
        <a:srcRect/>
        <a:stretch>
          <a:fillRect/>
        </a:stretch>
      </xdr:blipFill>
      <xdr:spPr bwMode="auto">
        <a:xfrm>
          <a:off x="18068925" y="3419475"/>
          <a:ext cx="5200650" cy="8391525"/>
        </a:xfrm>
        <a:prstGeom prst="rect">
          <a:avLst/>
        </a:prstGeom>
        <a:noFill/>
        <a:ln w="9525">
          <a:noFill/>
          <a:miter lim="800000"/>
          <a:headEnd/>
          <a:tailEnd/>
        </a:ln>
      </xdr:spPr>
    </xdr:pic>
    <xdr:clientData/>
  </xdr:twoCellAnchor>
  <xdr:twoCellAnchor editAs="oneCell">
    <xdr:from>
      <xdr:col>66</xdr:col>
      <xdr:colOff>285750</xdr:colOff>
      <xdr:row>20</xdr:row>
      <xdr:rowOff>114300</xdr:rowOff>
    </xdr:from>
    <xdr:to>
      <xdr:col>75</xdr:col>
      <xdr:colOff>0</xdr:colOff>
      <xdr:row>72</xdr:row>
      <xdr:rowOff>85725</xdr:rowOff>
    </xdr:to>
    <xdr:pic>
      <xdr:nvPicPr>
        <xdr:cNvPr id="10262" name="GADrawing8">
          <a:extLst>
            <a:ext uri="{FF2B5EF4-FFF2-40B4-BE49-F238E27FC236}">
              <a16:creationId xmlns:a16="http://schemas.microsoft.com/office/drawing/2014/main" id="{00000000-0008-0000-0600-000016280000}"/>
            </a:ext>
          </a:extLst>
        </xdr:cNvPr>
        <xdr:cNvPicPr>
          <a:picLocks noChangeAspect="1"/>
        </xdr:cNvPicPr>
      </xdr:nvPicPr>
      <xdr:blipFill>
        <a:blip xmlns:r="http://schemas.openxmlformats.org/officeDocument/2006/relationships" r:embed="rId21"/>
        <a:srcRect/>
        <a:stretch>
          <a:fillRect/>
        </a:stretch>
      </xdr:blipFill>
      <xdr:spPr bwMode="auto">
        <a:xfrm>
          <a:off x="42233850" y="3352800"/>
          <a:ext cx="5200650" cy="8391525"/>
        </a:xfrm>
        <a:prstGeom prst="rect">
          <a:avLst/>
        </a:prstGeom>
        <a:noFill/>
        <a:ln w="9525">
          <a:noFill/>
          <a:miter lim="800000"/>
          <a:headEnd/>
          <a:tailEnd/>
        </a:ln>
      </xdr:spPr>
    </xdr:pic>
    <xdr:clientData/>
  </xdr:twoCellAnchor>
  <xdr:twoCellAnchor editAs="oneCell">
    <xdr:from>
      <xdr:col>7</xdr:col>
      <xdr:colOff>523875</xdr:colOff>
      <xdr:row>21</xdr:row>
      <xdr:rowOff>142875</xdr:rowOff>
    </xdr:from>
    <xdr:to>
      <xdr:col>16</xdr:col>
      <xdr:colOff>238125</xdr:colOff>
      <xdr:row>73</xdr:row>
      <xdr:rowOff>114300</xdr:rowOff>
    </xdr:to>
    <xdr:pic>
      <xdr:nvPicPr>
        <xdr:cNvPr id="10263" name="GADrawing2">
          <a:extLst>
            <a:ext uri="{FF2B5EF4-FFF2-40B4-BE49-F238E27FC236}">
              <a16:creationId xmlns:a16="http://schemas.microsoft.com/office/drawing/2014/main" id="{00000000-0008-0000-0600-000017280000}"/>
            </a:ext>
          </a:extLst>
        </xdr:cNvPr>
        <xdr:cNvPicPr>
          <a:picLocks noChangeAspect="1"/>
        </xdr:cNvPicPr>
      </xdr:nvPicPr>
      <xdr:blipFill>
        <a:blip xmlns:r="http://schemas.openxmlformats.org/officeDocument/2006/relationships" r:embed="rId22"/>
        <a:srcRect/>
        <a:stretch>
          <a:fillRect/>
        </a:stretch>
      </xdr:blipFill>
      <xdr:spPr bwMode="auto">
        <a:xfrm>
          <a:off x="6505575" y="3543300"/>
          <a:ext cx="5200650" cy="839152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H28"/>
  <sheetViews>
    <sheetView tabSelected="1" zoomScaleNormal="100" workbookViewId="0">
      <selection activeCell="E6" sqref="E6"/>
    </sheetView>
  </sheetViews>
  <sheetFormatPr defaultColWidth="0" defaultRowHeight="12.75" zeroHeight="1" x14ac:dyDescent="0.2"/>
  <cols>
    <col min="1" max="1" width="5.42578125" customWidth="1"/>
    <col min="2" max="3" width="9.140625" customWidth="1"/>
    <col min="4" max="4" width="2.42578125" customWidth="1"/>
    <col min="5" max="5" width="33.5703125" customWidth="1"/>
    <col min="6" max="7" width="13.42578125" customWidth="1"/>
    <col min="8" max="8" width="3" customWidth="1"/>
  </cols>
  <sheetData>
    <row r="1" spans="1:8" x14ac:dyDescent="0.2"/>
    <row r="2" spans="1:8" ht="71.25" x14ac:dyDescent="0.2">
      <c r="A2" s="289" t="s">
        <v>398</v>
      </c>
      <c r="B2" s="289"/>
      <c r="C2" s="289"/>
      <c r="D2" s="289"/>
      <c r="E2" s="185" t="s">
        <v>326</v>
      </c>
    </row>
    <row r="3" spans="1:8" x14ac:dyDescent="0.2">
      <c r="E3" s="278" t="s">
        <v>469</v>
      </c>
    </row>
    <row r="4" spans="1:8" x14ac:dyDescent="0.2">
      <c r="E4" s="25"/>
    </row>
    <row r="5" spans="1:8" x14ac:dyDescent="0.2">
      <c r="E5" s="281"/>
      <c r="F5" s="290" t="s">
        <v>300</v>
      </c>
      <c r="G5" s="291"/>
      <c r="H5" s="186"/>
    </row>
    <row r="6" spans="1:8" x14ac:dyDescent="0.2">
      <c r="F6" s="26">
        <v>43833</v>
      </c>
      <c r="G6" s="27" t="s">
        <v>475</v>
      </c>
    </row>
    <row r="7" spans="1:8" x14ac:dyDescent="0.2"/>
    <row r="8" spans="1:8" x14ac:dyDescent="0.2">
      <c r="C8" s="25"/>
      <c r="D8" s="179" t="s">
        <v>400</v>
      </c>
      <c r="E8" s="189"/>
    </row>
    <row r="9" spans="1:8" x14ac:dyDescent="0.2">
      <c r="C9" s="237"/>
      <c r="D9" s="179" t="s">
        <v>402</v>
      </c>
      <c r="E9" s="189"/>
    </row>
    <row r="10" spans="1:8" x14ac:dyDescent="0.2">
      <c r="C10" s="237"/>
      <c r="D10" s="179" t="s">
        <v>401</v>
      </c>
      <c r="E10" s="189"/>
    </row>
    <row r="11" spans="1:8" x14ac:dyDescent="0.2">
      <c r="C11" s="237"/>
      <c r="D11" s="179" t="s">
        <v>403</v>
      </c>
      <c r="E11" s="189"/>
    </row>
    <row r="12" spans="1:8" x14ac:dyDescent="0.2">
      <c r="C12" s="237"/>
      <c r="D12" s="197" t="s">
        <v>405</v>
      </c>
      <c r="E12" s="189"/>
    </row>
    <row r="13" spans="1:8" x14ac:dyDescent="0.2">
      <c r="C13" s="237"/>
      <c r="D13" s="179" t="s">
        <v>404</v>
      </c>
      <c r="E13" s="189"/>
    </row>
    <row r="14" spans="1:8" x14ac:dyDescent="0.2">
      <c r="C14" s="237"/>
      <c r="D14" s="179" t="s">
        <v>299</v>
      </c>
      <c r="E14" s="190"/>
    </row>
    <row r="15" spans="1:8" x14ac:dyDescent="0.2">
      <c r="C15" s="265"/>
      <c r="D15" s="179" t="s">
        <v>427</v>
      </c>
      <c r="E15" s="190" t="s">
        <v>468</v>
      </c>
    </row>
    <row r="16" spans="1:8" x14ac:dyDescent="0.2">
      <c r="C16" s="265"/>
      <c r="D16" s="179" t="s">
        <v>461</v>
      </c>
      <c r="E16" s="190" t="s">
        <v>468</v>
      </c>
    </row>
    <row r="17" spans="3:5" x14ac:dyDescent="0.2">
      <c r="C17" s="237"/>
    </row>
    <row r="18" spans="3:5" x14ac:dyDescent="0.2">
      <c r="C18" s="237"/>
      <c r="D18" s="179" t="s">
        <v>396</v>
      </c>
      <c r="E18" s="191" t="s">
        <v>406</v>
      </c>
    </row>
    <row r="19" spans="3:5" x14ac:dyDescent="0.2">
      <c r="D19" s="179" t="s">
        <v>454</v>
      </c>
      <c r="E19" s="191" t="s">
        <v>465</v>
      </c>
    </row>
    <row r="20" spans="3:5" x14ac:dyDescent="0.2"/>
    <row r="21" spans="3:5" x14ac:dyDescent="0.2">
      <c r="E21" s="56" t="s">
        <v>361</v>
      </c>
    </row>
    <row r="22" spans="3:5" x14ac:dyDescent="0.2"/>
    <row r="23" spans="3:5" x14ac:dyDescent="0.2"/>
    <row r="24" spans="3:5" x14ac:dyDescent="0.2">
      <c r="E24" s="56" t="s">
        <v>325</v>
      </c>
    </row>
    <row r="25" spans="3:5" x14ac:dyDescent="0.2">
      <c r="E25" s="56"/>
    </row>
    <row r="26" spans="3:5" x14ac:dyDescent="0.2">
      <c r="E26" s="56"/>
    </row>
    <row r="27" spans="3:5" x14ac:dyDescent="0.2">
      <c r="C27" s="56" t="s">
        <v>476</v>
      </c>
      <c r="E27" s="56"/>
    </row>
    <row r="28" spans="3:5" x14ac:dyDescent="0.2"/>
  </sheetData>
  <sheetProtection selectLockedCells="1"/>
  <mergeCells count="2">
    <mergeCell ref="A2:D2"/>
    <mergeCell ref="F5:G5"/>
  </mergeCells>
  <phoneticPr fontId="0" type="noConversion"/>
  <dataValidations count="2">
    <dataValidation type="list" showErrorMessage="1" sqref="E18" xr:uid="{00000000-0002-0000-0000-000000000000}">
      <formula1>"Metric (Pa), Imperial (psi)"</formula1>
    </dataValidation>
    <dataValidation type="list" showErrorMessage="1" sqref="E19" xr:uid="{00000000-0002-0000-0000-000001000000}">
      <formula1>"Yes, No"</formula1>
    </dataValidation>
  </dataValidations>
  <pageMargins left="0.7" right="0.7" top="0.75" bottom="0.75" header="0.3" footer="0.3"/>
  <pageSetup paperSize="9" scale="9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tnReset">
              <controlPr defaultSize="0" print="0" autoFill="0" autoPict="0" macro="[0]!btnReset_Click">
                <anchor>
                  <from>
                    <xdr:col>2</xdr:col>
                    <xdr:colOff>180975</xdr:colOff>
                    <xdr:row>22</xdr:row>
                    <xdr:rowOff>142875</xdr:rowOff>
                  </from>
                  <to>
                    <xdr:col>3</xdr:col>
                    <xdr:colOff>66675</xdr:colOff>
                    <xdr:row>24</xdr:row>
                    <xdr:rowOff>76200</xdr:rowOff>
                  </to>
                </anchor>
              </controlPr>
            </control>
          </mc:Choice>
        </mc:AlternateContent>
        <mc:AlternateContent xmlns:mc="http://schemas.openxmlformats.org/markup-compatibility/2006">
          <mc:Choice Requires="x14">
            <control shapeId="5182" r:id="rId5" name="btnPrint">
              <controlPr defaultSize="0" print="0" autoFill="0" autoPict="0" macro="[0]!btnPrint_Click">
                <anchor>
                  <from>
                    <xdr:col>2</xdr:col>
                    <xdr:colOff>180975</xdr:colOff>
                    <xdr:row>19</xdr:row>
                    <xdr:rowOff>142875</xdr:rowOff>
                  </from>
                  <to>
                    <xdr:col>3</xdr:col>
                    <xdr:colOff>66675</xdr:colOff>
                    <xdr:row>21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IR27"/>
  <sheetViews>
    <sheetView zoomScaleNormal="100" workbookViewId="0">
      <pane xSplit="4" ySplit="1" topLeftCell="CA2" activePane="bottomRight" state="frozen"/>
      <selection pane="topRight" activeCell="E1" sqref="E1"/>
      <selection pane="bottomLeft" activeCell="A2" sqref="A2"/>
      <selection pane="bottomRight" activeCell="CF4" sqref="CF4"/>
    </sheetView>
  </sheetViews>
  <sheetFormatPr defaultColWidth="9.140625" defaultRowHeight="12.75" x14ac:dyDescent="0.2"/>
  <cols>
    <col min="1" max="1" width="3" style="77" customWidth="1"/>
    <col min="2" max="2" width="5.28515625" style="78" customWidth="1"/>
    <col min="3" max="3" width="10.7109375" style="79" customWidth="1"/>
    <col min="4" max="4" width="10" style="84" customWidth="1"/>
    <col min="5" max="8" width="7.7109375" style="80" customWidth="1"/>
    <col min="9" max="9" width="7.7109375" style="84" customWidth="1"/>
    <col min="10" max="11" width="12" style="80" customWidth="1"/>
    <col min="12" max="12" width="12" style="84" customWidth="1"/>
    <col min="13" max="20" width="5.7109375" style="80" customWidth="1"/>
    <col min="21" max="23" width="5.7109375" style="79" customWidth="1"/>
    <col min="24" max="24" width="12.5703125" style="78" customWidth="1"/>
    <col min="25" max="25" width="11.5703125" style="80" customWidth="1"/>
    <col min="26" max="26" width="7" style="84" customWidth="1"/>
    <col min="27" max="27" width="1.140625" style="80" customWidth="1"/>
    <col min="28" max="28" width="7" style="100" customWidth="1"/>
    <col min="29" max="29" width="10.5703125" style="101" customWidth="1"/>
    <col min="30" max="31" width="7" style="101" customWidth="1"/>
    <col min="32" max="32" width="7" style="102" customWidth="1"/>
    <col min="33" max="40" width="7" style="80" customWidth="1"/>
    <col min="41" max="42" width="7" style="84" customWidth="1"/>
    <col min="43" max="43" width="1.140625" style="80" customWidth="1"/>
    <col min="44" max="44" width="6.85546875" style="78" customWidth="1"/>
    <col min="45" max="45" width="6.28515625" style="80" customWidth="1"/>
    <col min="46" max="46" width="6.85546875" style="80" customWidth="1"/>
    <col min="47" max="47" width="5.85546875" style="80" customWidth="1"/>
    <col min="48" max="48" width="6.28515625" style="80" customWidth="1"/>
    <col min="49" max="49" width="7" style="84" customWidth="1"/>
    <col min="50" max="50" width="2.28515625" style="80" customWidth="1"/>
    <col min="51" max="51" width="12.28515625" style="78" customWidth="1"/>
    <col min="52" max="52" width="10.7109375" style="80" customWidth="1"/>
    <col min="53" max="53" width="10.28515625" style="80" customWidth="1"/>
    <col min="54" max="54" width="9.7109375" style="106" customWidth="1"/>
    <col min="55" max="55" width="10.140625" style="80" customWidth="1"/>
    <col min="56" max="56" width="10.85546875" style="84" customWidth="1"/>
    <col min="57" max="57" width="1.140625" style="79" customWidth="1"/>
    <col min="58" max="58" width="8.140625" style="78" customWidth="1"/>
    <col min="59" max="59" width="6.28515625" style="79" customWidth="1"/>
    <col min="60" max="60" width="13" style="79" bestFit="1" customWidth="1"/>
    <col min="61" max="61" width="8.5703125" style="79" customWidth="1"/>
    <col min="62" max="62" width="9.42578125" style="79" customWidth="1"/>
    <col min="63" max="65" width="12" style="79" customWidth="1"/>
    <col min="66" max="66" width="6.28515625" style="79" customWidth="1"/>
    <col min="67" max="67" width="8.5703125" style="79" customWidth="1"/>
    <col min="68" max="68" width="4.85546875" style="79" customWidth="1"/>
    <col min="69" max="69" width="7.42578125" style="156" customWidth="1"/>
    <col min="70" max="70" width="1" style="79" customWidth="1"/>
    <col min="71" max="71" width="9.42578125" style="78" customWidth="1"/>
    <col min="72" max="74" width="10.140625" style="79" customWidth="1"/>
    <col min="75" max="77" width="14.140625" style="79" customWidth="1"/>
    <col min="78" max="78" width="8.7109375" style="79" customWidth="1"/>
    <col min="79" max="80" width="14.140625" style="79" customWidth="1"/>
    <col min="81" max="81" width="8" style="79" customWidth="1"/>
    <col min="82" max="83" width="14.140625" style="79" customWidth="1"/>
    <col min="84" max="84" width="8.5703125" style="84" customWidth="1"/>
    <col min="85" max="85" width="2.28515625" style="79" customWidth="1"/>
    <col min="86" max="86" width="12" style="274" customWidth="1"/>
    <col min="87" max="87" width="9.140625" style="84" customWidth="1"/>
    <col min="88" max="88" width="7.28515625" style="80" customWidth="1"/>
    <col min="89" max="90" width="6.28515625" style="80" customWidth="1"/>
    <col min="91" max="91" width="9.5703125" style="84" customWidth="1"/>
    <col min="92" max="92" width="1.7109375" style="80" customWidth="1"/>
    <col min="93" max="93" width="12.42578125" style="78" customWidth="1"/>
    <col min="94" max="94" width="6.28515625" style="80" customWidth="1"/>
    <col min="95" max="95" width="7.7109375" style="80" customWidth="1"/>
    <col min="96" max="99" width="8.28515625" style="80" customWidth="1"/>
    <col min="100" max="101" width="6.28515625" style="80" customWidth="1"/>
    <col min="102" max="103" width="8.7109375" style="80" customWidth="1"/>
    <col min="104" max="105" width="12" style="80" customWidth="1"/>
    <col min="106" max="106" width="8.140625" style="84" customWidth="1"/>
    <col min="107" max="107" width="1.85546875" customWidth="1"/>
    <col min="108" max="108" width="8.5703125" style="78" customWidth="1"/>
    <col min="109" max="110" width="8.5703125" style="80" customWidth="1"/>
    <col min="111" max="111" width="15.85546875" style="84" customWidth="1"/>
    <col min="112" max="112" width="1.85546875" customWidth="1"/>
    <col min="113" max="113" width="8.5703125" style="78" customWidth="1"/>
    <col min="114" max="115" width="8.5703125" style="80" customWidth="1"/>
    <col min="116" max="117" width="10.85546875" style="80" customWidth="1"/>
    <col min="118" max="118" width="6.28515625" style="80" customWidth="1"/>
    <col min="119" max="119" width="9.7109375" style="80" customWidth="1"/>
    <col min="120" max="120" width="8.7109375" style="80" customWidth="1"/>
    <col min="121" max="121" width="8.42578125" style="80" customWidth="1"/>
    <col min="122" max="122" width="8.7109375" style="80" customWidth="1"/>
    <col min="123" max="123" width="11" style="80" customWidth="1"/>
    <col min="124" max="124" width="8" style="80" customWidth="1"/>
    <col min="125" max="126" width="11" style="80" customWidth="1"/>
    <col min="127" max="127" width="11" style="84" customWidth="1"/>
    <col min="128" max="128" width="1.85546875" style="80" customWidth="1"/>
    <col min="129" max="129" width="8.7109375" style="78" customWidth="1"/>
    <col min="130" max="134" width="8.7109375" style="80" customWidth="1"/>
    <col min="135" max="135" width="11" style="80" customWidth="1"/>
    <col min="136" max="136" width="12" style="80" customWidth="1"/>
    <col min="137" max="137" width="11" style="80" customWidth="1"/>
    <col min="138" max="138" width="2.5703125" customWidth="1"/>
    <col min="139" max="139" width="16.5703125" style="80" customWidth="1"/>
    <col min="140" max="140" width="1.7109375" style="80" customWidth="1"/>
    <col min="141" max="143" width="8.7109375" style="80" customWidth="1"/>
    <col min="144" max="144" width="11" style="80" customWidth="1"/>
    <col min="145" max="145" width="12" style="80" customWidth="1"/>
    <col min="146" max="146" width="11" style="80" customWidth="1"/>
    <col min="147" max="147" width="12" style="80" customWidth="1"/>
    <col min="148" max="148" width="10" style="80" customWidth="1"/>
    <col min="149" max="149" width="2" style="80" customWidth="1"/>
    <col min="150" max="150" width="8.42578125" style="78" customWidth="1"/>
    <col min="151" max="151" width="11.140625" style="79" customWidth="1"/>
    <col min="152" max="152" width="9.42578125" style="79" customWidth="1"/>
    <col min="153" max="154" width="8.7109375" style="79" customWidth="1"/>
    <col min="155" max="155" width="14" style="79" customWidth="1"/>
    <col min="156" max="156" width="10.42578125" style="84" customWidth="1"/>
    <col min="157" max="157" width="2.140625" customWidth="1"/>
    <col min="158" max="159" width="12" style="80" customWidth="1"/>
    <col min="160" max="160" width="8.7109375" style="80" customWidth="1"/>
    <col min="161" max="161" width="12" style="80" customWidth="1"/>
    <col min="162" max="162" width="6.28515625" style="80" customWidth="1"/>
    <col min="163" max="163" width="3.5703125" style="80" customWidth="1"/>
    <col min="164" max="176" width="6.28515625" style="80" customWidth="1"/>
    <col min="177" max="244" width="9.140625" style="80"/>
    <col min="245" max="252" width="9.140625" style="188"/>
    <col min="253" max="16384" width="9.140625" style="80"/>
  </cols>
  <sheetData>
    <row r="1" spans="1:252" s="124" customFormat="1" x14ac:dyDescent="0.2">
      <c r="A1" s="123"/>
      <c r="B1" s="295" t="s">
        <v>365</v>
      </c>
      <c r="C1" s="296"/>
      <c r="D1" s="297"/>
      <c r="E1" s="296" t="s">
        <v>18</v>
      </c>
      <c r="F1" s="296"/>
      <c r="G1" s="296"/>
      <c r="H1" s="296"/>
      <c r="I1" s="297"/>
      <c r="J1" s="295" t="s">
        <v>103</v>
      </c>
      <c r="K1" s="296"/>
      <c r="L1" s="297"/>
      <c r="M1" s="295" t="s">
        <v>23</v>
      </c>
      <c r="N1" s="296"/>
      <c r="O1" s="296"/>
      <c r="P1" s="296"/>
      <c r="Q1" s="296"/>
      <c r="R1" s="296"/>
      <c r="S1" s="296"/>
      <c r="T1" s="296"/>
      <c r="U1" s="296"/>
      <c r="V1" s="245"/>
      <c r="W1" s="244"/>
      <c r="X1" s="296" t="s">
        <v>24</v>
      </c>
      <c r="Y1" s="296"/>
      <c r="Z1" s="297"/>
      <c r="AB1" s="296" t="s">
        <v>294</v>
      </c>
      <c r="AC1" s="298"/>
      <c r="AD1" s="298"/>
      <c r="AE1" s="298"/>
      <c r="AF1" s="299"/>
      <c r="AG1" s="300" t="s">
        <v>302</v>
      </c>
      <c r="AH1" s="305"/>
      <c r="AI1" s="305"/>
      <c r="AJ1" s="305"/>
      <c r="AK1" s="305"/>
      <c r="AL1" s="305"/>
      <c r="AM1" s="305"/>
      <c r="AN1" s="305"/>
      <c r="AO1" s="306"/>
      <c r="AP1" s="125"/>
      <c r="AR1" s="300" t="s">
        <v>313</v>
      </c>
      <c r="AS1" s="301"/>
      <c r="AT1" s="301"/>
      <c r="AU1" s="301"/>
      <c r="AV1" s="301"/>
      <c r="AW1" s="302"/>
      <c r="AY1" s="303" t="s">
        <v>150</v>
      </c>
      <c r="AZ1" s="301"/>
      <c r="BA1" s="301"/>
      <c r="BB1" s="301"/>
      <c r="BC1" s="301"/>
      <c r="BD1" s="301"/>
      <c r="BE1" s="126"/>
      <c r="BF1" s="157"/>
      <c r="BG1" s="160"/>
      <c r="BH1" s="161"/>
      <c r="BI1" s="160"/>
      <c r="BJ1" s="160"/>
      <c r="BK1" s="160"/>
      <c r="BL1" s="161"/>
      <c r="BM1" s="161"/>
      <c r="BN1" s="161"/>
      <c r="BO1" s="161"/>
      <c r="BP1" s="160"/>
      <c r="BQ1" s="183"/>
      <c r="BR1" s="126"/>
      <c r="BS1" s="304" t="s">
        <v>155</v>
      </c>
      <c r="BT1" s="298"/>
      <c r="BU1" s="298"/>
      <c r="BV1" s="298"/>
      <c r="BW1" s="166" t="s">
        <v>375</v>
      </c>
      <c r="BX1" s="166" t="s">
        <v>376</v>
      </c>
      <c r="BY1" s="298" t="s">
        <v>377</v>
      </c>
      <c r="BZ1" s="298"/>
      <c r="CA1" s="166" t="s">
        <v>378</v>
      </c>
      <c r="CB1" s="298" t="s">
        <v>379</v>
      </c>
      <c r="CC1" s="298"/>
      <c r="CD1" s="166" t="s">
        <v>380</v>
      </c>
      <c r="CE1" s="298" t="s">
        <v>232</v>
      </c>
      <c r="CF1" s="299"/>
      <c r="CG1" s="126"/>
      <c r="CH1" s="271" t="s">
        <v>151</v>
      </c>
      <c r="CI1" s="187"/>
      <c r="CJ1" s="127"/>
      <c r="CK1" s="127"/>
      <c r="CL1" s="127"/>
      <c r="CM1" s="125"/>
      <c r="CO1" s="127" t="s">
        <v>152</v>
      </c>
      <c r="CP1" s="127"/>
      <c r="CQ1" s="127"/>
      <c r="CR1" s="127"/>
      <c r="CS1" s="127"/>
      <c r="CT1" s="127"/>
      <c r="CU1" s="127"/>
      <c r="CV1" s="127"/>
      <c r="CW1" s="127"/>
      <c r="CX1" s="127"/>
      <c r="CY1" s="127"/>
      <c r="CZ1" s="127"/>
      <c r="DA1" s="127"/>
      <c r="DB1" s="127"/>
      <c r="DD1" s="127" t="s">
        <v>153</v>
      </c>
      <c r="DE1" s="127"/>
      <c r="DF1" s="127"/>
      <c r="DG1" s="127"/>
      <c r="DI1" s="127" t="s">
        <v>158</v>
      </c>
      <c r="DJ1" s="127"/>
      <c r="DK1" s="127"/>
      <c r="DL1" s="127"/>
      <c r="DM1" s="127"/>
      <c r="DN1" s="127"/>
      <c r="DO1" s="127"/>
      <c r="DP1" s="127"/>
      <c r="DQ1" s="127"/>
      <c r="DR1" s="127"/>
      <c r="DS1" s="127"/>
      <c r="DT1" s="127"/>
      <c r="DU1" s="127"/>
      <c r="DV1" s="127"/>
      <c r="DW1" s="127"/>
      <c r="DX1" s="143"/>
      <c r="DY1" s="157" t="s">
        <v>160</v>
      </c>
      <c r="DZ1" s="127"/>
      <c r="EA1" s="127"/>
      <c r="EB1" s="127" t="s">
        <v>161</v>
      </c>
      <c r="EC1" s="127"/>
      <c r="ED1" s="127"/>
      <c r="EE1" s="127"/>
      <c r="EF1" s="127"/>
      <c r="EG1" s="127"/>
      <c r="EI1" s="127"/>
      <c r="EJ1" s="143"/>
      <c r="EK1" s="127" t="s">
        <v>162</v>
      </c>
      <c r="EL1" s="127"/>
      <c r="EM1" s="127"/>
      <c r="EN1" s="127"/>
      <c r="EO1" s="127"/>
      <c r="EP1" s="127"/>
      <c r="EQ1" s="127"/>
      <c r="ER1" s="127"/>
      <c r="ES1" s="143"/>
      <c r="ET1" s="157" t="s">
        <v>169</v>
      </c>
      <c r="EU1" s="160"/>
      <c r="EV1" s="160"/>
      <c r="EW1" s="160"/>
      <c r="EX1" s="160"/>
      <c r="EY1" s="160"/>
      <c r="EZ1" s="187"/>
      <c r="FA1"/>
      <c r="FB1" s="127" t="s">
        <v>175</v>
      </c>
      <c r="FC1" s="127"/>
      <c r="FD1" s="127"/>
      <c r="FE1" s="127"/>
      <c r="FF1" s="127"/>
      <c r="IK1" s="188"/>
      <c r="IL1" s="188"/>
      <c r="IM1" s="188"/>
      <c r="IN1" s="188"/>
      <c r="IO1" s="188"/>
      <c r="IP1" s="188"/>
      <c r="IQ1" s="188"/>
      <c r="IR1" s="188"/>
    </row>
    <row r="2" spans="1:252" s="135" customFormat="1" ht="104.25" customHeight="1" x14ac:dyDescent="0.2">
      <c r="A2" s="128"/>
      <c r="B2" s="120" t="s">
        <v>295</v>
      </c>
      <c r="C2" s="129" t="s">
        <v>395</v>
      </c>
      <c r="D2" s="121" t="s">
        <v>339</v>
      </c>
      <c r="E2" s="129" t="s">
        <v>19</v>
      </c>
      <c r="F2" s="129" t="s">
        <v>232</v>
      </c>
      <c r="G2" s="129" t="s">
        <v>20</v>
      </c>
      <c r="H2" s="129" t="s">
        <v>21</v>
      </c>
      <c r="I2" s="121" t="s">
        <v>22</v>
      </c>
      <c r="J2" s="292" t="s">
        <v>103</v>
      </c>
      <c r="K2" s="293"/>
      <c r="L2" s="294"/>
      <c r="M2" s="129" t="s">
        <v>32</v>
      </c>
      <c r="N2" s="129" t="s">
        <v>33</v>
      </c>
      <c r="O2" s="129" t="s">
        <v>34</v>
      </c>
      <c r="P2" s="129" t="s">
        <v>383</v>
      </c>
      <c r="Q2" s="129" t="s">
        <v>35</v>
      </c>
      <c r="R2" s="129" t="s">
        <v>36</v>
      </c>
      <c r="S2" s="129" t="s">
        <v>37</v>
      </c>
      <c r="T2" s="129" t="s">
        <v>411</v>
      </c>
      <c r="U2" s="262" t="s">
        <v>460</v>
      </c>
      <c r="V2" s="247" t="s">
        <v>456</v>
      </c>
      <c r="W2" s="247" t="s">
        <v>457</v>
      </c>
      <c r="X2" s="250" t="s">
        <v>25</v>
      </c>
      <c r="Y2" s="207"/>
      <c r="Z2" s="121" t="s">
        <v>71</v>
      </c>
      <c r="AA2" s="124"/>
      <c r="AB2" s="130" t="s">
        <v>19</v>
      </c>
      <c r="AC2" s="131" t="s">
        <v>113</v>
      </c>
      <c r="AD2" s="131" t="s">
        <v>20</v>
      </c>
      <c r="AE2" s="131" t="s">
        <v>21</v>
      </c>
      <c r="AF2" s="132" t="s">
        <v>22</v>
      </c>
      <c r="AG2" s="131" t="s">
        <v>32</v>
      </c>
      <c r="AH2" s="131" t="s">
        <v>33</v>
      </c>
      <c r="AI2" s="131" t="s">
        <v>34</v>
      </c>
      <c r="AJ2" s="131" t="s">
        <v>363</v>
      </c>
      <c r="AK2" s="131" t="s">
        <v>35</v>
      </c>
      <c r="AL2" s="131" t="s">
        <v>36</v>
      </c>
      <c r="AM2" s="131" t="s">
        <v>37</v>
      </c>
      <c r="AN2" s="206" t="s">
        <v>412</v>
      </c>
      <c r="AO2" s="132" t="s">
        <v>38</v>
      </c>
      <c r="AP2" s="87" t="s">
        <v>71</v>
      </c>
      <c r="AQ2" s="124"/>
      <c r="AR2" s="88" t="s">
        <v>308</v>
      </c>
      <c r="AS2" s="133" t="s">
        <v>309</v>
      </c>
      <c r="AT2" s="133" t="s">
        <v>310</v>
      </c>
      <c r="AU2" s="133" t="s">
        <v>199</v>
      </c>
      <c r="AV2" s="89" t="s">
        <v>311</v>
      </c>
      <c r="AW2" s="90" t="s">
        <v>312</v>
      </c>
      <c r="AX2" s="91"/>
      <c r="AY2" s="243" t="s">
        <v>44</v>
      </c>
      <c r="AZ2" s="243" t="s">
        <v>89</v>
      </c>
      <c r="BA2" s="243" t="s">
        <v>96</v>
      </c>
      <c r="BB2" s="121" t="s">
        <v>316</v>
      </c>
      <c r="BC2" s="243" t="s">
        <v>39</v>
      </c>
      <c r="BD2" s="121" t="s">
        <v>40</v>
      </c>
      <c r="BE2" s="92"/>
      <c r="BF2" s="163" t="s">
        <v>110</v>
      </c>
      <c r="BG2" s="164" t="s">
        <v>76</v>
      </c>
      <c r="BH2" s="164" t="s">
        <v>163</v>
      </c>
      <c r="BI2" s="164" t="s">
        <v>371</v>
      </c>
      <c r="BJ2" s="164" t="s">
        <v>90</v>
      </c>
      <c r="BK2" s="164" t="s">
        <v>94</v>
      </c>
      <c r="BL2" s="164" t="s">
        <v>387</v>
      </c>
      <c r="BM2" s="181" t="s">
        <v>397</v>
      </c>
      <c r="BN2" s="164" t="s">
        <v>177</v>
      </c>
      <c r="BO2" s="164" t="s">
        <v>176</v>
      </c>
      <c r="BP2" s="164" t="s">
        <v>368</v>
      </c>
      <c r="BQ2" s="165" t="s">
        <v>358</v>
      </c>
      <c r="BR2" s="92"/>
      <c r="BS2" s="167" t="s">
        <v>154</v>
      </c>
      <c r="BT2" s="168" t="s">
        <v>381</v>
      </c>
      <c r="BU2" s="280" t="s">
        <v>470</v>
      </c>
      <c r="BV2" s="280" t="s">
        <v>381</v>
      </c>
      <c r="BW2" s="168" t="s">
        <v>157</v>
      </c>
      <c r="BX2" s="168" t="s">
        <v>373</v>
      </c>
      <c r="BY2" s="168" t="s">
        <v>171</v>
      </c>
      <c r="BZ2" s="168" t="s">
        <v>381</v>
      </c>
      <c r="CA2" s="168" t="s">
        <v>372</v>
      </c>
      <c r="CB2" s="168" t="s">
        <v>170</v>
      </c>
      <c r="CC2" s="168" t="s">
        <v>381</v>
      </c>
      <c r="CD2" s="168" t="s">
        <v>374</v>
      </c>
      <c r="CE2" s="168" t="s">
        <v>174</v>
      </c>
      <c r="CF2" s="169" t="s">
        <v>381</v>
      </c>
      <c r="CG2" s="92"/>
      <c r="CH2" s="272" t="s">
        <v>17</v>
      </c>
      <c r="CI2" s="169" t="s">
        <v>16</v>
      </c>
      <c r="CJ2" s="135" t="s">
        <v>47</v>
      </c>
      <c r="CK2" s="135" t="s">
        <v>48</v>
      </c>
      <c r="CL2" s="135" t="s">
        <v>49</v>
      </c>
      <c r="CM2" s="155" t="s">
        <v>41</v>
      </c>
      <c r="CO2" s="134" t="s">
        <v>42</v>
      </c>
      <c r="CP2" s="135" t="s">
        <v>43</v>
      </c>
      <c r="CQ2" s="135" t="s">
        <v>72</v>
      </c>
      <c r="CR2" s="135" t="s">
        <v>50</v>
      </c>
      <c r="CS2" s="135" t="s">
        <v>66</v>
      </c>
      <c r="CT2" s="135" t="s">
        <v>67</v>
      </c>
      <c r="CU2" s="93" t="s">
        <v>68</v>
      </c>
      <c r="CV2" s="135" t="s">
        <v>51</v>
      </c>
      <c r="CW2" s="135" t="s">
        <v>384</v>
      </c>
      <c r="CX2" s="135" t="s">
        <v>69</v>
      </c>
      <c r="CY2" s="135" t="s">
        <v>70</v>
      </c>
      <c r="CZ2" s="135" t="s">
        <v>73</v>
      </c>
      <c r="DA2" s="135" t="s">
        <v>77</v>
      </c>
      <c r="DB2" s="155" t="s">
        <v>78</v>
      </c>
      <c r="DD2" s="134" t="s">
        <v>74</v>
      </c>
      <c r="DE2" s="135" t="s">
        <v>369</v>
      </c>
      <c r="DF2" s="135" t="s">
        <v>370</v>
      </c>
      <c r="DG2" s="155" t="s">
        <v>382</v>
      </c>
      <c r="DI2" s="134" t="s">
        <v>385</v>
      </c>
      <c r="DJ2" s="135" t="s">
        <v>75</v>
      </c>
      <c r="DK2" s="135" t="s">
        <v>111</v>
      </c>
      <c r="DL2" s="203" t="s">
        <v>409</v>
      </c>
      <c r="DM2" s="203" t="s">
        <v>159</v>
      </c>
      <c r="DN2" s="135" t="s">
        <v>156</v>
      </c>
      <c r="DO2" s="203" t="s">
        <v>410</v>
      </c>
      <c r="DP2" s="135" t="s">
        <v>112</v>
      </c>
      <c r="DQ2" s="135" t="s">
        <v>82</v>
      </c>
      <c r="DR2" s="135" t="s">
        <v>83</v>
      </c>
      <c r="DS2" s="135" t="s">
        <v>84</v>
      </c>
      <c r="DT2" s="135" t="s">
        <v>87</v>
      </c>
      <c r="DU2" s="135" t="s">
        <v>90</v>
      </c>
      <c r="DV2" s="135" t="s">
        <v>88</v>
      </c>
      <c r="DW2" s="155" t="s">
        <v>386</v>
      </c>
      <c r="DY2" s="134" t="s">
        <v>84</v>
      </c>
      <c r="DZ2" s="135" t="s">
        <v>87</v>
      </c>
      <c r="EA2" s="135" t="s">
        <v>90</v>
      </c>
      <c r="EB2" s="135" t="s">
        <v>79</v>
      </c>
      <c r="EC2" s="135" t="s">
        <v>80</v>
      </c>
      <c r="ED2" s="135" t="s">
        <v>81</v>
      </c>
      <c r="EE2" s="135" t="s">
        <v>91</v>
      </c>
      <c r="EF2" s="135" t="s">
        <v>92</v>
      </c>
      <c r="EG2" s="135" t="s">
        <v>93</v>
      </c>
      <c r="EI2" s="135" t="s">
        <v>95</v>
      </c>
      <c r="EK2" s="135" t="s">
        <v>79</v>
      </c>
      <c r="EL2" s="135" t="s">
        <v>80</v>
      </c>
      <c r="EM2" s="135" t="s">
        <v>81</v>
      </c>
      <c r="EN2" s="135" t="s">
        <v>91</v>
      </c>
      <c r="EO2" s="135" t="s">
        <v>92</v>
      </c>
      <c r="EP2" s="135" t="s">
        <v>93</v>
      </c>
      <c r="EQ2" s="135" t="s">
        <v>94</v>
      </c>
      <c r="ER2" s="135" t="s">
        <v>95</v>
      </c>
      <c r="ET2" s="134" t="s">
        <v>164</v>
      </c>
      <c r="EU2" s="158" t="s">
        <v>165</v>
      </c>
      <c r="EV2" s="158" t="s">
        <v>166</v>
      </c>
      <c r="EW2" s="158" t="s">
        <v>97</v>
      </c>
      <c r="EX2" s="158" t="s">
        <v>98</v>
      </c>
      <c r="EY2" s="158" t="s">
        <v>167</v>
      </c>
      <c r="EZ2" s="155" t="s">
        <v>168</v>
      </c>
      <c r="FA2"/>
      <c r="FB2" s="135" t="s">
        <v>167</v>
      </c>
      <c r="FC2" s="135" t="s">
        <v>168</v>
      </c>
      <c r="FD2" s="135" t="s">
        <v>90</v>
      </c>
      <c r="FE2" s="135" t="s">
        <v>172</v>
      </c>
      <c r="FF2" s="135" t="s">
        <v>173</v>
      </c>
      <c r="IK2" s="188"/>
      <c r="IL2" s="188"/>
      <c r="IM2" s="188"/>
      <c r="IN2" s="188"/>
      <c r="IO2" s="188"/>
      <c r="IP2" s="188"/>
      <c r="IQ2" s="188"/>
      <c r="IR2" s="188"/>
    </row>
    <row r="3" spans="1:252" s="83" customFormat="1" ht="14.25" x14ac:dyDescent="0.2">
      <c r="A3" s="94"/>
      <c r="B3" s="86"/>
      <c r="C3" s="107" t="s">
        <v>364</v>
      </c>
      <c r="D3" s="107" t="s">
        <v>364</v>
      </c>
      <c r="E3" s="192" t="s">
        <v>26</v>
      </c>
      <c r="F3" s="193" t="s">
        <v>248</v>
      </c>
      <c r="G3" s="193" t="s">
        <v>28</v>
      </c>
      <c r="H3" s="193" t="s">
        <v>264</v>
      </c>
      <c r="I3" s="193" t="s">
        <v>271</v>
      </c>
      <c r="J3" s="107" t="s">
        <v>322</v>
      </c>
      <c r="K3" s="107" t="s">
        <v>322</v>
      </c>
      <c r="L3" s="107" t="s">
        <v>322</v>
      </c>
      <c r="M3" s="193" t="s">
        <v>291</v>
      </c>
      <c r="N3" s="193" t="s">
        <v>291</v>
      </c>
      <c r="O3" s="193" t="s">
        <v>291</v>
      </c>
      <c r="P3" s="194" t="s">
        <v>291</v>
      </c>
      <c r="Q3" s="194" t="s">
        <v>291</v>
      </c>
      <c r="R3" s="193" t="s">
        <v>291</v>
      </c>
      <c r="S3" s="193" t="s">
        <v>291</v>
      </c>
      <c r="T3" s="193" t="s">
        <v>291</v>
      </c>
      <c r="U3" s="241" t="s">
        <v>291</v>
      </c>
      <c r="V3" s="246" t="s">
        <v>291</v>
      </c>
      <c r="W3" s="260" t="s">
        <v>291</v>
      </c>
      <c r="X3" s="251"/>
      <c r="Y3" s="259"/>
      <c r="Z3" s="192" t="s">
        <v>264</v>
      </c>
      <c r="AA3" s="80"/>
      <c r="AB3" s="95" t="s">
        <v>26</v>
      </c>
      <c r="AC3" s="96" t="s">
        <v>240</v>
      </c>
      <c r="AD3" s="96" t="s">
        <v>28</v>
      </c>
      <c r="AE3" s="96" t="s">
        <v>29</v>
      </c>
      <c r="AF3" s="82" t="s">
        <v>30</v>
      </c>
      <c r="AG3" s="97" t="s">
        <v>31</v>
      </c>
      <c r="AH3" s="97" t="s">
        <v>31</v>
      </c>
      <c r="AI3" s="97" t="s">
        <v>31</v>
      </c>
      <c r="AJ3" s="81" t="s">
        <v>31</v>
      </c>
      <c r="AK3" s="97" t="s">
        <v>31</v>
      </c>
      <c r="AL3" s="97" t="s">
        <v>31</v>
      </c>
      <c r="AM3" s="97" t="s">
        <v>31</v>
      </c>
      <c r="AN3" s="97" t="s">
        <v>31</v>
      </c>
      <c r="AO3" s="98" t="s">
        <v>31</v>
      </c>
      <c r="AP3" s="99" t="s">
        <v>29</v>
      </c>
      <c r="AQ3" s="80"/>
      <c r="AR3" s="78"/>
      <c r="AS3" s="80"/>
      <c r="AT3" s="80"/>
      <c r="AU3" s="80"/>
      <c r="AV3" s="80"/>
      <c r="AW3" s="249"/>
      <c r="AX3" s="80"/>
      <c r="AY3" s="258" t="s">
        <v>27</v>
      </c>
      <c r="AZ3" s="174" t="s">
        <v>27</v>
      </c>
      <c r="BA3" s="174" t="s">
        <v>27</v>
      </c>
      <c r="BB3" s="256"/>
      <c r="BC3" s="174" t="s">
        <v>27</v>
      </c>
      <c r="BD3" s="174" t="s">
        <v>29</v>
      </c>
      <c r="BE3" s="85"/>
      <c r="BF3" s="175" t="s">
        <v>46</v>
      </c>
      <c r="BG3" s="175" t="s">
        <v>46</v>
      </c>
      <c r="BH3" s="175"/>
      <c r="BI3" s="175"/>
      <c r="BJ3" s="175" t="s">
        <v>85</v>
      </c>
      <c r="BK3" s="180" t="s">
        <v>85</v>
      </c>
      <c r="BL3" s="180" t="s">
        <v>27</v>
      </c>
      <c r="BM3" s="175" t="str">
        <f>F3</f>
        <v>bar [G]</v>
      </c>
      <c r="BN3" s="175"/>
      <c r="BO3" s="175"/>
      <c r="BP3" s="175"/>
      <c r="BQ3" s="175"/>
      <c r="BR3" s="85"/>
      <c r="BS3" s="176"/>
      <c r="BT3" s="176"/>
      <c r="BU3" s="176"/>
      <c r="BV3" s="176"/>
      <c r="BW3" s="176"/>
      <c r="BX3" s="176"/>
      <c r="BY3" s="176"/>
      <c r="BZ3" s="176"/>
      <c r="CA3" s="176"/>
      <c r="CB3" s="176"/>
      <c r="CC3" s="176"/>
      <c r="CD3" s="176"/>
      <c r="CE3" s="176"/>
      <c r="CF3" s="176"/>
      <c r="CG3" s="85"/>
      <c r="CH3" s="276"/>
      <c r="CI3" s="277"/>
      <c r="CM3" s="82"/>
      <c r="CN3" s="96"/>
      <c r="CO3" s="95" t="s">
        <v>45</v>
      </c>
      <c r="CP3" s="96" t="s">
        <v>86</v>
      </c>
      <c r="CQ3" s="96" t="s">
        <v>46</v>
      </c>
      <c r="CR3" s="96"/>
      <c r="CS3" s="96"/>
      <c r="CT3" s="96"/>
      <c r="CU3" s="96"/>
      <c r="CV3" s="96"/>
      <c r="CW3" s="96"/>
      <c r="CZ3" s="83" t="s">
        <v>46</v>
      </c>
      <c r="DB3" s="156"/>
      <c r="DD3" s="86"/>
      <c r="DG3" s="156"/>
      <c r="DI3" s="86"/>
      <c r="DK3" s="83" t="s">
        <v>28</v>
      </c>
      <c r="DL3" s="204"/>
      <c r="DM3" s="204"/>
      <c r="DO3" s="204"/>
      <c r="DP3" s="83" t="s">
        <v>27</v>
      </c>
      <c r="DS3" s="96" t="s">
        <v>85</v>
      </c>
      <c r="DT3" s="96"/>
      <c r="DU3" s="83" t="s">
        <v>85</v>
      </c>
      <c r="DW3" s="156" t="s">
        <v>85</v>
      </c>
      <c r="DY3" s="86" t="s">
        <v>85</v>
      </c>
      <c r="EA3" s="83" t="s">
        <v>85</v>
      </c>
      <c r="EB3" s="83" t="s">
        <v>27</v>
      </c>
      <c r="EC3" s="83" t="s">
        <v>27</v>
      </c>
      <c r="ED3" s="83" t="s">
        <v>27</v>
      </c>
      <c r="EE3" s="83" t="s">
        <v>27</v>
      </c>
      <c r="EF3" s="96" t="s">
        <v>27</v>
      </c>
      <c r="EG3" s="83" t="s">
        <v>27</v>
      </c>
      <c r="EI3" s="83" t="s">
        <v>27</v>
      </c>
      <c r="EK3" s="83" t="s">
        <v>27</v>
      </c>
      <c r="EL3" s="83" t="s">
        <v>27</v>
      </c>
      <c r="EM3" s="83" t="s">
        <v>27</v>
      </c>
      <c r="EN3" s="83" t="s">
        <v>27</v>
      </c>
      <c r="EO3" s="96" t="s">
        <v>27</v>
      </c>
      <c r="EP3" s="83" t="s">
        <v>27</v>
      </c>
      <c r="EQ3" s="83" t="s">
        <v>27</v>
      </c>
      <c r="ER3" s="83" t="s">
        <v>27</v>
      </c>
      <c r="ET3" s="86"/>
      <c r="EU3" s="85"/>
      <c r="EV3" s="85"/>
      <c r="EW3" s="85" t="s">
        <v>27</v>
      </c>
      <c r="EX3" s="85" t="s">
        <v>27</v>
      </c>
      <c r="EY3" s="159" t="s">
        <v>27</v>
      </c>
      <c r="EZ3" s="82" t="s">
        <v>27</v>
      </c>
      <c r="FA3"/>
      <c r="FB3" s="96" t="s">
        <v>27</v>
      </c>
      <c r="FC3" s="96" t="s">
        <v>27</v>
      </c>
      <c r="FD3" s="83" t="s">
        <v>85</v>
      </c>
      <c r="FE3" s="83" t="s">
        <v>85</v>
      </c>
      <c r="FF3" s="83" t="s">
        <v>85</v>
      </c>
      <c r="IK3" s="188"/>
      <c r="IL3" s="188"/>
      <c r="IM3" s="188"/>
      <c r="IN3" s="188"/>
      <c r="IO3" s="188"/>
      <c r="IP3" s="188"/>
      <c r="IQ3" s="188"/>
      <c r="IR3" s="188"/>
    </row>
    <row r="4" spans="1:252" x14ac:dyDescent="0.2">
      <c r="B4" s="108">
        <v>1</v>
      </c>
      <c r="C4" s="270"/>
      <c r="D4" s="263"/>
      <c r="E4" s="108"/>
      <c r="F4" s="109"/>
      <c r="G4" s="109"/>
      <c r="H4" s="209"/>
      <c r="I4" s="110"/>
      <c r="J4" s="288" t="s">
        <v>99</v>
      </c>
      <c r="K4" s="177" t="s">
        <v>104</v>
      </c>
      <c r="L4" s="142" t="s">
        <v>477</v>
      </c>
      <c r="M4" s="108"/>
      <c r="N4" s="109"/>
      <c r="O4" s="177"/>
      <c r="P4" s="111"/>
      <c r="Q4" s="178"/>
      <c r="R4" s="177"/>
      <c r="S4" s="111"/>
      <c r="T4" s="326"/>
      <c r="U4" s="242"/>
      <c r="V4" s="177"/>
      <c r="W4" s="111"/>
      <c r="X4" s="261"/>
      <c r="Y4" s="236"/>
      <c r="Z4" s="142"/>
      <c r="AB4" s="100">
        <f t="shared" ref="AB4" ca="1" si="0">conversions.tocelsius(E4,$E$3)</f>
        <v>0</v>
      </c>
      <c r="AC4" s="101">
        <f t="shared" ref="AC4" si="1">F4*VLOOKUP($F$3,PRESS_TOPA,5,FALSE)+VLOOKUP($F$3,PRESS_TOPA,7,FALSE)</f>
        <v>0</v>
      </c>
      <c r="AD4" s="101">
        <f t="shared" ref="AD4" si="2">G4*VLOOKUP($G$3,VELOCITY_UNITS,2,FALSE)</f>
        <v>0</v>
      </c>
      <c r="AE4" s="101">
        <f t="shared" ref="AE4" si="3">H4*VLOOKUP($H$3,DENSITY_TOKM3,2,FALSE)</f>
        <v>0</v>
      </c>
      <c r="AF4" s="102">
        <f t="shared" ref="AF4" si="4">I4*VLOOKUP($I$3,VISCOSITY_TOPAS,2,FALSE)</f>
        <v>0</v>
      </c>
      <c r="AG4" s="80">
        <f t="shared" ref="AG4:AO4" si="5">M4*VLOOKUP(M$3,LENGTH_TOM,2,FALSE)</f>
        <v>0</v>
      </c>
      <c r="AH4" s="80">
        <f t="shared" si="5"/>
        <v>0</v>
      </c>
      <c r="AI4" s="80">
        <f t="shared" si="5"/>
        <v>0</v>
      </c>
      <c r="AJ4" s="80">
        <f t="shared" si="5"/>
        <v>0</v>
      </c>
      <c r="AK4" s="80">
        <f t="shared" si="5"/>
        <v>0</v>
      </c>
      <c r="AL4" s="80">
        <f t="shared" si="5"/>
        <v>0</v>
      </c>
      <c r="AM4" s="80">
        <f t="shared" si="5"/>
        <v>0</v>
      </c>
      <c r="AN4" s="80">
        <f t="shared" si="5"/>
        <v>0</v>
      </c>
      <c r="AO4" s="84">
        <f t="shared" si="5"/>
        <v>0</v>
      </c>
      <c r="AP4" s="84">
        <f t="shared" ref="AP4" si="6">Z4*VLOOKUP($Z$3,DENSITY_TOKM3,2,FALSE)</f>
        <v>0</v>
      </c>
      <c r="AR4" s="103" t="str">
        <f t="shared" ref="AR4" si="7">VLOOKUP(J4,TWL_Correction_Factor,2,FALSE)</f>
        <v>6.5.2</v>
      </c>
      <c r="AS4" s="80" t="str">
        <f t="shared" ref="AS4:AS13" si="8">VLOOKUP($K4,TWL_ComplianceEtc,2,FALSE)</f>
        <v>6.7.1</v>
      </c>
      <c r="AT4" s="80">
        <f t="shared" ref="AT4:AT13" si="9">VLOOKUP($K4,TWL_ComplianceEtc,3,FALSE)</f>
        <v>2.2999999999999998</v>
      </c>
      <c r="AU4" s="80" t="str">
        <f t="shared" ref="AU4:AU13" si="10">VLOOKUP($K4,TWL_ComplianceEtc,4,FALSE)</f>
        <v>AW</v>
      </c>
      <c r="AV4" s="80">
        <f t="shared" ref="AV4" si="11">VLOOKUP(AU4,TWL_Sf_A,2,FALSE)</f>
        <v>20.7</v>
      </c>
      <c r="AW4" s="84">
        <f t="shared" ref="AW4" si="12">VLOOKUP(AU4,TWL_Sf_B,2,FALSE)</f>
        <v>37.200000000000003</v>
      </c>
      <c r="AY4" s="264" t="e">
        <f t="shared" ref="AY4:AY13" ca="1" si="13">conversions.MtlModElAtServiceTemp(X4,AB4)</f>
        <v>#N/A</v>
      </c>
      <c r="AZ4" s="264" t="e">
        <f t="shared" ref="AZ4:AZ13" ca="1" si="14">conversions.MtlModElAtReferenceTemp(X4)</f>
        <v>#N/A</v>
      </c>
      <c r="BA4" s="264" t="e">
        <f t="shared" ref="BA4:BA13" ca="1" si="15">conversions.MaxStressAtServiceTemp(X4,AB4)</f>
        <v>#N/A</v>
      </c>
      <c r="BB4" s="284" t="e">
        <f t="shared" ref="BB4:BB13" si="16">VLOOKUP(X4,Material_Lookup,7,FALSE)</f>
        <v>#N/A</v>
      </c>
      <c r="BC4" s="257" t="e">
        <f t="shared" ref="BC4" si="17">IF(BB4="A",AV4,AW4)*1000000</f>
        <v>#N/A</v>
      </c>
      <c r="BD4" s="111" t="e">
        <f t="shared" ref="BD4:BD13" si="18">VLOOKUP(X4,Material_Lookup,8,FALSE)</f>
        <v>#N/A</v>
      </c>
      <c r="BE4" s="104"/>
      <c r="BF4" s="162" t="e">
        <f t="shared" ref="BF4" ca="1" si="19">IF(K4="Threaded",DB4*CZ4,DA4*CZ4)</f>
        <v>#DIV/0!</v>
      </c>
      <c r="BG4" s="122" t="e">
        <f t="shared" ref="BG4" si="20">CI4*(AD4/AH4)</f>
        <v>#DIV/0!</v>
      </c>
      <c r="BH4" s="122" t="e">
        <f t="shared" ref="BH4" ca="1" si="21">BG4/BF4</f>
        <v>#DIV/0!</v>
      </c>
      <c r="BI4" s="122" t="e">
        <f t="shared" ref="BI4" ca="1" si="22">IF(J4="Stepped",IF(AND(BX4="PASS",BW4="PASS"),0.8,IF(DG4="Suppressed",0.8,0.4)),IF(BW4="PASS",0.8,IF(DG4="Suppressed",0.8,0.4)))</f>
        <v>#N/A</v>
      </c>
      <c r="BJ4" s="122" t="e">
        <f t="shared" ref="BJ4" ca="1" si="23">IF(J4="Stepped",MAX(DZ4*SQRT((FB4^2+FC4^2))/1000000,DT4*SQRT((EY4^2+EZ4^2))/1000000),DT4*SQRT((EY4^2+EZ4^2))/1000000)</f>
        <v>#DIV/0!</v>
      </c>
      <c r="BK4" s="122" t="e">
        <f t="shared" ref="BK4" si="24">IF(J4="Stepped",MAX(SQRT(((EP4-EK4)^2+(EP4-EL4)^2+(EL4-EK4)^2)/2)/1000000,SQRT(((EG4-EB4)^2+(EG4-EC4)^2+(EC4-EB4)^2)/2)/1000000),SQRT(((EG4-EB4)^2+(EG4-EC4)^2+(EC4-EB4)^2)/2)/1000000)</f>
        <v>#DIV/0!</v>
      </c>
      <c r="BL4" s="122" t="e">
        <f t="shared" ref="BL4" ca="1" si="25">IF(FE4&lt;FF4,FE4,FF4)*1000000</f>
        <v>#N/A</v>
      </c>
      <c r="BM4" s="122" t="e">
        <f t="shared" ref="BM4" ca="1" si="26">(BL4-VLOOKUP($F$3,PRESS_TOPA,7,FALSE))/VLOOKUP($F$3,PRESS_TOPA,5,FALSE)</f>
        <v>#N/A</v>
      </c>
      <c r="BN4" s="122" t="e">
        <f t="shared" ref="BN4" ca="1" si="27">BL4/AC4</f>
        <v>#N/A</v>
      </c>
      <c r="BO4" s="122" t="e">
        <f t="shared" ref="BO4" ca="1" si="28">DW4/BJ4</f>
        <v>#N/A</v>
      </c>
      <c r="BP4" s="122" t="e">
        <f t="shared" ref="BP4" ca="1" si="29">DW4/BJ4</f>
        <v>#N/A</v>
      </c>
      <c r="BQ4" s="195" t="str">
        <f t="shared" ref="BQ4:BQ13" ca="1" si="30">IF((AND(BS4="PASS",BU4="PASS", BY4="PASS",CB4="PASS",CE4="PASS"))=TRUE,"PASS","FAIL")</f>
        <v>FAIL</v>
      </c>
      <c r="BR4" s="104"/>
      <c r="BS4" s="170" t="str">
        <f t="shared" ref="BS4" ca="1" si="31">IF(OR(ISERROR(BG4),ISERROR(BI4),ISERROR(BF4)),"FAIL",IF(BG4&lt;(BI4*BF4),"PASS","FAIL"))</f>
        <v>FAIL</v>
      </c>
      <c r="BT4" s="172" t="str">
        <f t="shared" ref="BT4" ca="1" si="32">IF(BS4="PASS","","Frequency limit failed")</f>
        <v>Frequency limit failed</v>
      </c>
      <c r="BU4" s="172" t="str">
        <f t="shared" ref="BU4:BU13" ca="1" si="33">IFERROR(IF(OR(BG4&lt;0.4*BF4, AND(0.6*BF4&lt;BG4, BG4&lt;0.8*BF4)), "PASS", "FAIL"), "FAIL")</f>
        <v>FAIL</v>
      </c>
      <c r="BV4" s="172" t="str">
        <f t="shared" ref="BV4:BV13" ca="1" si="34">IF(BU4="PASS","","Failed lock-in resonance check")</f>
        <v>Failed lock-in resonance check</v>
      </c>
      <c r="BW4" s="171" t="str">
        <f t="shared" ref="BW4" ca="1" si="35">IF(OR(ISERROR(DW4),ISERROR(DU4)),"FAIL",IF(DW4&lt;DU4,"FAIL","PASS"))</f>
        <v>FAIL</v>
      </c>
      <c r="BX4" s="171" t="str">
        <f t="shared" ref="BX4" ca="1" si="36">IF(OR(ISERROR(EA4),ISERROR(DW4)),"FAIL",IF(DW4&lt;EA4,"FAIL","PASS"))</f>
        <v>FAIL</v>
      </c>
      <c r="BY4" s="171" t="str">
        <f t="shared" ref="BY4" ca="1" si="37">IF(OR(ISERROR(BK4),ISERROR(EI4)),"FAIL",IF(BK4&lt;EI4,"PASS","FAIL"))</f>
        <v>FAIL</v>
      </c>
      <c r="BZ4" s="172" t="str">
        <f t="shared" ref="BZ4" ca="1" si="38">IF(J4="Stepped",IF(AND(BY4="PASS",CA4="PASS"),"","Steady state failed"),IF(BY4="PASS","","Steady state failed"))</f>
        <v>Steady state failed</v>
      </c>
      <c r="CA4" s="171" t="str">
        <f t="shared" ref="CA4" ca="1" si="39">IF(OR(ISERROR(EQ4),ISERROR(ER4)),"FAIL",IF(EQ4&lt;ER4,"PASS","FAIL"))</f>
        <v>FAIL</v>
      </c>
      <c r="CB4" s="171" t="str">
        <f t="shared" ref="CB4" ca="1" si="40">IF(OR(ISERROR(BJ4),ISERROR(DW4)),"FAIL",IF(BJ4&lt;DW4,"PASS","FAIL"))</f>
        <v>FAIL</v>
      </c>
      <c r="CC4" s="172" t="str">
        <f t="shared" ref="CC4" ca="1" si="41">IF(J4="Stepped",IF(AND(CB4="PASS",CD4="PASS"),"","Dynamic state failed"),IF(CB4="PASS","","Dynamic state failed"))</f>
        <v>Dynamic state failed</v>
      </c>
      <c r="CD4" s="171" t="str">
        <f t="shared" ref="CD4" ca="1" si="42">IF(OR(ISERROR(DW4),ISERROR(FD4)),"FAIL",IF(FD4&lt;DW4,"PASS","FAIL"))</f>
        <v>FAIL</v>
      </c>
      <c r="CE4" s="171" t="str">
        <f t="shared" ref="CE4" ca="1" si="43">IF(OR(ISERROR(AC4),ISERROR(BL4)),"FAIL",IF(AC4&lt;BL4,"PASS","FAIL"))</f>
        <v>FAIL</v>
      </c>
      <c r="CF4" s="173" t="str">
        <f t="shared" ref="CF4" ca="1" si="44">IF(CE4="PASS","","Pressure limit failed")</f>
        <v>Pressure limit failed</v>
      </c>
      <c r="CG4" s="104"/>
      <c r="CH4" s="273" t="e">
        <f t="shared" ref="CH4" si="45">(AD4*AH4*AE4)/AF4</f>
        <v>#DIV/0!</v>
      </c>
      <c r="CI4" s="275">
        <f t="shared" ref="CI4" si="46">IF(AF4=0,0.22,IF(CH4&lt;=1300,0.22*(1-(22/CH4)),IF(CH4&lt;500000,(0.213-0.0248*(LOG10(CH4/1300))^2+0.0095*(LOG10(CH4/1300))^3),0.22)))</f>
        <v>0.22</v>
      </c>
      <c r="CJ4" s="101">
        <v>1.4</v>
      </c>
      <c r="CK4" s="101">
        <v>0.1</v>
      </c>
      <c r="CL4" s="101">
        <v>1</v>
      </c>
      <c r="CM4" s="102">
        <f t="shared" ref="CM4" si="47">IF(J4="Tapered",((AG4+AH4)/2),AG4)</f>
        <v>0</v>
      </c>
      <c r="CN4" s="101"/>
      <c r="CO4" s="100">
        <f t="shared" ref="CO4" si="48">PI()*(CM4^4-AK4^4)/64</f>
        <v>0</v>
      </c>
      <c r="CP4" s="101" t="e">
        <f t="shared" ref="CP4" si="49">BD4*PI()*(CM4^2-AK4^2)/4</f>
        <v>#N/A</v>
      </c>
      <c r="CQ4" s="101" t="e">
        <f t="shared" ref="CQ4" ca="1" si="50">((1.875^2)/(2*PI()))*(SQRT(AY4*CO4/CP4))*(1/AL4^2)</f>
        <v>#N/A</v>
      </c>
      <c r="CR4" s="101" t="e">
        <f t="shared" ref="CR4" si="51">(0.99*(1+(1-(AH4/AG4))+(1-(AH4/AG4))^2))/(1+1.1*(CM4/AL4)^(3*(1-0.8*(AK4/CM4))))</f>
        <v>#DIV/0!</v>
      </c>
      <c r="CS4" s="101" t="e">
        <f>IF(AH4=0.0222,(TWLimits!$B$24*(AG4/AH4)+TWLimits!$B$25)*(AM4/AL4)+(TWLimits!$B$26*(AG4/AH4)+TWLimits!$B$27),(TWLimits!$C$24*(AG4/AH4)+TWLimits!$C$25)*(AM4/AL4)+(TWLimits!$C$26*(AG4/AH4)+TWLimits!$C$27))</f>
        <v>#DIV/0!</v>
      </c>
      <c r="CT4" s="101" t="e">
        <f>IF(AH4=0.0222,(TWLimits!$B$28*(AG4/AH4)+TWLimits!$B$29)*(AM4/AL4)+(TWLimits!$B$30*(AG4/AH4)+TWLimits!$B$31),(TWLimits!$C$28*(AG4/AH4)+TWLimits!$C$29)*(AM4/AL4)+(TWLimits!$C$30*(AG4/AH4)+TWLimits!$C$31))</f>
        <v>#DIV/0!</v>
      </c>
      <c r="CU4" s="101" t="e">
        <f>IF(AH4=0.0222,(TWLimits!$B$32*(AG4/AH4)+TWLimits!$B$33),(TWLimits!$C$32*(AG4/AH4)+TWLimits!$C$33))</f>
        <v>#DIV/0!</v>
      </c>
      <c r="CV4" s="101" t="e">
        <f t="shared" ref="CV4" si="52">((CS4^-CU4)+(CT4^-CU4))^(-1/CU4)</f>
        <v>#DIV/0!</v>
      </c>
      <c r="CW4" s="101" t="e">
        <f t="shared" ref="CW4" si="53">IF(AR4="6.5.2",CR4,CV4)</f>
        <v>#DIV/0!</v>
      </c>
      <c r="CX4" s="80" t="e">
        <f t="shared" ref="CX4" si="54">1-(AE4/(2*BD4))</f>
        <v>#N/A</v>
      </c>
      <c r="CY4" s="80" t="e">
        <f t="shared" ref="CY4" si="55">1-((AP4/(2*BD4))*(1/((CM4/AK4)^2-1)))</f>
        <v>#N/A</v>
      </c>
      <c r="CZ4" s="80" t="e">
        <f t="shared" ref="CZ4" ca="1" si="56">CW4*CX4*CY4*CQ4</f>
        <v>#DIV/0!</v>
      </c>
      <c r="DA4" s="80" t="e">
        <f t="shared" ref="DA4" si="57">1-(0.61*AG4/AL4)/((1+(1.5*AI4/AG4))^2)</f>
        <v>#DIV/0!</v>
      </c>
      <c r="DB4" s="84" t="e">
        <f t="shared" ref="DB4" si="58">1-0.9*(AG4/AL4)</f>
        <v>#DIV/0!</v>
      </c>
      <c r="DD4" s="78" t="e">
        <f t="shared" ref="DD4" si="59">(PI()^2)*0.0005*(BD4/AE4)*(1-((AK4/AH4)^2))</f>
        <v>#N/A</v>
      </c>
      <c r="DE4" s="80" t="e">
        <f t="shared" ref="DE4" si="60">IF(DD4&gt;2.5,"TRUE","FALSE")</f>
        <v>#N/A</v>
      </c>
      <c r="DF4" s="80" t="str">
        <f t="shared" ref="DF4" si="61">IF(I4=0,"FALSE",IF(CH4&lt;10^5,"TRUE","FALSE"))</f>
        <v>FALSE</v>
      </c>
      <c r="DG4" s="84" t="e">
        <f t="shared" ref="DG4" si="62">IF((AND(DE4="TRUE",DF4="TRUE"))=TRUE,"Suppressed","Not Suppressed")</f>
        <v>#N/A</v>
      </c>
      <c r="DI4" s="78" t="e">
        <f t="shared" ref="DI4" si="63">LOG10(CH4/1300)</f>
        <v>#DIV/0!</v>
      </c>
      <c r="DJ4" s="80" t="e">
        <f t="shared" ref="DJ4" si="64">0.0285*DI4^2-0.0496*DI4</f>
        <v>#DIV/0!</v>
      </c>
      <c r="DK4" s="80" t="e">
        <f t="shared" ref="DK4" si="65">IF(CH4=0,(AH4*BF4/(2*CI4)),IF(CH4&lt;=1300,(AH4*BF4/(2*CI4))*(1-(22*AF4)/(AH4*AE4*AD4))+(22*AF4/(AD4*AE4)),IF(CH4&lt;500000,(AH4*BF4/(2*CI4))*(1-(DJ4/CI4)*LOG10((AH4*BF4/(2*CI4*AD4)))),(AH4*BF4/(2*CI4)))))</f>
        <v>#DIV/0!</v>
      </c>
      <c r="DL4" s="205" t="e">
        <f t="shared" ref="DL4" si="66">IF(L4="Shielded",(16*AL4^2)/(3*PI()*AG4^2*(1-(AK4/AG4)^4))*(3*(1-((AN4/AL4)^2)))+2*((AH4/AG4)-1)*(1-(AN4/AL4)^3),(16*AL4^2)/(3*PI()*AG4^2*(1-(AK4/AG4)^4))*(1+(2*(AH4/AG4))))</f>
        <v>#DIV/0!</v>
      </c>
      <c r="DM4" s="205" t="e">
        <f t="shared" ref="DM4" si="67">IF(L4="Shielded",IF(AN4&lt;AL4-AM4,((16*AL4^2)/(PI()*AG4^2*(1-(AK4/AG4)^4))*(((AH4/AG4)+(1-(AH4/AG4))*(1-(AM4/AL4))^2)-(AN4/AL4)^2)),((16*AH4*AL4^2)/(PI()*AG4^3*(1-(AK4/AG4)^4))*(1-(AN4/AL4)^2))),(16*AL4^2)/(PI()*AG4^2*(1-(AK4/AG4)^4))*((AH4/AG4)+(1-(AH4/AG4))*(1-(AM4/AL4))^2))</f>
        <v>#DIV/0!</v>
      </c>
      <c r="DN4" s="80">
        <f t="shared" ref="DN4" si="68">AL4-AM4</f>
        <v>0</v>
      </c>
      <c r="DO4" s="205" t="e">
        <f t="shared" ref="DO4:DO13" si="69">IF(AND(L4="Shielded",(AN4&lt;(AL4-AM4))),(16*AL4^2)/(PI()*AH4^2*(1-(AK4/AH4)^4))*(1-(AN4/AL4))*(2*(AM4/AL4)-1+(AN4/AL4))*(16*AM4^2)/(PI()*AH4^2*(1-(AK4/AH4)^4)),(16*AM4^2)/(PI()*AH4^2*(1-(AK4/AH4)^4)))</f>
        <v>#DIV/0!</v>
      </c>
      <c r="DP4" s="80" t="e">
        <f t="shared" ref="DP4" si="70">(1/2)*AE4*CK4*DK4^2</f>
        <v>#DIV/0!</v>
      </c>
      <c r="DQ4" s="80">
        <f t="shared" ref="DQ4:DR13" si="71">1/(2*0.0005)</f>
        <v>1000</v>
      </c>
      <c r="DR4" s="80">
        <f t="shared" si="71"/>
        <v>1000</v>
      </c>
      <c r="DS4" s="101" t="e">
        <f t="shared" ref="DS4" si="72">IF(J4="Stepped",DM4*DR4*DP4/1000000,DL4*DR4*DP4/1000000)</f>
        <v>#DIV/0!</v>
      </c>
      <c r="DT4" s="101">
        <f t="shared" ref="DT4" si="73">AT4</f>
        <v>2.2999999999999998</v>
      </c>
      <c r="DU4" s="80" t="e">
        <f>DT4*SQRT(DS4^2)</f>
        <v>#DIV/0!</v>
      </c>
      <c r="DV4" s="80" t="e">
        <f t="shared" ref="DV4" ca="1" si="74">AY4/AZ4</f>
        <v>#N/A</v>
      </c>
      <c r="DW4" s="84" t="e">
        <f t="shared" ref="DW4" ca="1" si="75">DV4*1*BC4/1000000</f>
        <v>#N/A</v>
      </c>
      <c r="DY4" s="78" t="e">
        <f t="shared" ref="DY4" si="76">DO4*DR4*DP4/1000000</f>
        <v>#DIV/0!</v>
      </c>
      <c r="DZ4" s="80" t="e">
        <f t="shared" ref="DZ4" si="77">IF((AH4/AJ4)&gt;33,2.2,(1.1+0.033*(AH4/AJ4)))</f>
        <v>#DIV/0!</v>
      </c>
      <c r="EA4" s="80" t="e">
        <f t="shared" ref="EA4" si="78">DY4*DZ4</f>
        <v>#DIV/0!</v>
      </c>
      <c r="EB4" s="80">
        <f t="shared" ref="EB4" si="79">AC4</f>
        <v>0</v>
      </c>
      <c r="EC4" s="80" t="e">
        <f t="shared" ref="EC4" si="80">AC4*(1+(AK4/AG4)^2)/(1-(AK4/AG4)^2)</f>
        <v>#DIV/0!</v>
      </c>
      <c r="ED4" s="80" t="e">
        <f t="shared" ref="ED4" si="81">AC4/(1-(AK4/AG4)^2)</f>
        <v>#DIV/0!</v>
      </c>
      <c r="EE4" s="80">
        <f t="shared" ref="EE4" si="82">0.5*AE4*CJ4*AD4^2</f>
        <v>0</v>
      </c>
      <c r="EF4" s="101" t="e">
        <f t="shared" ref="EF4" si="83">IF(J4="Stepped",DM4*EE4,DL4*EE4)</f>
        <v>#DIV/0!</v>
      </c>
      <c r="EG4" s="80" t="e">
        <f t="shared" ref="EG4" si="84">EF4+ED4</f>
        <v>#DIV/0!</v>
      </c>
      <c r="EI4" s="80" t="e">
        <f t="shared" ref="EI4" ca="1" si="85">1.5*BA4</f>
        <v>#N/A</v>
      </c>
      <c r="EK4" s="80">
        <f t="shared" ref="EK4" si="86">AC4</f>
        <v>0</v>
      </c>
      <c r="EL4" s="80" t="e">
        <f t="shared" ref="EL4" si="87">AC4*(1+(AK4/AH4)^2)/(1-(AK4/AH4)^2)</f>
        <v>#DIV/0!</v>
      </c>
      <c r="EM4" s="80" t="e">
        <f t="shared" ref="EM4" si="88">AC4/(1-(AK4/AH4)^2)</f>
        <v>#DIV/0!</v>
      </c>
      <c r="EN4" s="80">
        <f t="shared" ref="EN4" si="89">0.5*AE4*CJ4*AD4^2</f>
        <v>0</v>
      </c>
      <c r="EO4" s="101">
        <f t="shared" ref="EO4" si="90">IF(J4="Stepped",DO4*EN4,0)</f>
        <v>0</v>
      </c>
      <c r="EP4" s="80" t="e">
        <f t="shared" ref="EP4" si="91">EO4+EM4</f>
        <v>#DIV/0!</v>
      </c>
      <c r="EQ4" s="80" t="e">
        <f t="shared" ref="EQ4" si="92">SQRT(((EP4-EK4)^2+(EP4-EL4)^2+(EL4-EK4)^2)/2)</f>
        <v>#DIV/0!</v>
      </c>
      <c r="ER4" s="80" t="e">
        <f t="shared" ref="ER4" ca="1" si="93">1.5*BA4</f>
        <v>#N/A</v>
      </c>
      <c r="ET4" s="78" t="e">
        <f t="shared" ref="ET4" ca="1" si="94">1/(1-BH4^2)</f>
        <v>#DIV/0!</v>
      </c>
      <c r="EU4" s="79" t="e">
        <f t="shared" ref="EU4" ca="1" si="95">(2*BG4)/BF4</f>
        <v>#DIV/0!</v>
      </c>
      <c r="EV4" s="79" t="e">
        <f t="shared" ref="EV4" ca="1" si="96">1/(1-EU4^2)</f>
        <v>#DIV/0!</v>
      </c>
      <c r="EW4" s="79">
        <f t="shared" ref="EW4" si="97">0.5*AE4*CK4*AD4^2</f>
        <v>0</v>
      </c>
      <c r="EX4" s="79">
        <f t="shared" ref="EX4" si="98">0.5*AE4*CL4*AD4^2</f>
        <v>0</v>
      </c>
      <c r="EY4" s="104" t="e">
        <f t="shared" ref="EY4" ca="1" si="99">IF(J4="Stepped",EV4*EW4*DM4,EV4*EW4*DL4)</f>
        <v>#DIV/0!</v>
      </c>
      <c r="EZ4" s="102" t="e">
        <f t="shared" ref="EZ4" ca="1" si="100">IF(J4="Stepped",ET4*EX4*DM4,ET4*EX4*DL4)</f>
        <v>#DIV/0!</v>
      </c>
      <c r="FB4" s="101">
        <f t="shared" ref="FB4" si="101">IF(J4="Stepped",DO4*EV4*EW4,0)</f>
        <v>0</v>
      </c>
      <c r="FC4" s="101">
        <f t="shared" ref="FC4" si="102">IF(J4="Stepped",DO4*ET4*EX4,0)</f>
        <v>0</v>
      </c>
      <c r="FD4" s="80" t="e">
        <f t="shared" ref="FD4" si="103">DZ4*SQRT((FB4^2+FC4^2))/1000000</f>
        <v>#DIV/0!</v>
      </c>
      <c r="FE4" s="80" t="e">
        <f t="shared" ref="FE4" ca="1" si="104">0.66*BA4*(2.167/(2*AH4/(AH4-AK4))-0.0833)/1000000</f>
        <v>#N/A</v>
      </c>
      <c r="FF4" s="80" t="e">
        <f t="shared" ref="FF4" ca="1" si="105">(BA4/0.13*(AO4/AK4)^2)/1000000</f>
        <v>#N/A</v>
      </c>
      <c r="FG4" s="80">
        <f t="shared" ref="FG4:FG13" si="106">COLUMN(CH4)</f>
        <v>86</v>
      </c>
      <c r="FH4" s="80">
        <f t="shared" ref="FH4:FH13" si="107">COLUMN(CI4)</f>
        <v>87</v>
      </c>
    </row>
    <row r="5" spans="1:252" x14ac:dyDescent="0.2">
      <c r="B5" s="108">
        <v>2</v>
      </c>
      <c r="C5" s="270"/>
      <c r="D5" s="263"/>
      <c r="E5" s="108"/>
      <c r="F5" s="109"/>
      <c r="G5" s="109"/>
      <c r="H5" s="209"/>
      <c r="I5" s="110"/>
      <c r="J5" s="112"/>
      <c r="K5" s="177"/>
      <c r="L5" s="142"/>
      <c r="M5" s="108"/>
      <c r="N5" s="109"/>
      <c r="O5" s="177"/>
      <c r="P5" s="286"/>
      <c r="Q5" s="178"/>
      <c r="R5" s="177"/>
      <c r="S5" s="287"/>
      <c r="T5" s="286"/>
      <c r="U5" s="242"/>
      <c r="V5" s="177"/>
      <c r="W5" s="285"/>
      <c r="X5" s="261"/>
      <c r="Y5" s="236"/>
      <c r="Z5" s="142"/>
      <c r="AB5" s="100">
        <f t="shared" ref="AB5:AB13" ca="1" si="108">conversions.tocelsius(E5,$E$3)</f>
        <v>0</v>
      </c>
      <c r="AC5" s="101">
        <f t="shared" ref="AC5:AC13" si="109">F5*VLOOKUP($F$3,PRESS_TOPA,5,FALSE)+VLOOKUP($F$3,PRESS_TOPA,7,FALSE)</f>
        <v>0</v>
      </c>
      <c r="AD5" s="101">
        <f t="shared" ref="AD5:AD13" si="110">G5*VLOOKUP($G$3,VELOCITY_UNITS,2,FALSE)</f>
        <v>0</v>
      </c>
      <c r="AE5" s="101">
        <f t="shared" ref="AE5:AE13" si="111">H5*VLOOKUP($H$3,DENSITY_TOKM3,2,FALSE)</f>
        <v>0</v>
      </c>
      <c r="AF5" s="102">
        <f t="shared" ref="AF5:AF13" si="112">I5*VLOOKUP($I$3,VISCOSITY_TOPAS,2,FALSE)</f>
        <v>0</v>
      </c>
      <c r="AG5" s="80">
        <f t="shared" ref="AG5:AG13" si="113">M5*VLOOKUP(M$3,LENGTH_TOM,2,FALSE)</f>
        <v>0</v>
      </c>
      <c r="AH5" s="80">
        <f t="shared" ref="AH5:AH13" si="114">N5*VLOOKUP(N$3,LENGTH_TOM,2,FALSE)</f>
        <v>0</v>
      </c>
      <c r="AI5" s="80">
        <f t="shared" ref="AI5:AI13" si="115">O5*VLOOKUP(O$3,LENGTH_TOM,2,FALSE)</f>
        <v>0</v>
      </c>
      <c r="AJ5" s="80">
        <f t="shared" ref="AJ5:AJ13" si="116">P5*VLOOKUP(P$3,LENGTH_TOM,2,FALSE)</f>
        <v>0</v>
      </c>
      <c r="AK5" s="80">
        <f t="shared" ref="AK5:AK13" si="117">Q5*VLOOKUP(Q$3,LENGTH_TOM,2,FALSE)</f>
        <v>0</v>
      </c>
      <c r="AL5" s="80">
        <f t="shared" ref="AL5:AL13" si="118">R5*VLOOKUP(R$3,LENGTH_TOM,2,FALSE)</f>
        <v>0</v>
      </c>
      <c r="AM5" s="80">
        <f t="shared" ref="AM5:AM13" si="119">S5*VLOOKUP(S$3,LENGTH_TOM,2,FALSE)</f>
        <v>0</v>
      </c>
      <c r="AN5" s="80">
        <f t="shared" ref="AN5:AN13" si="120">T5*VLOOKUP(T$3,LENGTH_TOM,2,FALSE)</f>
        <v>0</v>
      </c>
      <c r="AO5" s="84">
        <f t="shared" ref="AO5:AO13" si="121">U5*VLOOKUP(U$3,LENGTH_TOM,2,FALSE)</f>
        <v>0</v>
      </c>
      <c r="AP5" s="84">
        <f t="shared" ref="AP5:AP13" si="122">Z5*VLOOKUP($Z$3,DENSITY_TOKM3,2,FALSE)</f>
        <v>0</v>
      </c>
      <c r="AR5" s="103" t="e">
        <f t="shared" ref="AR5:AR13" si="123">VLOOKUP(J5,TWL_Correction_Factor,2,FALSE)</f>
        <v>#N/A</v>
      </c>
      <c r="AS5" s="80" t="e">
        <f t="shared" si="8"/>
        <v>#N/A</v>
      </c>
      <c r="AT5" s="80" t="e">
        <f t="shared" si="9"/>
        <v>#N/A</v>
      </c>
      <c r="AU5" s="80" t="e">
        <f t="shared" si="10"/>
        <v>#N/A</v>
      </c>
      <c r="AV5" s="80" t="e">
        <f t="shared" ref="AV5:AV13" si="124">VLOOKUP(AU5,TWL_Sf_A,2,FALSE)</f>
        <v>#N/A</v>
      </c>
      <c r="AW5" s="84" t="e">
        <f t="shared" ref="AW5:AW13" si="125">VLOOKUP(AU5,TWL_Sf_B,2,FALSE)</f>
        <v>#N/A</v>
      </c>
      <c r="AY5" s="264" t="e">
        <f t="shared" ca="1" si="13"/>
        <v>#N/A</v>
      </c>
      <c r="AZ5" s="264" t="e">
        <f t="shared" ca="1" si="14"/>
        <v>#N/A</v>
      </c>
      <c r="BA5" s="264" t="e">
        <f t="shared" ca="1" si="15"/>
        <v>#N/A</v>
      </c>
      <c r="BB5" s="284" t="e">
        <f t="shared" si="16"/>
        <v>#N/A</v>
      </c>
      <c r="BC5" s="257" t="e">
        <f t="shared" ref="BC5:BC13" si="126">IF(BB5="A",AV5,AW5)*1000000</f>
        <v>#N/A</v>
      </c>
      <c r="BD5" s="111" t="e">
        <f t="shared" si="18"/>
        <v>#N/A</v>
      </c>
      <c r="BE5" s="104"/>
      <c r="BF5" s="162" t="e">
        <f t="shared" ref="BF5:BF13" ca="1" si="127">IF(K5="Threaded",DB5*CZ5,DA5*CZ5)</f>
        <v>#DIV/0!</v>
      </c>
      <c r="BG5" s="122" t="e">
        <f t="shared" ref="BG5:BG13" si="128">CI5*(AD5/AH5)</f>
        <v>#DIV/0!</v>
      </c>
      <c r="BH5" s="122" t="e">
        <f t="shared" ref="BH5:BH13" ca="1" si="129">BG5/BF5</f>
        <v>#DIV/0!</v>
      </c>
      <c r="BI5" s="122" t="e">
        <f t="shared" ref="BI5:BI13" ca="1" si="130">IF(J5="Stepped",IF(AND(BX5="PASS",BW5="PASS"),0.8,IF(DG5="Suppressed",0.8,0.4)),IF(BW5="PASS",0.8,IF(DG5="Suppressed",0.8,0.4)))</f>
        <v>#N/A</v>
      </c>
      <c r="BJ5" s="122" t="e">
        <f t="shared" ref="BJ5:BJ13" ca="1" si="131">IF(J5="Stepped",MAX(DZ5*SQRT((FB5^2+FC5^2))/1000000,DT5*SQRT((EY5^2+EZ5^2))/1000000),DT5*SQRT((EY5^2+EZ5^2))/1000000)</f>
        <v>#N/A</v>
      </c>
      <c r="BK5" s="122" t="e">
        <f t="shared" ref="BK5:BK13" si="132">IF(J5="Stepped",MAX(SQRT(((EP5-EK5)^2+(EP5-EL5)^2+(EL5-EK5)^2)/2)/1000000,SQRT(((EG5-EB5)^2+(EG5-EC5)^2+(EC5-EB5)^2)/2)/1000000),SQRT(((EG5-EB5)^2+(EG5-EC5)^2+(EC5-EB5)^2)/2)/1000000)</f>
        <v>#DIV/0!</v>
      </c>
      <c r="BL5" s="122" t="e">
        <f t="shared" ref="BL5:BL13" ca="1" si="133">IF(FE5&lt;FF5,FE5,FF5)*1000000</f>
        <v>#N/A</v>
      </c>
      <c r="BM5" s="122" t="e">
        <f t="shared" ref="BM5:BM13" ca="1" si="134">(BL5-VLOOKUP($F$3,PRESS_TOPA,7,FALSE))/VLOOKUP($F$3,PRESS_TOPA,5,FALSE)</f>
        <v>#N/A</v>
      </c>
      <c r="BN5" s="122" t="e">
        <f t="shared" ref="BN5:BN13" ca="1" si="135">BL5/AC5</f>
        <v>#N/A</v>
      </c>
      <c r="BO5" s="122" t="e">
        <f t="shared" ref="BO5:BO13" ca="1" si="136">DW5/BJ5</f>
        <v>#N/A</v>
      </c>
      <c r="BP5" s="122" t="e">
        <f t="shared" ref="BP5:BP13" ca="1" si="137">DW5/BJ5</f>
        <v>#N/A</v>
      </c>
      <c r="BQ5" s="195" t="str">
        <f t="shared" ca="1" si="30"/>
        <v>FAIL</v>
      </c>
      <c r="BR5" s="104"/>
      <c r="BS5" s="170" t="str">
        <f t="shared" ref="BS5:BS13" ca="1" si="138">IF(OR(ISERROR(BG5),ISERROR(BI5),ISERROR(BF5)),"FAIL",IF(BG5&lt;(BI5*BF5),"PASS","FAIL"))</f>
        <v>FAIL</v>
      </c>
      <c r="BT5" s="172" t="str">
        <f t="shared" ref="BT5:BT13" ca="1" si="139">IF(BS5="PASS","","Frequency limit failed")</f>
        <v>Frequency limit failed</v>
      </c>
      <c r="BU5" s="172" t="str">
        <f t="shared" ca="1" si="33"/>
        <v>FAIL</v>
      </c>
      <c r="BV5" s="172" t="str">
        <f t="shared" ca="1" si="34"/>
        <v>Failed lock-in resonance check</v>
      </c>
      <c r="BW5" s="171" t="str">
        <f t="shared" ref="BW5:BW13" ca="1" si="140">IF(OR(ISERROR(DW5),ISERROR(DU5)),"FAIL",IF(DW5&lt;DU5,"FAIL","PASS"))</f>
        <v>FAIL</v>
      </c>
      <c r="BX5" s="171" t="str">
        <f t="shared" ref="BX5:BX13" ca="1" si="141">IF(OR(ISERROR(EA5),ISERROR(DW5)),"FAIL",IF(DW5&lt;EA5,"FAIL","PASS"))</f>
        <v>FAIL</v>
      </c>
      <c r="BY5" s="171" t="str">
        <f t="shared" ref="BY5:BY13" ca="1" si="142">IF(OR(ISERROR(BK5),ISERROR(EI5)),"FAIL",IF(BK5&lt;EI5,"PASS","FAIL"))</f>
        <v>FAIL</v>
      </c>
      <c r="BZ5" s="172" t="str">
        <f t="shared" ref="BZ5:BZ13" ca="1" si="143">IF(J5="Stepped",IF(AND(BY5="PASS",CA5="PASS"),"","Steady state failed"),IF(BY5="PASS","","Steady state failed"))</f>
        <v>Steady state failed</v>
      </c>
      <c r="CA5" s="171" t="str">
        <f t="shared" ref="CA5:CA13" ca="1" si="144">IF(OR(ISERROR(EQ5),ISERROR(ER5)),"FAIL",IF(EQ5&lt;ER5,"PASS","FAIL"))</f>
        <v>FAIL</v>
      </c>
      <c r="CB5" s="171" t="str">
        <f t="shared" ref="CB5:CB13" ca="1" si="145">IF(OR(ISERROR(BJ5),ISERROR(DW5)),"FAIL",IF(BJ5&lt;DW5,"PASS","FAIL"))</f>
        <v>FAIL</v>
      </c>
      <c r="CC5" s="172" t="str">
        <f t="shared" ref="CC5:CC13" ca="1" si="146">IF(J5="Stepped",IF(AND(CB5="PASS",CD5="PASS"),"","Dynamic state failed"),IF(CB5="PASS","","Dynamic state failed"))</f>
        <v>Dynamic state failed</v>
      </c>
      <c r="CD5" s="171" t="str">
        <f t="shared" ref="CD5:CD13" ca="1" si="147">IF(OR(ISERROR(DW5),ISERROR(FD5)),"FAIL",IF(FD5&lt;DW5,"PASS","FAIL"))</f>
        <v>FAIL</v>
      </c>
      <c r="CE5" s="171" t="str">
        <f t="shared" ref="CE5:CE13" ca="1" si="148">IF(OR(ISERROR(AC5),ISERROR(BL5)),"FAIL",IF(AC5&lt;BL5,"PASS","FAIL"))</f>
        <v>FAIL</v>
      </c>
      <c r="CF5" s="173" t="str">
        <f t="shared" ref="CF5:CF13" ca="1" si="149">IF(CE5="PASS","","Pressure limit failed")</f>
        <v>Pressure limit failed</v>
      </c>
      <c r="CG5" s="104"/>
      <c r="CH5" s="273" t="e">
        <f t="shared" ref="CH5:CH13" si="150">(AD5*AH5*AE5)/AF5</f>
        <v>#DIV/0!</v>
      </c>
      <c r="CI5" s="275">
        <f t="shared" ref="CI5:CI13" si="151">IF(AF5=0,0.22,IF(CH5&lt;=1300,0.22*(1-(22/CH5)),IF(CH5&lt;500000,(0.213-0.0248*(LOG10(CH5/1300))^2+0.0095*(LOG10(CH5/1300))^3),0.22)))</f>
        <v>0.22</v>
      </c>
      <c r="CJ5" s="101">
        <v>1.4</v>
      </c>
      <c r="CK5" s="101">
        <v>0.1</v>
      </c>
      <c r="CL5" s="101">
        <v>1</v>
      </c>
      <c r="CM5" s="102">
        <f t="shared" ref="CM5:CM13" si="152">IF(J5="Tapered",((AG5+AH5)/2),AG5)</f>
        <v>0</v>
      </c>
      <c r="CN5" s="101"/>
      <c r="CO5" s="100">
        <f t="shared" ref="CO5:CO13" si="153">PI()*(CM5^4-AK5^4)/64</f>
        <v>0</v>
      </c>
      <c r="CP5" s="101" t="e">
        <f t="shared" ref="CP5:CP13" si="154">BD5*PI()*(CM5^2-AK5^2)/4</f>
        <v>#N/A</v>
      </c>
      <c r="CQ5" s="101" t="e">
        <f t="shared" ref="CQ5:CQ13" ca="1" si="155">((1.875^2)/(2*PI()))*(SQRT(AY5*CO5/CP5))*(1/AL5^2)</f>
        <v>#N/A</v>
      </c>
      <c r="CR5" s="101" t="e">
        <f t="shared" ref="CR5:CR13" si="156">(0.99*(1+(1-(AH5/AG5))+(1-(AH5/AG5))^2))/(1+1.1*(CM5/AL5)^(3*(1-0.8*(AK5/CM5))))</f>
        <v>#DIV/0!</v>
      </c>
      <c r="CS5" s="101" t="e">
        <f>IF(AH5=0.0222,(TWLimits!$B$24*(AG5/AH5)+TWLimits!$B$25)*(AM5/AL5)+(TWLimits!$B$26*(AG5/AH5)+TWLimits!$B$27),(TWLimits!$C$24*(AG5/AH5)+TWLimits!$C$25)*(AM5/AL5)+(TWLimits!$C$26*(AG5/AH5)+TWLimits!$C$27))</f>
        <v>#DIV/0!</v>
      </c>
      <c r="CT5" s="101" t="e">
        <f>IF(AH5=0.0222,(TWLimits!$B$28*(AG5/AH5)+TWLimits!$B$29)*(AM5/AL5)+(TWLimits!$B$30*(AG5/AH5)+TWLimits!$B$31),(TWLimits!$C$28*(AG5/AH5)+TWLimits!$C$29)*(AM5/AL5)+(TWLimits!$C$30*(AG5/AH5)+TWLimits!$C$31))</f>
        <v>#DIV/0!</v>
      </c>
      <c r="CU5" s="101" t="e">
        <f>IF(AH5=0.0222,(TWLimits!$B$32*(AG5/AH5)+TWLimits!$B$33),(TWLimits!$C$32*(AG5/AH5)+TWLimits!$C$33))</f>
        <v>#DIV/0!</v>
      </c>
      <c r="CV5" s="101" t="e">
        <f t="shared" ref="CV5:CV13" si="157">((CS5^-CU5)+(CT5^-CU5))^(-1/CU5)</f>
        <v>#DIV/0!</v>
      </c>
      <c r="CW5" s="101" t="e">
        <f t="shared" ref="CW5:CW13" si="158">IF(AR5="6.5.2",CR5,CV5)</f>
        <v>#N/A</v>
      </c>
      <c r="CX5" s="80" t="e">
        <f t="shared" ref="CX5:CX13" si="159">1-(AE5/(2*BD5))</f>
        <v>#N/A</v>
      </c>
      <c r="CY5" s="80" t="e">
        <f t="shared" ref="CY5:CY13" si="160">1-((AP5/(2*BD5))*(1/((CM5/AK5)^2-1)))</f>
        <v>#N/A</v>
      </c>
      <c r="CZ5" s="80" t="e">
        <f t="shared" ref="CZ5:CZ13" ca="1" si="161">CW5*CX5*CY5*CQ5</f>
        <v>#N/A</v>
      </c>
      <c r="DA5" s="80" t="e">
        <f t="shared" ref="DA5:DA13" si="162">1-(0.61*AG5/AL5)/((1+(1.5*AI5/AG5))^2)</f>
        <v>#DIV/0!</v>
      </c>
      <c r="DB5" s="84" t="e">
        <f t="shared" ref="DB5:DB13" si="163">1-0.9*(AG5/AL5)</f>
        <v>#DIV/0!</v>
      </c>
      <c r="DD5" s="78" t="e">
        <f t="shared" ref="DD5:DD13" si="164">(PI()^2)*0.0005*(BD5/AE5)*(1-((AK5/AH5)^2))</f>
        <v>#N/A</v>
      </c>
      <c r="DE5" s="80" t="e">
        <f t="shared" ref="DE5:DE13" si="165">IF(DD5&gt;2.5,"TRUE","FALSE")</f>
        <v>#N/A</v>
      </c>
      <c r="DF5" s="80" t="str">
        <f t="shared" ref="DF5:DF13" si="166">IF(I5=0,"FALSE",IF(CH5&lt;10^5,"TRUE","FALSE"))</f>
        <v>FALSE</v>
      </c>
      <c r="DG5" s="84" t="e">
        <f t="shared" ref="DG5:DG13" si="167">IF((AND(DE5="TRUE",DF5="TRUE"))=TRUE,"Suppressed","Not Suppressed")</f>
        <v>#N/A</v>
      </c>
      <c r="DI5" s="78" t="e">
        <f t="shared" ref="DI5:DI13" si="168">LOG10(CH5/1300)</f>
        <v>#DIV/0!</v>
      </c>
      <c r="DJ5" s="80" t="e">
        <f t="shared" ref="DJ5:DJ13" si="169">0.0285*DI5^2-0.0496*DI5</f>
        <v>#DIV/0!</v>
      </c>
      <c r="DK5" s="80" t="e">
        <f t="shared" ref="DK5:DK13" si="170">IF(CH5=0,(AH5*BF5/(2*CI5)),IF(CH5&lt;=1300,(AH5*BF5/(2*CI5))*(1-(22*AF5)/(AH5*AE5*AD5))+(22*AF5/(AD5*AE5)),IF(CH5&lt;500000,(AH5*BF5/(2*CI5))*(1-(DJ5/CI5)*LOG10((AH5*BF5/(2*CI5*AD5)))),(AH5*BF5/(2*CI5)))))</f>
        <v>#DIV/0!</v>
      </c>
      <c r="DL5" s="205" t="e">
        <f t="shared" ref="DL5:DL13" si="171">IF(L5="Shielded",(16*AL5^2)/(3*PI()*AG5^2*(1-(AK5/AG5)^4))*(3*(1-((AN5/AL5)^2)))+2*((AH5/AG5)-1)*(1-(AN5/AL5)^3),(16*AL5^2)/(3*PI()*AG5^2*(1-(AK5/AG5)^4))*(1+(2*(AH5/AG5))))</f>
        <v>#DIV/0!</v>
      </c>
      <c r="DM5" s="205" t="e">
        <f t="shared" ref="DM5:DM13" si="172">IF(L5="Shielded",IF(AN5&lt;AL5-AM5,((16*AL5^2)/(PI()*AG5^2*(1-(AK5/AG5)^4))*(((AH5/AG5)+(1-(AH5/AG5))*(1-(AM5/AL5))^2)-(AN5/AL5)^2)),((16*AH5*AL5^2)/(PI()*AG5^3*(1-(AK5/AG5)^4))*(1-(AN5/AL5)^2))),(16*AL5^2)/(PI()*AG5^2*(1-(AK5/AG5)^4))*((AH5/AG5)+(1-(AH5/AG5))*(1-(AM5/AL5))^2))</f>
        <v>#DIV/0!</v>
      </c>
      <c r="DN5" s="80">
        <f t="shared" ref="DN5:DN13" si="173">AL5-AM5</f>
        <v>0</v>
      </c>
      <c r="DO5" s="205" t="e">
        <f t="shared" si="69"/>
        <v>#DIV/0!</v>
      </c>
      <c r="DP5" s="80" t="e">
        <f t="shared" ref="DP5:DP13" si="174">(1/2)*AE5*CK5*DK5^2</f>
        <v>#DIV/0!</v>
      </c>
      <c r="DQ5" s="80">
        <f t="shared" si="71"/>
        <v>1000</v>
      </c>
      <c r="DR5" s="80">
        <f t="shared" si="71"/>
        <v>1000</v>
      </c>
      <c r="DS5" s="101" t="e">
        <f t="shared" ref="DS5:DS13" si="175">IF(J5="Stepped",DM5*DR5*DP5/1000000,DL5*DR5*DP5/1000000)</f>
        <v>#DIV/0!</v>
      </c>
      <c r="DT5" s="101" t="e">
        <f t="shared" ref="DT5:DT13" si="176">AT5</f>
        <v>#N/A</v>
      </c>
      <c r="DU5" s="80" t="e">
        <f t="shared" ref="DU5:DU13" si="177">DT5*SQRT(DS5^2)</f>
        <v>#N/A</v>
      </c>
      <c r="DV5" s="80" t="e">
        <f t="shared" ref="DV5:DV13" ca="1" si="178">AY5/AZ5</f>
        <v>#N/A</v>
      </c>
      <c r="DW5" s="84" t="e">
        <f t="shared" ref="DW5:DW13" ca="1" si="179">DV5*1*BC5/1000000</f>
        <v>#N/A</v>
      </c>
      <c r="DY5" s="78" t="e">
        <f t="shared" ref="DY5:DY13" si="180">DO5*DR5*DP5/1000000</f>
        <v>#DIV/0!</v>
      </c>
      <c r="DZ5" s="80" t="e">
        <f t="shared" ref="DZ5:DZ13" si="181">IF((AH5/AJ5)&gt;33,2.2,(1.1+0.033*(AH5/AJ5)))</f>
        <v>#DIV/0!</v>
      </c>
      <c r="EA5" s="80" t="e">
        <f t="shared" ref="EA5:EA13" si="182">DY5*DZ5</f>
        <v>#DIV/0!</v>
      </c>
      <c r="EB5" s="80">
        <f t="shared" ref="EB5:EB13" si="183">AC5</f>
        <v>0</v>
      </c>
      <c r="EC5" s="80" t="e">
        <f t="shared" ref="EC5:EC13" si="184">AC5*(1+(AK5/AG5)^2)/(1-(AK5/AG5)^2)</f>
        <v>#DIV/0!</v>
      </c>
      <c r="ED5" s="80" t="e">
        <f t="shared" ref="ED5:ED13" si="185">AC5/(1-(AK5/AG5)^2)</f>
        <v>#DIV/0!</v>
      </c>
      <c r="EE5" s="80">
        <f t="shared" ref="EE5:EE13" si="186">0.5*AE5*CJ5*AD5^2</f>
        <v>0</v>
      </c>
      <c r="EF5" s="101" t="e">
        <f t="shared" ref="EF5:EF13" si="187">IF(J5="Stepped",DM5*EE5,DL5*EE5)</f>
        <v>#DIV/0!</v>
      </c>
      <c r="EG5" s="80" t="e">
        <f t="shared" ref="EG5:EG13" si="188">EF5+ED5</f>
        <v>#DIV/0!</v>
      </c>
      <c r="EI5" s="80" t="e">
        <f t="shared" ref="EI5:EI13" ca="1" si="189">1.5*BA5</f>
        <v>#N/A</v>
      </c>
      <c r="EK5" s="80">
        <f t="shared" ref="EK5:EK13" si="190">AC5</f>
        <v>0</v>
      </c>
      <c r="EL5" s="80" t="e">
        <f t="shared" ref="EL5:EL13" si="191">AC5*(1+(AK5/AH5)^2)/(1-(AK5/AH5)^2)</f>
        <v>#DIV/0!</v>
      </c>
      <c r="EM5" s="80" t="e">
        <f t="shared" ref="EM5:EM13" si="192">AC5/(1-(AK5/AH5)^2)</f>
        <v>#DIV/0!</v>
      </c>
      <c r="EN5" s="80">
        <f t="shared" ref="EN5:EN13" si="193">0.5*AE5*CJ5*AD5^2</f>
        <v>0</v>
      </c>
      <c r="EO5" s="101">
        <f t="shared" ref="EO5:EO13" si="194">IF(J5="Stepped",DO5*EN5,0)</f>
        <v>0</v>
      </c>
      <c r="EP5" s="80" t="e">
        <f t="shared" ref="EP5:EP13" si="195">EO5+EM5</f>
        <v>#DIV/0!</v>
      </c>
      <c r="EQ5" s="80" t="e">
        <f t="shared" ref="EQ5:EQ13" si="196">SQRT(((EP5-EK5)^2+(EP5-EL5)^2+(EL5-EK5)^2)/2)</f>
        <v>#DIV/0!</v>
      </c>
      <c r="ER5" s="80" t="e">
        <f t="shared" ref="ER5:ER13" ca="1" si="197">1.5*BA5</f>
        <v>#N/A</v>
      </c>
      <c r="ET5" s="78" t="e">
        <f t="shared" ref="ET5:ET13" ca="1" si="198">1/(1-BH5^2)</f>
        <v>#DIV/0!</v>
      </c>
      <c r="EU5" s="79" t="e">
        <f t="shared" ref="EU5:EU13" ca="1" si="199">(2*BG5)/BF5</f>
        <v>#DIV/0!</v>
      </c>
      <c r="EV5" s="79" t="e">
        <f t="shared" ref="EV5:EV13" ca="1" si="200">1/(1-EU5^2)</f>
        <v>#DIV/0!</v>
      </c>
      <c r="EW5" s="79">
        <f t="shared" ref="EW5:EW13" si="201">0.5*AE5*CK5*AD5^2</f>
        <v>0</v>
      </c>
      <c r="EX5" s="79">
        <f t="shared" ref="EX5:EX13" si="202">0.5*AE5*CL5*AD5^2</f>
        <v>0</v>
      </c>
      <c r="EY5" s="104" t="e">
        <f t="shared" ref="EY5:EY13" ca="1" si="203">IF(J5="Stepped",EV5*EW5*DM5,EV5*EW5*DL5)</f>
        <v>#DIV/0!</v>
      </c>
      <c r="EZ5" s="102" t="e">
        <f t="shared" ref="EZ5:EZ13" ca="1" si="204">IF(J5="Stepped",ET5*EX5*DM5,ET5*EX5*DL5)</f>
        <v>#DIV/0!</v>
      </c>
      <c r="FB5" s="101">
        <f t="shared" ref="FB5:FB13" si="205">IF(J5="Stepped",DO5*EV5*EW5,0)</f>
        <v>0</v>
      </c>
      <c r="FC5" s="101">
        <f t="shared" ref="FC5:FC13" si="206">IF(J5="Stepped",DO5*ET5*EX5,0)</f>
        <v>0</v>
      </c>
      <c r="FD5" s="80" t="e">
        <f t="shared" ref="FD5:FD13" si="207">DZ5*SQRT((FB5^2+FC5^2))/1000000</f>
        <v>#DIV/0!</v>
      </c>
      <c r="FE5" s="80" t="e">
        <f t="shared" ref="FE5:FE13" ca="1" si="208">0.66*BA5*(2.167/(2*AH5/(AH5-AK5))-0.0833)/1000000</f>
        <v>#N/A</v>
      </c>
      <c r="FF5" s="80" t="e">
        <f t="shared" ref="FF5:FF13" ca="1" si="209">(BA5/0.13*(AO5/AK5)^2)/1000000</f>
        <v>#N/A</v>
      </c>
      <c r="FG5" s="80">
        <f t="shared" si="106"/>
        <v>86</v>
      </c>
      <c r="FH5" s="80">
        <f t="shared" si="107"/>
        <v>87</v>
      </c>
    </row>
    <row r="6" spans="1:252" x14ac:dyDescent="0.2">
      <c r="B6" s="108">
        <v>3</v>
      </c>
      <c r="C6" s="270"/>
      <c r="D6" s="263"/>
      <c r="E6" s="108"/>
      <c r="F6" s="109"/>
      <c r="G6" s="109"/>
      <c r="H6" s="209"/>
      <c r="I6" s="110"/>
      <c r="J6" s="112"/>
      <c r="K6" s="177"/>
      <c r="L6" s="142"/>
      <c r="M6" s="108"/>
      <c r="N6" s="109"/>
      <c r="O6" s="177"/>
      <c r="P6" s="111"/>
      <c r="Q6" s="178"/>
      <c r="R6" s="177"/>
      <c r="S6" s="264"/>
      <c r="T6" s="111"/>
      <c r="U6" s="242"/>
      <c r="V6" s="177"/>
      <c r="W6" s="279"/>
      <c r="X6" s="261"/>
      <c r="Y6" s="236"/>
      <c r="Z6" s="142"/>
      <c r="AB6" s="100">
        <f t="shared" ca="1" si="108"/>
        <v>0</v>
      </c>
      <c r="AC6" s="101">
        <f t="shared" si="109"/>
        <v>0</v>
      </c>
      <c r="AD6" s="101">
        <f t="shared" si="110"/>
        <v>0</v>
      </c>
      <c r="AE6" s="101">
        <f t="shared" si="111"/>
        <v>0</v>
      </c>
      <c r="AF6" s="102">
        <f t="shared" si="112"/>
        <v>0</v>
      </c>
      <c r="AG6" s="80">
        <f t="shared" si="113"/>
        <v>0</v>
      </c>
      <c r="AH6" s="80">
        <f t="shared" si="114"/>
        <v>0</v>
      </c>
      <c r="AI6" s="80">
        <f t="shared" si="115"/>
        <v>0</v>
      </c>
      <c r="AJ6" s="80">
        <f t="shared" si="116"/>
        <v>0</v>
      </c>
      <c r="AK6" s="80">
        <f t="shared" si="117"/>
        <v>0</v>
      </c>
      <c r="AL6" s="80">
        <f t="shared" si="118"/>
        <v>0</v>
      </c>
      <c r="AM6" s="80">
        <f t="shared" si="119"/>
        <v>0</v>
      </c>
      <c r="AN6" s="80">
        <f t="shared" si="120"/>
        <v>0</v>
      </c>
      <c r="AO6" s="84">
        <f t="shared" si="121"/>
        <v>0</v>
      </c>
      <c r="AP6" s="84">
        <f t="shared" si="122"/>
        <v>0</v>
      </c>
      <c r="AR6" s="103" t="e">
        <f t="shared" si="123"/>
        <v>#N/A</v>
      </c>
      <c r="AS6" s="80" t="e">
        <f t="shared" si="8"/>
        <v>#N/A</v>
      </c>
      <c r="AT6" s="80" t="e">
        <f t="shared" si="9"/>
        <v>#N/A</v>
      </c>
      <c r="AU6" s="80" t="e">
        <f t="shared" si="10"/>
        <v>#N/A</v>
      </c>
      <c r="AV6" s="80" t="e">
        <f t="shared" si="124"/>
        <v>#N/A</v>
      </c>
      <c r="AW6" s="84" t="e">
        <f t="shared" si="125"/>
        <v>#N/A</v>
      </c>
      <c r="AY6" s="264" t="e">
        <f t="shared" ca="1" si="13"/>
        <v>#N/A</v>
      </c>
      <c r="AZ6" s="264" t="e">
        <f t="shared" ca="1" si="14"/>
        <v>#N/A</v>
      </c>
      <c r="BA6" s="264" t="e">
        <f t="shared" ca="1" si="15"/>
        <v>#N/A</v>
      </c>
      <c r="BB6" s="284" t="e">
        <f t="shared" si="16"/>
        <v>#N/A</v>
      </c>
      <c r="BC6" s="257" t="e">
        <f t="shared" si="126"/>
        <v>#N/A</v>
      </c>
      <c r="BD6" s="111" t="e">
        <f t="shared" si="18"/>
        <v>#N/A</v>
      </c>
      <c r="BE6" s="104"/>
      <c r="BF6" s="162" t="e">
        <f t="shared" ca="1" si="127"/>
        <v>#DIV/0!</v>
      </c>
      <c r="BG6" s="122" t="e">
        <f t="shared" si="128"/>
        <v>#DIV/0!</v>
      </c>
      <c r="BH6" s="122" t="e">
        <f t="shared" ca="1" si="129"/>
        <v>#DIV/0!</v>
      </c>
      <c r="BI6" s="122" t="e">
        <f t="shared" ca="1" si="130"/>
        <v>#N/A</v>
      </c>
      <c r="BJ6" s="122" t="e">
        <f t="shared" ca="1" si="131"/>
        <v>#N/A</v>
      </c>
      <c r="BK6" s="122" t="e">
        <f t="shared" si="132"/>
        <v>#DIV/0!</v>
      </c>
      <c r="BL6" s="122" t="e">
        <f t="shared" ca="1" si="133"/>
        <v>#N/A</v>
      </c>
      <c r="BM6" s="122" t="e">
        <f t="shared" ca="1" si="134"/>
        <v>#N/A</v>
      </c>
      <c r="BN6" s="122" t="e">
        <f t="shared" ca="1" si="135"/>
        <v>#N/A</v>
      </c>
      <c r="BO6" s="122" t="e">
        <f t="shared" ca="1" si="136"/>
        <v>#N/A</v>
      </c>
      <c r="BP6" s="122" t="e">
        <f t="shared" ca="1" si="137"/>
        <v>#N/A</v>
      </c>
      <c r="BQ6" s="195" t="str">
        <f t="shared" ca="1" si="30"/>
        <v>FAIL</v>
      </c>
      <c r="BR6" s="104"/>
      <c r="BS6" s="170" t="str">
        <f t="shared" ca="1" si="138"/>
        <v>FAIL</v>
      </c>
      <c r="BT6" s="172" t="str">
        <f t="shared" ca="1" si="139"/>
        <v>Frequency limit failed</v>
      </c>
      <c r="BU6" s="172" t="str">
        <f t="shared" ca="1" si="33"/>
        <v>FAIL</v>
      </c>
      <c r="BV6" s="172" t="str">
        <f t="shared" ca="1" si="34"/>
        <v>Failed lock-in resonance check</v>
      </c>
      <c r="BW6" s="171" t="str">
        <f t="shared" ca="1" si="140"/>
        <v>FAIL</v>
      </c>
      <c r="BX6" s="171" t="str">
        <f t="shared" ca="1" si="141"/>
        <v>FAIL</v>
      </c>
      <c r="BY6" s="171" t="str">
        <f t="shared" ca="1" si="142"/>
        <v>FAIL</v>
      </c>
      <c r="BZ6" s="172" t="str">
        <f t="shared" ca="1" si="143"/>
        <v>Steady state failed</v>
      </c>
      <c r="CA6" s="171" t="str">
        <f t="shared" ca="1" si="144"/>
        <v>FAIL</v>
      </c>
      <c r="CB6" s="171" t="str">
        <f t="shared" ca="1" si="145"/>
        <v>FAIL</v>
      </c>
      <c r="CC6" s="172" t="str">
        <f t="shared" ca="1" si="146"/>
        <v>Dynamic state failed</v>
      </c>
      <c r="CD6" s="171" t="str">
        <f t="shared" ca="1" si="147"/>
        <v>FAIL</v>
      </c>
      <c r="CE6" s="171" t="str">
        <f t="shared" ca="1" si="148"/>
        <v>FAIL</v>
      </c>
      <c r="CF6" s="173" t="str">
        <f t="shared" ca="1" si="149"/>
        <v>Pressure limit failed</v>
      </c>
      <c r="CG6" s="104"/>
      <c r="CH6" s="273" t="e">
        <f t="shared" si="150"/>
        <v>#DIV/0!</v>
      </c>
      <c r="CI6" s="275">
        <f t="shared" si="151"/>
        <v>0.22</v>
      </c>
      <c r="CJ6" s="101">
        <v>1.4</v>
      </c>
      <c r="CK6" s="101">
        <v>0.1</v>
      </c>
      <c r="CL6" s="101">
        <v>1</v>
      </c>
      <c r="CM6" s="102">
        <f t="shared" si="152"/>
        <v>0</v>
      </c>
      <c r="CN6" s="101"/>
      <c r="CO6" s="100">
        <f t="shared" si="153"/>
        <v>0</v>
      </c>
      <c r="CP6" s="101" t="e">
        <f t="shared" si="154"/>
        <v>#N/A</v>
      </c>
      <c r="CQ6" s="101" t="e">
        <f t="shared" ca="1" si="155"/>
        <v>#N/A</v>
      </c>
      <c r="CR6" s="101" t="e">
        <f t="shared" si="156"/>
        <v>#DIV/0!</v>
      </c>
      <c r="CS6" s="101" t="e">
        <f>IF(AH6=0.0222,(TWLimits!$B$24*(AG6/AH6)+TWLimits!$B$25)*(AM6/AL6)+(TWLimits!$B$26*(AG6/AH6)+TWLimits!$B$27),(TWLimits!$C$24*(AG6/AH6)+TWLimits!$C$25)*(AM6/AL6)+(TWLimits!$C$26*(AG6/AH6)+TWLimits!$C$27))</f>
        <v>#DIV/0!</v>
      </c>
      <c r="CT6" s="101" t="e">
        <f>IF(AH6=0.0222,(TWLimits!$B$28*(AG6/AH6)+TWLimits!$B$29)*(AM6/AL6)+(TWLimits!$B$30*(AG6/AH6)+TWLimits!$B$31),(TWLimits!$C$28*(AG6/AH6)+TWLimits!$C$29)*(AM6/AL6)+(TWLimits!$C$30*(AG6/AH6)+TWLimits!$C$31))</f>
        <v>#DIV/0!</v>
      </c>
      <c r="CU6" s="101" t="e">
        <f>IF(AH6=0.0222,(TWLimits!$B$32*(AG6/AH6)+TWLimits!$B$33),(TWLimits!$C$32*(AG6/AH6)+TWLimits!$C$33))</f>
        <v>#DIV/0!</v>
      </c>
      <c r="CV6" s="101" t="e">
        <f t="shared" si="157"/>
        <v>#DIV/0!</v>
      </c>
      <c r="CW6" s="101" t="e">
        <f t="shared" si="158"/>
        <v>#N/A</v>
      </c>
      <c r="CX6" s="80" t="e">
        <f t="shared" si="159"/>
        <v>#N/A</v>
      </c>
      <c r="CY6" s="80" t="e">
        <f t="shared" si="160"/>
        <v>#N/A</v>
      </c>
      <c r="CZ6" s="80" t="e">
        <f t="shared" ca="1" si="161"/>
        <v>#N/A</v>
      </c>
      <c r="DA6" s="80" t="e">
        <f t="shared" si="162"/>
        <v>#DIV/0!</v>
      </c>
      <c r="DB6" s="84" t="e">
        <f t="shared" si="163"/>
        <v>#DIV/0!</v>
      </c>
      <c r="DD6" s="78" t="e">
        <f t="shared" si="164"/>
        <v>#N/A</v>
      </c>
      <c r="DE6" s="80" t="e">
        <f t="shared" si="165"/>
        <v>#N/A</v>
      </c>
      <c r="DF6" s="80" t="str">
        <f t="shared" si="166"/>
        <v>FALSE</v>
      </c>
      <c r="DG6" s="84" t="e">
        <f t="shared" si="167"/>
        <v>#N/A</v>
      </c>
      <c r="DI6" s="78" t="e">
        <f t="shared" si="168"/>
        <v>#DIV/0!</v>
      </c>
      <c r="DJ6" s="80" t="e">
        <f t="shared" si="169"/>
        <v>#DIV/0!</v>
      </c>
      <c r="DK6" s="80" t="e">
        <f t="shared" si="170"/>
        <v>#DIV/0!</v>
      </c>
      <c r="DL6" s="205" t="e">
        <f t="shared" si="171"/>
        <v>#DIV/0!</v>
      </c>
      <c r="DM6" s="205" t="e">
        <f t="shared" si="172"/>
        <v>#DIV/0!</v>
      </c>
      <c r="DN6" s="80">
        <f t="shared" si="173"/>
        <v>0</v>
      </c>
      <c r="DO6" s="205" t="e">
        <f t="shared" si="69"/>
        <v>#DIV/0!</v>
      </c>
      <c r="DP6" s="80" t="e">
        <f t="shared" si="174"/>
        <v>#DIV/0!</v>
      </c>
      <c r="DQ6" s="80">
        <f t="shared" si="71"/>
        <v>1000</v>
      </c>
      <c r="DR6" s="80">
        <f t="shared" si="71"/>
        <v>1000</v>
      </c>
      <c r="DS6" s="101" t="e">
        <f t="shared" si="175"/>
        <v>#DIV/0!</v>
      </c>
      <c r="DT6" s="101" t="e">
        <f t="shared" si="176"/>
        <v>#N/A</v>
      </c>
      <c r="DU6" s="80" t="e">
        <f t="shared" si="177"/>
        <v>#N/A</v>
      </c>
      <c r="DV6" s="80" t="e">
        <f t="shared" ca="1" si="178"/>
        <v>#N/A</v>
      </c>
      <c r="DW6" s="84" t="e">
        <f t="shared" ca="1" si="179"/>
        <v>#N/A</v>
      </c>
      <c r="DY6" s="78" t="e">
        <f t="shared" si="180"/>
        <v>#DIV/0!</v>
      </c>
      <c r="DZ6" s="80" t="e">
        <f t="shared" si="181"/>
        <v>#DIV/0!</v>
      </c>
      <c r="EA6" s="80" t="e">
        <f t="shared" si="182"/>
        <v>#DIV/0!</v>
      </c>
      <c r="EB6" s="80">
        <f t="shared" si="183"/>
        <v>0</v>
      </c>
      <c r="EC6" s="80" t="e">
        <f t="shared" si="184"/>
        <v>#DIV/0!</v>
      </c>
      <c r="ED6" s="80" t="e">
        <f t="shared" si="185"/>
        <v>#DIV/0!</v>
      </c>
      <c r="EE6" s="80">
        <f t="shared" si="186"/>
        <v>0</v>
      </c>
      <c r="EF6" s="101" t="e">
        <f t="shared" si="187"/>
        <v>#DIV/0!</v>
      </c>
      <c r="EG6" s="80" t="e">
        <f t="shared" si="188"/>
        <v>#DIV/0!</v>
      </c>
      <c r="EI6" s="80" t="e">
        <f t="shared" ca="1" si="189"/>
        <v>#N/A</v>
      </c>
      <c r="EK6" s="80">
        <f t="shared" si="190"/>
        <v>0</v>
      </c>
      <c r="EL6" s="80" t="e">
        <f t="shared" si="191"/>
        <v>#DIV/0!</v>
      </c>
      <c r="EM6" s="80" t="e">
        <f t="shared" si="192"/>
        <v>#DIV/0!</v>
      </c>
      <c r="EN6" s="80">
        <f t="shared" si="193"/>
        <v>0</v>
      </c>
      <c r="EO6" s="101">
        <f t="shared" si="194"/>
        <v>0</v>
      </c>
      <c r="EP6" s="80" t="e">
        <f t="shared" si="195"/>
        <v>#DIV/0!</v>
      </c>
      <c r="EQ6" s="80" t="e">
        <f t="shared" si="196"/>
        <v>#DIV/0!</v>
      </c>
      <c r="ER6" s="80" t="e">
        <f t="shared" ca="1" si="197"/>
        <v>#N/A</v>
      </c>
      <c r="ET6" s="78" t="e">
        <f t="shared" ca="1" si="198"/>
        <v>#DIV/0!</v>
      </c>
      <c r="EU6" s="79" t="e">
        <f t="shared" ca="1" si="199"/>
        <v>#DIV/0!</v>
      </c>
      <c r="EV6" s="79" t="e">
        <f t="shared" ca="1" si="200"/>
        <v>#DIV/0!</v>
      </c>
      <c r="EW6" s="79">
        <f t="shared" si="201"/>
        <v>0</v>
      </c>
      <c r="EX6" s="79">
        <f t="shared" si="202"/>
        <v>0</v>
      </c>
      <c r="EY6" s="104" t="e">
        <f t="shared" ca="1" si="203"/>
        <v>#DIV/0!</v>
      </c>
      <c r="EZ6" s="102" t="e">
        <f t="shared" ca="1" si="204"/>
        <v>#DIV/0!</v>
      </c>
      <c r="FB6" s="101">
        <f t="shared" si="205"/>
        <v>0</v>
      </c>
      <c r="FC6" s="101">
        <f t="shared" si="206"/>
        <v>0</v>
      </c>
      <c r="FD6" s="80" t="e">
        <f t="shared" si="207"/>
        <v>#DIV/0!</v>
      </c>
      <c r="FE6" s="80" t="e">
        <f t="shared" ca="1" si="208"/>
        <v>#N/A</v>
      </c>
      <c r="FF6" s="80" t="e">
        <f t="shared" ca="1" si="209"/>
        <v>#N/A</v>
      </c>
      <c r="FG6" s="80">
        <f t="shared" si="106"/>
        <v>86</v>
      </c>
      <c r="FH6" s="80">
        <f t="shared" si="107"/>
        <v>87</v>
      </c>
    </row>
    <row r="7" spans="1:252" x14ac:dyDescent="0.2">
      <c r="B7" s="108">
        <v>4</v>
      </c>
      <c r="C7" s="270"/>
      <c r="D7" s="263"/>
      <c r="E7" s="108"/>
      <c r="F7" s="109"/>
      <c r="G7" s="109"/>
      <c r="H7" s="209"/>
      <c r="I7" s="110"/>
      <c r="J7" s="112"/>
      <c r="K7" s="177"/>
      <c r="L7" s="142"/>
      <c r="M7" s="108"/>
      <c r="N7" s="109"/>
      <c r="O7" s="177"/>
      <c r="P7" s="111"/>
      <c r="Q7" s="178"/>
      <c r="R7" s="177"/>
      <c r="S7" s="264"/>
      <c r="T7" s="111"/>
      <c r="U7" s="242"/>
      <c r="V7" s="177"/>
      <c r="W7" s="279"/>
      <c r="X7" s="261"/>
      <c r="Y7" s="236"/>
      <c r="Z7" s="142"/>
      <c r="AB7" s="100">
        <f t="shared" ca="1" si="108"/>
        <v>0</v>
      </c>
      <c r="AC7" s="101">
        <f t="shared" si="109"/>
        <v>0</v>
      </c>
      <c r="AD7" s="101">
        <f t="shared" si="110"/>
        <v>0</v>
      </c>
      <c r="AE7" s="101">
        <f t="shared" si="111"/>
        <v>0</v>
      </c>
      <c r="AF7" s="102">
        <f t="shared" si="112"/>
        <v>0</v>
      </c>
      <c r="AG7" s="80">
        <f t="shared" si="113"/>
        <v>0</v>
      </c>
      <c r="AH7" s="80">
        <f t="shared" si="114"/>
        <v>0</v>
      </c>
      <c r="AI7" s="80">
        <f t="shared" si="115"/>
        <v>0</v>
      </c>
      <c r="AJ7" s="80">
        <f t="shared" si="116"/>
        <v>0</v>
      </c>
      <c r="AK7" s="80">
        <f t="shared" si="117"/>
        <v>0</v>
      </c>
      <c r="AL7" s="80">
        <f t="shared" si="118"/>
        <v>0</v>
      </c>
      <c r="AM7" s="80">
        <f t="shared" si="119"/>
        <v>0</v>
      </c>
      <c r="AN7" s="80">
        <f t="shared" si="120"/>
        <v>0</v>
      </c>
      <c r="AO7" s="84">
        <f t="shared" si="121"/>
        <v>0</v>
      </c>
      <c r="AP7" s="84">
        <f t="shared" si="122"/>
        <v>0</v>
      </c>
      <c r="AR7" s="103" t="e">
        <f t="shared" si="123"/>
        <v>#N/A</v>
      </c>
      <c r="AS7" s="80" t="e">
        <f t="shared" si="8"/>
        <v>#N/A</v>
      </c>
      <c r="AT7" s="80" t="e">
        <f t="shared" si="9"/>
        <v>#N/A</v>
      </c>
      <c r="AU7" s="80" t="e">
        <f t="shared" si="10"/>
        <v>#N/A</v>
      </c>
      <c r="AV7" s="80" t="e">
        <f t="shared" si="124"/>
        <v>#N/A</v>
      </c>
      <c r="AW7" s="84" t="e">
        <f t="shared" si="125"/>
        <v>#N/A</v>
      </c>
      <c r="AY7" s="264" t="e">
        <f t="shared" ca="1" si="13"/>
        <v>#N/A</v>
      </c>
      <c r="AZ7" s="264" t="e">
        <f t="shared" ca="1" si="14"/>
        <v>#N/A</v>
      </c>
      <c r="BA7" s="264" t="e">
        <f t="shared" ca="1" si="15"/>
        <v>#N/A</v>
      </c>
      <c r="BB7" s="284" t="e">
        <f t="shared" si="16"/>
        <v>#N/A</v>
      </c>
      <c r="BC7" s="257" t="e">
        <f t="shared" si="126"/>
        <v>#N/A</v>
      </c>
      <c r="BD7" s="111" t="e">
        <f t="shared" si="18"/>
        <v>#N/A</v>
      </c>
      <c r="BE7" s="104"/>
      <c r="BF7" s="162" t="e">
        <f t="shared" ca="1" si="127"/>
        <v>#DIV/0!</v>
      </c>
      <c r="BG7" s="122" t="e">
        <f t="shared" si="128"/>
        <v>#DIV/0!</v>
      </c>
      <c r="BH7" s="122" t="e">
        <f t="shared" ca="1" si="129"/>
        <v>#DIV/0!</v>
      </c>
      <c r="BI7" s="122" t="e">
        <f t="shared" ca="1" si="130"/>
        <v>#N/A</v>
      </c>
      <c r="BJ7" s="122" t="e">
        <f t="shared" ca="1" si="131"/>
        <v>#N/A</v>
      </c>
      <c r="BK7" s="122" t="e">
        <f t="shared" si="132"/>
        <v>#DIV/0!</v>
      </c>
      <c r="BL7" s="122" t="e">
        <f t="shared" ca="1" si="133"/>
        <v>#N/A</v>
      </c>
      <c r="BM7" s="122" t="e">
        <f t="shared" ca="1" si="134"/>
        <v>#N/A</v>
      </c>
      <c r="BN7" s="122" t="e">
        <f t="shared" ca="1" si="135"/>
        <v>#N/A</v>
      </c>
      <c r="BO7" s="122" t="e">
        <f t="shared" ca="1" si="136"/>
        <v>#N/A</v>
      </c>
      <c r="BP7" s="122" t="e">
        <f t="shared" ca="1" si="137"/>
        <v>#N/A</v>
      </c>
      <c r="BQ7" s="195" t="str">
        <f t="shared" ca="1" si="30"/>
        <v>FAIL</v>
      </c>
      <c r="BR7" s="104"/>
      <c r="BS7" s="170" t="str">
        <f t="shared" ca="1" si="138"/>
        <v>FAIL</v>
      </c>
      <c r="BT7" s="172" t="str">
        <f t="shared" ca="1" si="139"/>
        <v>Frequency limit failed</v>
      </c>
      <c r="BU7" s="172" t="str">
        <f t="shared" ca="1" si="33"/>
        <v>FAIL</v>
      </c>
      <c r="BV7" s="172" t="str">
        <f t="shared" ca="1" si="34"/>
        <v>Failed lock-in resonance check</v>
      </c>
      <c r="BW7" s="171" t="str">
        <f t="shared" ca="1" si="140"/>
        <v>FAIL</v>
      </c>
      <c r="BX7" s="171" t="str">
        <f t="shared" ca="1" si="141"/>
        <v>FAIL</v>
      </c>
      <c r="BY7" s="171" t="str">
        <f t="shared" ca="1" si="142"/>
        <v>FAIL</v>
      </c>
      <c r="BZ7" s="172" t="str">
        <f t="shared" ca="1" si="143"/>
        <v>Steady state failed</v>
      </c>
      <c r="CA7" s="171" t="str">
        <f t="shared" ca="1" si="144"/>
        <v>FAIL</v>
      </c>
      <c r="CB7" s="171" t="str">
        <f t="shared" ca="1" si="145"/>
        <v>FAIL</v>
      </c>
      <c r="CC7" s="172" t="str">
        <f t="shared" ca="1" si="146"/>
        <v>Dynamic state failed</v>
      </c>
      <c r="CD7" s="171" t="str">
        <f t="shared" ca="1" si="147"/>
        <v>FAIL</v>
      </c>
      <c r="CE7" s="171" t="str">
        <f t="shared" ca="1" si="148"/>
        <v>FAIL</v>
      </c>
      <c r="CF7" s="173" t="str">
        <f t="shared" ca="1" si="149"/>
        <v>Pressure limit failed</v>
      </c>
      <c r="CG7" s="104"/>
      <c r="CH7" s="273" t="e">
        <f t="shared" si="150"/>
        <v>#DIV/0!</v>
      </c>
      <c r="CI7" s="275">
        <f t="shared" si="151"/>
        <v>0.22</v>
      </c>
      <c r="CJ7" s="101">
        <v>1.4</v>
      </c>
      <c r="CK7" s="101">
        <v>0.1</v>
      </c>
      <c r="CL7" s="101">
        <v>1</v>
      </c>
      <c r="CM7" s="102">
        <f t="shared" si="152"/>
        <v>0</v>
      </c>
      <c r="CN7" s="101"/>
      <c r="CO7" s="100">
        <f t="shared" si="153"/>
        <v>0</v>
      </c>
      <c r="CP7" s="101" t="e">
        <f t="shared" si="154"/>
        <v>#N/A</v>
      </c>
      <c r="CQ7" s="101" t="e">
        <f t="shared" ca="1" si="155"/>
        <v>#N/A</v>
      </c>
      <c r="CR7" s="101" t="e">
        <f t="shared" si="156"/>
        <v>#DIV/0!</v>
      </c>
      <c r="CS7" s="101" t="e">
        <f>IF(AH7=0.0222,(TWLimits!$B$24*(AG7/AH7)+TWLimits!$B$25)*(AM7/AL7)+(TWLimits!$B$26*(AG7/AH7)+TWLimits!$B$27),(TWLimits!$C$24*(AG7/AH7)+TWLimits!$C$25)*(AM7/AL7)+(TWLimits!$C$26*(AG7/AH7)+TWLimits!$C$27))</f>
        <v>#DIV/0!</v>
      </c>
      <c r="CT7" s="101" t="e">
        <f>IF(AH7=0.0222,(TWLimits!$B$28*(AG7/AH7)+TWLimits!$B$29)*(AM7/AL7)+(TWLimits!$B$30*(AG7/AH7)+TWLimits!$B$31),(TWLimits!$C$28*(AG7/AH7)+TWLimits!$C$29)*(AM7/AL7)+(TWLimits!$C$30*(AG7/AH7)+TWLimits!$C$31))</f>
        <v>#DIV/0!</v>
      </c>
      <c r="CU7" s="101" t="e">
        <f>IF(AH7=0.0222,(TWLimits!$B$32*(AG7/AH7)+TWLimits!$B$33),(TWLimits!$C$32*(AG7/AH7)+TWLimits!$C$33))</f>
        <v>#DIV/0!</v>
      </c>
      <c r="CV7" s="101" t="e">
        <f t="shared" si="157"/>
        <v>#DIV/0!</v>
      </c>
      <c r="CW7" s="101" t="e">
        <f t="shared" si="158"/>
        <v>#N/A</v>
      </c>
      <c r="CX7" s="80" t="e">
        <f t="shared" si="159"/>
        <v>#N/A</v>
      </c>
      <c r="CY7" s="80" t="e">
        <f t="shared" si="160"/>
        <v>#N/A</v>
      </c>
      <c r="CZ7" s="80" t="e">
        <f t="shared" ca="1" si="161"/>
        <v>#N/A</v>
      </c>
      <c r="DA7" s="80" t="e">
        <f t="shared" si="162"/>
        <v>#DIV/0!</v>
      </c>
      <c r="DB7" s="84" t="e">
        <f t="shared" si="163"/>
        <v>#DIV/0!</v>
      </c>
      <c r="DD7" s="78" t="e">
        <f t="shared" si="164"/>
        <v>#N/A</v>
      </c>
      <c r="DE7" s="80" t="e">
        <f t="shared" si="165"/>
        <v>#N/A</v>
      </c>
      <c r="DF7" s="80" t="str">
        <f t="shared" si="166"/>
        <v>FALSE</v>
      </c>
      <c r="DG7" s="84" t="e">
        <f t="shared" si="167"/>
        <v>#N/A</v>
      </c>
      <c r="DI7" s="78" t="e">
        <f t="shared" si="168"/>
        <v>#DIV/0!</v>
      </c>
      <c r="DJ7" s="80" t="e">
        <f t="shared" si="169"/>
        <v>#DIV/0!</v>
      </c>
      <c r="DK7" s="80" t="e">
        <f t="shared" si="170"/>
        <v>#DIV/0!</v>
      </c>
      <c r="DL7" s="205" t="e">
        <f t="shared" si="171"/>
        <v>#DIV/0!</v>
      </c>
      <c r="DM7" s="205" t="e">
        <f t="shared" si="172"/>
        <v>#DIV/0!</v>
      </c>
      <c r="DN7" s="80">
        <f t="shared" si="173"/>
        <v>0</v>
      </c>
      <c r="DO7" s="205" t="e">
        <f t="shared" si="69"/>
        <v>#DIV/0!</v>
      </c>
      <c r="DP7" s="80" t="e">
        <f t="shared" si="174"/>
        <v>#DIV/0!</v>
      </c>
      <c r="DQ7" s="80">
        <f t="shared" si="71"/>
        <v>1000</v>
      </c>
      <c r="DR7" s="80">
        <f t="shared" si="71"/>
        <v>1000</v>
      </c>
      <c r="DS7" s="101" t="e">
        <f t="shared" si="175"/>
        <v>#DIV/0!</v>
      </c>
      <c r="DT7" s="101" t="e">
        <f t="shared" si="176"/>
        <v>#N/A</v>
      </c>
      <c r="DU7" s="80" t="e">
        <f t="shared" si="177"/>
        <v>#N/A</v>
      </c>
      <c r="DV7" s="80" t="e">
        <f t="shared" ca="1" si="178"/>
        <v>#N/A</v>
      </c>
      <c r="DW7" s="84" t="e">
        <f t="shared" ca="1" si="179"/>
        <v>#N/A</v>
      </c>
      <c r="DY7" s="78" t="e">
        <f t="shared" si="180"/>
        <v>#DIV/0!</v>
      </c>
      <c r="DZ7" s="80" t="e">
        <f t="shared" si="181"/>
        <v>#DIV/0!</v>
      </c>
      <c r="EA7" s="80" t="e">
        <f t="shared" si="182"/>
        <v>#DIV/0!</v>
      </c>
      <c r="EB7" s="80">
        <f t="shared" si="183"/>
        <v>0</v>
      </c>
      <c r="EC7" s="80" t="e">
        <f t="shared" si="184"/>
        <v>#DIV/0!</v>
      </c>
      <c r="ED7" s="80" t="e">
        <f t="shared" si="185"/>
        <v>#DIV/0!</v>
      </c>
      <c r="EE7" s="80">
        <f t="shared" si="186"/>
        <v>0</v>
      </c>
      <c r="EF7" s="101" t="e">
        <f t="shared" si="187"/>
        <v>#DIV/0!</v>
      </c>
      <c r="EG7" s="80" t="e">
        <f t="shared" si="188"/>
        <v>#DIV/0!</v>
      </c>
      <c r="EI7" s="80" t="e">
        <f t="shared" ca="1" si="189"/>
        <v>#N/A</v>
      </c>
      <c r="EK7" s="80">
        <f t="shared" si="190"/>
        <v>0</v>
      </c>
      <c r="EL7" s="80" t="e">
        <f t="shared" si="191"/>
        <v>#DIV/0!</v>
      </c>
      <c r="EM7" s="80" t="e">
        <f t="shared" si="192"/>
        <v>#DIV/0!</v>
      </c>
      <c r="EN7" s="80">
        <f t="shared" si="193"/>
        <v>0</v>
      </c>
      <c r="EO7" s="101">
        <f t="shared" si="194"/>
        <v>0</v>
      </c>
      <c r="EP7" s="80" t="e">
        <f t="shared" si="195"/>
        <v>#DIV/0!</v>
      </c>
      <c r="EQ7" s="80" t="e">
        <f t="shared" si="196"/>
        <v>#DIV/0!</v>
      </c>
      <c r="ER7" s="80" t="e">
        <f t="shared" ca="1" si="197"/>
        <v>#N/A</v>
      </c>
      <c r="ET7" s="78" t="e">
        <f t="shared" ca="1" si="198"/>
        <v>#DIV/0!</v>
      </c>
      <c r="EU7" s="79" t="e">
        <f t="shared" ca="1" si="199"/>
        <v>#DIV/0!</v>
      </c>
      <c r="EV7" s="79" t="e">
        <f t="shared" ca="1" si="200"/>
        <v>#DIV/0!</v>
      </c>
      <c r="EW7" s="79">
        <f t="shared" si="201"/>
        <v>0</v>
      </c>
      <c r="EX7" s="79">
        <f t="shared" si="202"/>
        <v>0</v>
      </c>
      <c r="EY7" s="104" t="e">
        <f t="shared" ca="1" si="203"/>
        <v>#DIV/0!</v>
      </c>
      <c r="EZ7" s="102" t="e">
        <f t="shared" ca="1" si="204"/>
        <v>#DIV/0!</v>
      </c>
      <c r="FB7" s="101">
        <f t="shared" si="205"/>
        <v>0</v>
      </c>
      <c r="FC7" s="101">
        <f t="shared" si="206"/>
        <v>0</v>
      </c>
      <c r="FD7" s="80" t="e">
        <f t="shared" si="207"/>
        <v>#DIV/0!</v>
      </c>
      <c r="FE7" s="80" t="e">
        <f t="shared" ca="1" si="208"/>
        <v>#N/A</v>
      </c>
      <c r="FF7" s="80" t="e">
        <f t="shared" ca="1" si="209"/>
        <v>#N/A</v>
      </c>
      <c r="FG7" s="80">
        <f t="shared" si="106"/>
        <v>86</v>
      </c>
      <c r="FH7" s="80">
        <f t="shared" si="107"/>
        <v>87</v>
      </c>
    </row>
    <row r="8" spans="1:252" x14ac:dyDescent="0.2">
      <c r="B8" s="108">
        <v>5</v>
      </c>
      <c r="C8" s="270"/>
      <c r="D8" s="263"/>
      <c r="E8" s="108"/>
      <c r="F8" s="109"/>
      <c r="G8" s="109"/>
      <c r="H8" s="209"/>
      <c r="I8" s="110"/>
      <c r="J8" s="112"/>
      <c r="K8" s="177"/>
      <c r="L8" s="142"/>
      <c r="M8" s="108"/>
      <c r="N8" s="109"/>
      <c r="O8" s="177"/>
      <c r="P8" s="111"/>
      <c r="Q8" s="178"/>
      <c r="R8" s="177"/>
      <c r="S8" s="264"/>
      <c r="T8" s="111"/>
      <c r="U8" s="242"/>
      <c r="V8" s="177"/>
      <c r="W8" s="279"/>
      <c r="X8" s="261"/>
      <c r="Y8" s="236"/>
      <c r="Z8" s="142"/>
      <c r="AB8" s="100">
        <f t="shared" ca="1" si="108"/>
        <v>0</v>
      </c>
      <c r="AC8" s="101">
        <f t="shared" si="109"/>
        <v>0</v>
      </c>
      <c r="AD8" s="101">
        <f t="shared" si="110"/>
        <v>0</v>
      </c>
      <c r="AE8" s="101">
        <f t="shared" si="111"/>
        <v>0</v>
      </c>
      <c r="AF8" s="102">
        <f t="shared" si="112"/>
        <v>0</v>
      </c>
      <c r="AG8" s="80">
        <f t="shared" si="113"/>
        <v>0</v>
      </c>
      <c r="AH8" s="80">
        <f t="shared" si="114"/>
        <v>0</v>
      </c>
      <c r="AI8" s="80">
        <f t="shared" si="115"/>
        <v>0</v>
      </c>
      <c r="AJ8" s="80">
        <f t="shared" si="116"/>
        <v>0</v>
      </c>
      <c r="AK8" s="80">
        <f t="shared" si="117"/>
        <v>0</v>
      </c>
      <c r="AL8" s="80">
        <f t="shared" si="118"/>
        <v>0</v>
      </c>
      <c r="AM8" s="80">
        <f t="shared" si="119"/>
        <v>0</v>
      </c>
      <c r="AN8" s="80">
        <f t="shared" si="120"/>
        <v>0</v>
      </c>
      <c r="AO8" s="84">
        <f t="shared" si="121"/>
        <v>0</v>
      </c>
      <c r="AP8" s="84">
        <f t="shared" si="122"/>
        <v>0</v>
      </c>
      <c r="AR8" s="103" t="e">
        <f t="shared" si="123"/>
        <v>#N/A</v>
      </c>
      <c r="AS8" s="80" t="e">
        <f t="shared" si="8"/>
        <v>#N/A</v>
      </c>
      <c r="AT8" s="80" t="e">
        <f t="shared" si="9"/>
        <v>#N/A</v>
      </c>
      <c r="AU8" s="80" t="e">
        <f t="shared" si="10"/>
        <v>#N/A</v>
      </c>
      <c r="AV8" s="80" t="e">
        <f t="shared" si="124"/>
        <v>#N/A</v>
      </c>
      <c r="AW8" s="84" t="e">
        <f t="shared" si="125"/>
        <v>#N/A</v>
      </c>
      <c r="AY8" s="264" t="e">
        <f t="shared" ca="1" si="13"/>
        <v>#N/A</v>
      </c>
      <c r="AZ8" s="264" t="e">
        <f t="shared" ca="1" si="14"/>
        <v>#N/A</v>
      </c>
      <c r="BA8" s="264" t="e">
        <f t="shared" ca="1" si="15"/>
        <v>#N/A</v>
      </c>
      <c r="BB8" s="284" t="e">
        <f t="shared" si="16"/>
        <v>#N/A</v>
      </c>
      <c r="BC8" s="257" t="e">
        <f t="shared" si="126"/>
        <v>#N/A</v>
      </c>
      <c r="BD8" s="111" t="e">
        <f t="shared" si="18"/>
        <v>#N/A</v>
      </c>
      <c r="BE8" s="104"/>
      <c r="BF8" s="162" t="e">
        <f t="shared" ca="1" si="127"/>
        <v>#DIV/0!</v>
      </c>
      <c r="BG8" s="122" t="e">
        <f t="shared" si="128"/>
        <v>#DIV/0!</v>
      </c>
      <c r="BH8" s="122" t="e">
        <f t="shared" ca="1" si="129"/>
        <v>#DIV/0!</v>
      </c>
      <c r="BI8" s="122" t="e">
        <f t="shared" ca="1" si="130"/>
        <v>#N/A</v>
      </c>
      <c r="BJ8" s="122" t="e">
        <f t="shared" ca="1" si="131"/>
        <v>#N/A</v>
      </c>
      <c r="BK8" s="122" t="e">
        <f t="shared" si="132"/>
        <v>#DIV/0!</v>
      </c>
      <c r="BL8" s="122" t="e">
        <f t="shared" ca="1" si="133"/>
        <v>#N/A</v>
      </c>
      <c r="BM8" s="122" t="e">
        <f t="shared" ca="1" si="134"/>
        <v>#N/A</v>
      </c>
      <c r="BN8" s="122" t="e">
        <f t="shared" ca="1" si="135"/>
        <v>#N/A</v>
      </c>
      <c r="BO8" s="122" t="e">
        <f t="shared" ca="1" si="136"/>
        <v>#N/A</v>
      </c>
      <c r="BP8" s="122" t="e">
        <f t="shared" ca="1" si="137"/>
        <v>#N/A</v>
      </c>
      <c r="BQ8" s="195" t="str">
        <f t="shared" ca="1" si="30"/>
        <v>FAIL</v>
      </c>
      <c r="BR8" s="104"/>
      <c r="BS8" s="170" t="str">
        <f t="shared" ca="1" si="138"/>
        <v>FAIL</v>
      </c>
      <c r="BT8" s="172" t="str">
        <f t="shared" ca="1" si="139"/>
        <v>Frequency limit failed</v>
      </c>
      <c r="BU8" s="172" t="str">
        <f t="shared" ca="1" si="33"/>
        <v>FAIL</v>
      </c>
      <c r="BV8" s="172" t="str">
        <f t="shared" ca="1" si="34"/>
        <v>Failed lock-in resonance check</v>
      </c>
      <c r="BW8" s="171" t="str">
        <f t="shared" ca="1" si="140"/>
        <v>FAIL</v>
      </c>
      <c r="BX8" s="171" t="str">
        <f t="shared" ca="1" si="141"/>
        <v>FAIL</v>
      </c>
      <c r="BY8" s="171" t="str">
        <f t="shared" ca="1" si="142"/>
        <v>FAIL</v>
      </c>
      <c r="BZ8" s="172" t="str">
        <f t="shared" ca="1" si="143"/>
        <v>Steady state failed</v>
      </c>
      <c r="CA8" s="171" t="str">
        <f t="shared" ca="1" si="144"/>
        <v>FAIL</v>
      </c>
      <c r="CB8" s="171" t="str">
        <f t="shared" ca="1" si="145"/>
        <v>FAIL</v>
      </c>
      <c r="CC8" s="172" t="str">
        <f t="shared" ca="1" si="146"/>
        <v>Dynamic state failed</v>
      </c>
      <c r="CD8" s="171" t="str">
        <f t="shared" ca="1" si="147"/>
        <v>FAIL</v>
      </c>
      <c r="CE8" s="171" t="str">
        <f t="shared" ca="1" si="148"/>
        <v>FAIL</v>
      </c>
      <c r="CF8" s="173" t="str">
        <f t="shared" ca="1" si="149"/>
        <v>Pressure limit failed</v>
      </c>
      <c r="CG8" s="104"/>
      <c r="CH8" s="273" t="e">
        <f t="shared" si="150"/>
        <v>#DIV/0!</v>
      </c>
      <c r="CI8" s="275">
        <f t="shared" si="151"/>
        <v>0.22</v>
      </c>
      <c r="CJ8" s="101">
        <v>1.4</v>
      </c>
      <c r="CK8" s="101">
        <v>0.1</v>
      </c>
      <c r="CL8" s="101">
        <v>1</v>
      </c>
      <c r="CM8" s="102">
        <f t="shared" si="152"/>
        <v>0</v>
      </c>
      <c r="CN8" s="101"/>
      <c r="CO8" s="100">
        <f t="shared" si="153"/>
        <v>0</v>
      </c>
      <c r="CP8" s="101" t="e">
        <f t="shared" si="154"/>
        <v>#N/A</v>
      </c>
      <c r="CQ8" s="101" t="e">
        <f t="shared" ca="1" si="155"/>
        <v>#N/A</v>
      </c>
      <c r="CR8" s="101" t="e">
        <f t="shared" si="156"/>
        <v>#DIV/0!</v>
      </c>
      <c r="CS8" s="101" t="e">
        <f>IF(AH8=0.0222,(TWLimits!$B$24*(AG8/AH8)+TWLimits!$B$25)*(AM8/AL8)+(TWLimits!$B$26*(AG8/AH8)+TWLimits!$B$27),(TWLimits!$C$24*(AG8/AH8)+TWLimits!$C$25)*(AM8/AL8)+(TWLimits!$C$26*(AG8/AH8)+TWLimits!$C$27))</f>
        <v>#DIV/0!</v>
      </c>
      <c r="CT8" s="101" t="e">
        <f>IF(AH8=0.0222,(TWLimits!$B$28*(AG8/AH8)+TWLimits!$B$29)*(AM8/AL8)+(TWLimits!$B$30*(AG8/AH8)+TWLimits!$B$31),(TWLimits!$C$28*(AG8/AH8)+TWLimits!$C$29)*(AM8/AL8)+(TWLimits!$C$30*(AG8/AH8)+TWLimits!$C$31))</f>
        <v>#DIV/0!</v>
      </c>
      <c r="CU8" s="101" t="e">
        <f>IF(AH8=0.0222,(TWLimits!$B$32*(AG8/AH8)+TWLimits!$B$33),(TWLimits!$C$32*(AG8/AH8)+TWLimits!$C$33))</f>
        <v>#DIV/0!</v>
      </c>
      <c r="CV8" s="101" t="e">
        <f t="shared" si="157"/>
        <v>#DIV/0!</v>
      </c>
      <c r="CW8" s="101" t="e">
        <f t="shared" si="158"/>
        <v>#N/A</v>
      </c>
      <c r="CX8" s="80" t="e">
        <f t="shared" si="159"/>
        <v>#N/A</v>
      </c>
      <c r="CY8" s="80" t="e">
        <f t="shared" si="160"/>
        <v>#N/A</v>
      </c>
      <c r="CZ8" s="80" t="e">
        <f t="shared" ca="1" si="161"/>
        <v>#N/A</v>
      </c>
      <c r="DA8" s="80" t="e">
        <f t="shared" si="162"/>
        <v>#DIV/0!</v>
      </c>
      <c r="DB8" s="84" t="e">
        <f t="shared" si="163"/>
        <v>#DIV/0!</v>
      </c>
      <c r="DD8" s="78" t="e">
        <f t="shared" si="164"/>
        <v>#N/A</v>
      </c>
      <c r="DE8" s="80" t="e">
        <f t="shared" si="165"/>
        <v>#N/A</v>
      </c>
      <c r="DF8" s="80" t="str">
        <f t="shared" si="166"/>
        <v>FALSE</v>
      </c>
      <c r="DG8" s="84" t="e">
        <f t="shared" si="167"/>
        <v>#N/A</v>
      </c>
      <c r="DI8" s="78" t="e">
        <f t="shared" si="168"/>
        <v>#DIV/0!</v>
      </c>
      <c r="DJ8" s="80" t="e">
        <f t="shared" si="169"/>
        <v>#DIV/0!</v>
      </c>
      <c r="DK8" s="80" t="e">
        <f t="shared" si="170"/>
        <v>#DIV/0!</v>
      </c>
      <c r="DL8" s="205" t="e">
        <f t="shared" si="171"/>
        <v>#DIV/0!</v>
      </c>
      <c r="DM8" s="205" t="e">
        <f t="shared" si="172"/>
        <v>#DIV/0!</v>
      </c>
      <c r="DN8" s="80">
        <f t="shared" si="173"/>
        <v>0</v>
      </c>
      <c r="DO8" s="205" t="e">
        <f t="shared" si="69"/>
        <v>#DIV/0!</v>
      </c>
      <c r="DP8" s="80" t="e">
        <f t="shared" si="174"/>
        <v>#DIV/0!</v>
      </c>
      <c r="DQ8" s="80">
        <f t="shared" si="71"/>
        <v>1000</v>
      </c>
      <c r="DR8" s="80">
        <f t="shared" si="71"/>
        <v>1000</v>
      </c>
      <c r="DS8" s="101" t="e">
        <f t="shared" si="175"/>
        <v>#DIV/0!</v>
      </c>
      <c r="DT8" s="101" t="e">
        <f t="shared" si="176"/>
        <v>#N/A</v>
      </c>
      <c r="DU8" s="80" t="e">
        <f t="shared" si="177"/>
        <v>#N/A</v>
      </c>
      <c r="DV8" s="80" t="e">
        <f t="shared" ca="1" si="178"/>
        <v>#N/A</v>
      </c>
      <c r="DW8" s="84" t="e">
        <f t="shared" ca="1" si="179"/>
        <v>#N/A</v>
      </c>
      <c r="DY8" s="78" t="e">
        <f t="shared" si="180"/>
        <v>#DIV/0!</v>
      </c>
      <c r="DZ8" s="80" t="e">
        <f t="shared" si="181"/>
        <v>#DIV/0!</v>
      </c>
      <c r="EA8" s="80" t="e">
        <f t="shared" si="182"/>
        <v>#DIV/0!</v>
      </c>
      <c r="EB8" s="80">
        <f t="shared" si="183"/>
        <v>0</v>
      </c>
      <c r="EC8" s="80" t="e">
        <f t="shared" si="184"/>
        <v>#DIV/0!</v>
      </c>
      <c r="ED8" s="80" t="e">
        <f t="shared" si="185"/>
        <v>#DIV/0!</v>
      </c>
      <c r="EE8" s="80">
        <f t="shared" si="186"/>
        <v>0</v>
      </c>
      <c r="EF8" s="101" t="e">
        <f t="shared" si="187"/>
        <v>#DIV/0!</v>
      </c>
      <c r="EG8" s="80" t="e">
        <f t="shared" si="188"/>
        <v>#DIV/0!</v>
      </c>
      <c r="EI8" s="80" t="e">
        <f t="shared" ca="1" si="189"/>
        <v>#N/A</v>
      </c>
      <c r="EK8" s="80">
        <f t="shared" si="190"/>
        <v>0</v>
      </c>
      <c r="EL8" s="80" t="e">
        <f t="shared" si="191"/>
        <v>#DIV/0!</v>
      </c>
      <c r="EM8" s="80" t="e">
        <f t="shared" si="192"/>
        <v>#DIV/0!</v>
      </c>
      <c r="EN8" s="80">
        <f t="shared" si="193"/>
        <v>0</v>
      </c>
      <c r="EO8" s="101">
        <f t="shared" si="194"/>
        <v>0</v>
      </c>
      <c r="EP8" s="80" t="e">
        <f t="shared" si="195"/>
        <v>#DIV/0!</v>
      </c>
      <c r="EQ8" s="80" t="e">
        <f t="shared" si="196"/>
        <v>#DIV/0!</v>
      </c>
      <c r="ER8" s="80" t="e">
        <f t="shared" ca="1" si="197"/>
        <v>#N/A</v>
      </c>
      <c r="ET8" s="78" t="e">
        <f t="shared" ca="1" si="198"/>
        <v>#DIV/0!</v>
      </c>
      <c r="EU8" s="79" t="e">
        <f t="shared" ca="1" si="199"/>
        <v>#DIV/0!</v>
      </c>
      <c r="EV8" s="79" t="e">
        <f t="shared" ca="1" si="200"/>
        <v>#DIV/0!</v>
      </c>
      <c r="EW8" s="79">
        <f t="shared" si="201"/>
        <v>0</v>
      </c>
      <c r="EX8" s="79">
        <f t="shared" si="202"/>
        <v>0</v>
      </c>
      <c r="EY8" s="104" t="e">
        <f t="shared" ca="1" si="203"/>
        <v>#DIV/0!</v>
      </c>
      <c r="EZ8" s="102" t="e">
        <f t="shared" ca="1" si="204"/>
        <v>#DIV/0!</v>
      </c>
      <c r="FB8" s="101">
        <f t="shared" si="205"/>
        <v>0</v>
      </c>
      <c r="FC8" s="101">
        <f t="shared" si="206"/>
        <v>0</v>
      </c>
      <c r="FD8" s="80" t="e">
        <f t="shared" si="207"/>
        <v>#DIV/0!</v>
      </c>
      <c r="FE8" s="80" t="e">
        <f t="shared" ca="1" si="208"/>
        <v>#N/A</v>
      </c>
      <c r="FF8" s="80" t="e">
        <f t="shared" ca="1" si="209"/>
        <v>#N/A</v>
      </c>
      <c r="FG8" s="80">
        <f t="shared" si="106"/>
        <v>86</v>
      </c>
      <c r="FH8" s="80">
        <f t="shared" si="107"/>
        <v>87</v>
      </c>
    </row>
    <row r="9" spans="1:252" x14ac:dyDescent="0.2">
      <c r="B9" s="108">
        <v>6</v>
      </c>
      <c r="C9" s="270"/>
      <c r="D9" s="263"/>
      <c r="E9" s="108"/>
      <c r="F9" s="109"/>
      <c r="G9" s="109"/>
      <c r="H9" s="209"/>
      <c r="I9" s="110"/>
      <c r="J9" s="112"/>
      <c r="K9" s="177"/>
      <c r="L9" s="142"/>
      <c r="M9" s="108"/>
      <c r="N9" s="109"/>
      <c r="O9" s="177"/>
      <c r="P9" s="111"/>
      <c r="Q9" s="178"/>
      <c r="R9" s="177"/>
      <c r="S9" s="264"/>
      <c r="T9" s="111"/>
      <c r="U9" s="242"/>
      <c r="V9" s="177"/>
      <c r="W9" s="279"/>
      <c r="X9" s="261"/>
      <c r="Y9" s="236"/>
      <c r="Z9" s="142"/>
      <c r="AB9" s="100">
        <f t="shared" ca="1" si="108"/>
        <v>0</v>
      </c>
      <c r="AC9" s="101">
        <f t="shared" si="109"/>
        <v>0</v>
      </c>
      <c r="AD9" s="101">
        <f t="shared" si="110"/>
        <v>0</v>
      </c>
      <c r="AE9" s="101">
        <f t="shared" si="111"/>
        <v>0</v>
      </c>
      <c r="AF9" s="102">
        <f t="shared" si="112"/>
        <v>0</v>
      </c>
      <c r="AG9" s="80">
        <f t="shared" si="113"/>
        <v>0</v>
      </c>
      <c r="AH9" s="80">
        <f t="shared" si="114"/>
        <v>0</v>
      </c>
      <c r="AI9" s="80">
        <f t="shared" si="115"/>
        <v>0</v>
      </c>
      <c r="AJ9" s="80">
        <f t="shared" si="116"/>
        <v>0</v>
      </c>
      <c r="AK9" s="80">
        <f t="shared" si="117"/>
        <v>0</v>
      </c>
      <c r="AL9" s="80">
        <f t="shared" si="118"/>
        <v>0</v>
      </c>
      <c r="AM9" s="80">
        <f t="shared" si="119"/>
        <v>0</v>
      </c>
      <c r="AN9" s="80">
        <f t="shared" si="120"/>
        <v>0</v>
      </c>
      <c r="AO9" s="84">
        <f t="shared" si="121"/>
        <v>0</v>
      </c>
      <c r="AP9" s="84">
        <f t="shared" si="122"/>
        <v>0</v>
      </c>
      <c r="AR9" s="103" t="e">
        <f t="shared" si="123"/>
        <v>#N/A</v>
      </c>
      <c r="AS9" s="80" t="e">
        <f t="shared" si="8"/>
        <v>#N/A</v>
      </c>
      <c r="AT9" s="80" t="e">
        <f t="shared" si="9"/>
        <v>#N/A</v>
      </c>
      <c r="AU9" s="80" t="e">
        <f t="shared" si="10"/>
        <v>#N/A</v>
      </c>
      <c r="AV9" s="80" t="e">
        <f t="shared" si="124"/>
        <v>#N/A</v>
      </c>
      <c r="AW9" s="84" t="e">
        <f t="shared" si="125"/>
        <v>#N/A</v>
      </c>
      <c r="AY9" s="264" t="e">
        <f t="shared" ca="1" si="13"/>
        <v>#N/A</v>
      </c>
      <c r="AZ9" s="264" t="e">
        <f t="shared" ca="1" si="14"/>
        <v>#N/A</v>
      </c>
      <c r="BA9" s="264" t="e">
        <f t="shared" ca="1" si="15"/>
        <v>#N/A</v>
      </c>
      <c r="BB9" s="284" t="e">
        <f t="shared" si="16"/>
        <v>#N/A</v>
      </c>
      <c r="BC9" s="257" t="e">
        <f t="shared" si="126"/>
        <v>#N/A</v>
      </c>
      <c r="BD9" s="111" t="e">
        <f t="shared" si="18"/>
        <v>#N/A</v>
      </c>
      <c r="BE9" s="104"/>
      <c r="BF9" s="162" t="e">
        <f t="shared" ca="1" si="127"/>
        <v>#DIV/0!</v>
      </c>
      <c r="BG9" s="122" t="e">
        <f t="shared" si="128"/>
        <v>#DIV/0!</v>
      </c>
      <c r="BH9" s="122" t="e">
        <f t="shared" ca="1" si="129"/>
        <v>#DIV/0!</v>
      </c>
      <c r="BI9" s="122" t="e">
        <f t="shared" ca="1" si="130"/>
        <v>#N/A</v>
      </c>
      <c r="BJ9" s="122" t="e">
        <f t="shared" ca="1" si="131"/>
        <v>#N/A</v>
      </c>
      <c r="BK9" s="122" t="e">
        <f t="shared" si="132"/>
        <v>#DIV/0!</v>
      </c>
      <c r="BL9" s="122" t="e">
        <f t="shared" ca="1" si="133"/>
        <v>#N/A</v>
      </c>
      <c r="BM9" s="122" t="e">
        <f t="shared" ca="1" si="134"/>
        <v>#N/A</v>
      </c>
      <c r="BN9" s="122" t="e">
        <f t="shared" ca="1" si="135"/>
        <v>#N/A</v>
      </c>
      <c r="BO9" s="122" t="e">
        <f t="shared" ca="1" si="136"/>
        <v>#N/A</v>
      </c>
      <c r="BP9" s="122" t="e">
        <f t="shared" ca="1" si="137"/>
        <v>#N/A</v>
      </c>
      <c r="BQ9" s="195" t="str">
        <f t="shared" ca="1" si="30"/>
        <v>FAIL</v>
      </c>
      <c r="BR9" s="104"/>
      <c r="BS9" s="170" t="str">
        <f t="shared" ca="1" si="138"/>
        <v>FAIL</v>
      </c>
      <c r="BT9" s="172" t="str">
        <f t="shared" ca="1" si="139"/>
        <v>Frequency limit failed</v>
      </c>
      <c r="BU9" s="172" t="str">
        <f t="shared" ca="1" si="33"/>
        <v>FAIL</v>
      </c>
      <c r="BV9" s="172" t="str">
        <f t="shared" ca="1" si="34"/>
        <v>Failed lock-in resonance check</v>
      </c>
      <c r="BW9" s="171" t="str">
        <f t="shared" ca="1" si="140"/>
        <v>FAIL</v>
      </c>
      <c r="BX9" s="171" t="str">
        <f t="shared" ca="1" si="141"/>
        <v>FAIL</v>
      </c>
      <c r="BY9" s="171" t="str">
        <f t="shared" ca="1" si="142"/>
        <v>FAIL</v>
      </c>
      <c r="BZ9" s="172" t="str">
        <f t="shared" ca="1" si="143"/>
        <v>Steady state failed</v>
      </c>
      <c r="CA9" s="171" t="str">
        <f t="shared" ca="1" si="144"/>
        <v>FAIL</v>
      </c>
      <c r="CB9" s="171" t="str">
        <f t="shared" ca="1" si="145"/>
        <v>FAIL</v>
      </c>
      <c r="CC9" s="172" t="str">
        <f t="shared" ca="1" si="146"/>
        <v>Dynamic state failed</v>
      </c>
      <c r="CD9" s="171" t="str">
        <f t="shared" ca="1" si="147"/>
        <v>FAIL</v>
      </c>
      <c r="CE9" s="171" t="str">
        <f t="shared" ca="1" si="148"/>
        <v>FAIL</v>
      </c>
      <c r="CF9" s="173" t="str">
        <f t="shared" ca="1" si="149"/>
        <v>Pressure limit failed</v>
      </c>
      <c r="CG9" s="104"/>
      <c r="CH9" s="273" t="e">
        <f t="shared" si="150"/>
        <v>#DIV/0!</v>
      </c>
      <c r="CI9" s="275">
        <f t="shared" si="151"/>
        <v>0.22</v>
      </c>
      <c r="CJ9" s="101">
        <v>1.4</v>
      </c>
      <c r="CK9" s="101">
        <v>0.1</v>
      </c>
      <c r="CL9" s="101">
        <v>1</v>
      </c>
      <c r="CM9" s="102">
        <f t="shared" si="152"/>
        <v>0</v>
      </c>
      <c r="CN9" s="101"/>
      <c r="CO9" s="100">
        <f t="shared" si="153"/>
        <v>0</v>
      </c>
      <c r="CP9" s="101" t="e">
        <f t="shared" si="154"/>
        <v>#N/A</v>
      </c>
      <c r="CQ9" s="101" t="e">
        <f t="shared" ca="1" si="155"/>
        <v>#N/A</v>
      </c>
      <c r="CR9" s="101" t="e">
        <f t="shared" si="156"/>
        <v>#DIV/0!</v>
      </c>
      <c r="CS9" s="101" t="e">
        <f>IF(AH9=0.0222,(TWLimits!$B$24*(AG9/AH9)+TWLimits!$B$25)*(AM9/AL9)+(TWLimits!$B$26*(AG9/AH9)+TWLimits!$B$27),(TWLimits!$C$24*(AG9/AH9)+TWLimits!$C$25)*(AM9/AL9)+(TWLimits!$C$26*(AG9/AH9)+TWLimits!$C$27))</f>
        <v>#DIV/0!</v>
      </c>
      <c r="CT9" s="101" t="e">
        <f>IF(AH9=0.0222,(TWLimits!$B$28*(AG9/AH9)+TWLimits!$B$29)*(AM9/AL9)+(TWLimits!$B$30*(AG9/AH9)+TWLimits!$B$31),(TWLimits!$C$28*(AG9/AH9)+TWLimits!$C$29)*(AM9/AL9)+(TWLimits!$C$30*(AG9/AH9)+TWLimits!$C$31))</f>
        <v>#DIV/0!</v>
      </c>
      <c r="CU9" s="101" t="e">
        <f>IF(AH9=0.0222,(TWLimits!$B$32*(AG9/AH9)+TWLimits!$B$33),(TWLimits!$C$32*(AG9/AH9)+TWLimits!$C$33))</f>
        <v>#DIV/0!</v>
      </c>
      <c r="CV9" s="101" t="e">
        <f t="shared" si="157"/>
        <v>#DIV/0!</v>
      </c>
      <c r="CW9" s="101" t="e">
        <f t="shared" si="158"/>
        <v>#N/A</v>
      </c>
      <c r="CX9" s="80" t="e">
        <f t="shared" si="159"/>
        <v>#N/A</v>
      </c>
      <c r="CY9" s="80" t="e">
        <f t="shared" si="160"/>
        <v>#N/A</v>
      </c>
      <c r="CZ9" s="80" t="e">
        <f t="shared" ca="1" si="161"/>
        <v>#N/A</v>
      </c>
      <c r="DA9" s="80" t="e">
        <f t="shared" si="162"/>
        <v>#DIV/0!</v>
      </c>
      <c r="DB9" s="84" t="e">
        <f t="shared" si="163"/>
        <v>#DIV/0!</v>
      </c>
      <c r="DD9" s="78" t="e">
        <f t="shared" si="164"/>
        <v>#N/A</v>
      </c>
      <c r="DE9" s="80" t="e">
        <f t="shared" si="165"/>
        <v>#N/A</v>
      </c>
      <c r="DF9" s="80" t="str">
        <f t="shared" si="166"/>
        <v>FALSE</v>
      </c>
      <c r="DG9" s="84" t="e">
        <f t="shared" si="167"/>
        <v>#N/A</v>
      </c>
      <c r="DI9" s="78" t="e">
        <f t="shared" si="168"/>
        <v>#DIV/0!</v>
      </c>
      <c r="DJ9" s="80" t="e">
        <f t="shared" si="169"/>
        <v>#DIV/0!</v>
      </c>
      <c r="DK9" s="80" t="e">
        <f t="shared" si="170"/>
        <v>#DIV/0!</v>
      </c>
      <c r="DL9" s="205" t="e">
        <f t="shared" si="171"/>
        <v>#DIV/0!</v>
      </c>
      <c r="DM9" s="205" t="e">
        <f t="shared" si="172"/>
        <v>#DIV/0!</v>
      </c>
      <c r="DN9" s="80">
        <f t="shared" si="173"/>
        <v>0</v>
      </c>
      <c r="DO9" s="205" t="e">
        <f t="shared" si="69"/>
        <v>#DIV/0!</v>
      </c>
      <c r="DP9" s="80" t="e">
        <f t="shared" si="174"/>
        <v>#DIV/0!</v>
      </c>
      <c r="DQ9" s="80">
        <f t="shared" si="71"/>
        <v>1000</v>
      </c>
      <c r="DR9" s="80">
        <f t="shared" si="71"/>
        <v>1000</v>
      </c>
      <c r="DS9" s="101" t="e">
        <f t="shared" si="175"/>
        <v>#DIV/0!</v>
      </c>
      <c r="DT9" s="101" t="e">
        <f t="shared" si="176"/>
        <v>#N/A</v>
      </c>
      <c r="DU9" s="80" t="e">
        <f t="shared" si="177"/>
        <v>#N/A</v>
      </c>
      <c r="DV9" s="80" t="e">
        <f t="shared" ca="1" si="178"/>
        <v>#N/A</v>
      </c>
      <c r="DW9" s="84" t="e">
        <f t="shared" ca="1" si="179"/>
        <v>#N/A</v>
      </c>
      <c r="DY9" s="78" t="e">
        <f t="shared" si="180"/>
        <v>#DIV/0!</v>
      </c>
      <c r="DZ9" s="80" t="e">
        <f t="shared" si="181"/>
        <v>#DIV/0!</v>
      </c>
      <c r="EA9" s="80" t="e">
        <f t="shared" si="182"/>
        <v>#DIV/0!</v>
      </c>
      <c r="EB9" s="80">
        <f t="shared" si="183"/>
        <v>0</v>
      </c>
      <c r="EC9" s="80" t="e">
        <f t="shared" si="184"/>
        <v>#DIV/0!</v>
      </c>
      <c r="ED9" s="80" t="e">
        <f t="shared" si="185"/>
        <v>#DIV/0!</v>
      </c>
      <c r="EE9" s="80">
        <f t="shared" si="186"/>
        <v>0</v>
      </c>
      <c r="EF9" s="101" t="e">
        <f t="shared" si="187"/>
        <v>#DIV/0!</v>
      </c>
      <c r="EG9" s="80" t="e">
        <f t="shared" si="188"/>
        <v>#DIV/0!</v>
      </c>
      <c r="EI9" s="80" t="e">
        <f t="shared" ca="1" si="189"/>
        <v>#N/A</v>
      </c>
      <c r="EK9" s="80">
        <f t="shared" si="190"/>
        <v>0</v>
      </c>
      <c r="EL9" s="80" t="e">
        <f t="shared" si="191"/>
        <v>#DIV/0!</v>
      </c>
      <c r="EM9" s="80" t="e">
        <f t="shared" si="192"/>
        <v>#DIV/0!</v>
      </c>
      <c r="EN9" s="80">
        <f t="shared" si="193"/>
        <v>0</v>
      </c>
      <c r="EO9" s="101">
        <f t="shared" si="194"/>
        <v>0</v>
      </c>
      <c r="EP9" s="80" t="e">
        <f t="shared" si="195"/>
        <v>#DIV/0!</v>
      </c>
      <c r="EQ9" s="80" t="e">
        <f t="shared" si="196"/>
        <v>#DIV/0!</v>
      </c>
      <c r="ER9" s="80" t="e">
        <f t="shared" ca="1" si="197"/>
        <v>#N/A</v>
      </c>
      <c r="ET9" s="78" t="e">
        <f t="shared" ca="1" si="198"/>
        <v>#DIV/0!</v>
      </c>
      <c r="EU9" s="79" t="e">
        <f t="shared" ca="1" si="199"/>
        <v>#DIV/0!</v>
      </c>
      <c r="EV9" s="79" t="e">
        <f t="shared" ca="1" si="200"/>
        <v>#DIV/0!</v>
      </c>
      <c r="EW9" s="79">
        <f t="shared" si="201"/>
        <v>0</v>
      </c>
      <c r="EX9" s="79">
        <f t="shared" si="202"/>
        <v>0</v>
      </c>
      <c r="EY9" s="104" t="e">
        <f t="shared" ca="1" si="203"/>
        <v>#DIV/0!</v>
      </c>
      <c r="EZ9" s="102" t="e">
        <f t="shared" ca="1" si="204"/>
        <v>#DIV/0!</v>
      </c>
      <c r="FB9" s="101">
        <f t="shared" si="205"/>
        <v>0</v>
      </c>
      <c r="FC9" s="101">
        <f t="shared" si="206"/>
        <v>0</v>
      </c>
      <c r="FD9" s="80" t="e">
        <f t="shared" si="207"/>
        <v>#DIV/0!</v>
      </c>
      <c r="FE9" s="80" t="e">
        <f t="shared" ca="1" si="208"/>
        <v>#N/A</v>
      </c>
      <c r="FF9" s="80" t="e">
        <f t="shared" ca="1" si="209"/>
        <v>#N/A</v>
      </c>
      <c r="FG9" s="80">
        <f t="shared" si="106"/>
        <v>86</v>
      </c>
      <c r="FH9" s="80">
        <f t="shared" si="107"/>
        <v>87</v>
      </c>
    </row>
    <row r="10" spans="1:252" x14ac:dyDescent="0.2">
      <c r="B10" s="108">
        <v>7</v>
      </c>
      <c r="C10" s="270"/>
      <c r="D10" s="263"/>
      <c r="E10" s="108"/>
      <c r="F10" s="109"/>
      <c r="G10" s="109"/>
      <c r="H10" s="209"/>
      <c r="I10" s="110"/>
      <c r="J10" s="112"/>
      <c r="K10" s="177"/>
      <c r="L10" s="142"/>
      <c r="M10" s="108"/>
      <c r="N10" s="109"/>
      <c r="O10" s="177"/>
      <c r="P10" s="111"/>
      <c r="Q10" s="178"/>
      <c r="R10" s="177"/>
      <c r="S10" s="264"/>
      <c r="T10" s="111"/>
      <c r="U10" s="242"/>
      <c r="V10" s="177"/>
      <c r="W10" s="279"/>
      <c r="X10" s="261"/>
      <c r="Y10" s="236"/>
      <c r="Z10" s="142"/>
      <c r="AB10" s="100">
        <f t="shared" ca="1" si="108"/>
        <v>0</v>
      </c>
      <c r="AC10" s="101">
        <f t="shared" si="109"/>
        <v>0</v>
      </c>
      <c r="AD10" s="101">
        <f t="shared" si="110"/>
        <v>0</v>
      </c>
      <c r="AE10" s="101">
        <f t="shared" si="111"/>
        <v>0</v>
      </c>
      <c r="AF10" s="102">
        <f t="shared" si="112"/>
        <v>0</v>
      </c>
      <c r="AG10" s="80">
        <f t="shared" si="113"/>
        <v>0</v>
      </c>
      <c r="AH10" s="80">
        <f t="shared" si="114"/>
        <v>0</v>
      </c>
      <c r="AI10" s="80">
        <f t="shared" si="115"/>
        <v>0</v>
      </c>
      <c r="AJ10" s="80">
        <f t="shared" si="116"/>
        <v>0</v>
      </c>
      <c r="AK10" s="80">
        <f t="shared" si="117"/>
        <v>0</v>
      </c>
      <c r="AL10" s="80">
        <f t="shared" si="118"/>
        <v>0</v>
      </c>
      <c r="AM10" s="80">
        <f t="shared" si="119"/>
        <v>0</v>
      </c>
      <c r="AN10" s="80">
        <f t="shared" si="120"/>
        <v>0</v>
      </c>
      <c r="AO10" s="84">
        <f t="shared" si="121"/>
        <v>0</v>
      </c>
      <c r="AP10" s="84">
        <f t="shared" si="122"/>
        <v>0</v>
      </c>
      <c r="AR10" s="103" t="e">
        <f t="shared" si="123"/>
        <v>#N/A</v>
      </c>
      <c r="AS10" s="80" t="e">
        <f t="shared" si="8"/>
        <v>#N/A</v>
      </c>
      <c r="AT10" s="80" t="e">
        <f t="shared" si="9"/>
        <v>#N/A</v>
      </c>
      <c r="AU10" s="80" t="e">
        <f t="shared" si="10"/>
        <v>#N/A</v>
      </c>
      <c r="AV10" s="80" t="e">
        <f t="shared" si="124"/>
        <v>#N/A</v>
      </c>
      <c r="AW10" s="84" t="e">
        <f t="shared" si="125"/>
        <v>#N/A</v>
      </c>
      <c r="AY10" s="264" t="e">
        <f t="shared" ca="1" si="13"/>
        <v>#N/A</v>
      </c>
      <c r="AZ10" s="264" t="e">
        <f t="shared" ca="1" si="14"/>
        <v>#N/A</v>
      </c>
      <c r="BA10" s="264" t="e">
        <f t="shared" ca="1" si="15"/>
        <v>#N/A</v>
      </c>
      <c r="BB10" s="284" t="e">
        <f t="shared" si="16"/>
        <v>#N/A</v>
      </c>
      <c r="BC10" s="257" t="e">
        <f t="shared" si="126"/>
        <v>#N/A</v>
      </c>
      <c r="BD10" s="111" t="e">
        <f t="shared" si="18"/>
        <v>#N/A</v>
      </c>
      <c r="BE10" s="104"/>
      <c r="BF10" s="162" t="e">
        <f t="shared" ca="1" si="127"/>
        <v>#DIV/0!</v>
      </c>
      <c r="BG10" s="122" t="e">
        <f t="shared" si="128"/>
        <v>#DIV/0!</v>
      </c>
      <c r="BH10" s="122" t="e">
        <f t="shared" ca="1" si="129"/>
        <v>#DIV/0!</v>
      </c>
      <c r="BI10" s="122" t="e">
        <f t="shared" ca="1" si="130"/>
        <v>#N/A</v>
      </c>
      <c r="BJ10" s="122" t="e">
        <f t="shared" ca="1" si="131"/>
        <v>#N/A</v>
      </c>
      <c r="BK10" s="122" t="e">
        <f t="shared" si="132"/>
        <v>#DIV/0!</v>
      </c>
      <c r="BL10" s="122" t="e">
        <f t="shared" ca="1" si="133"/>
        <v>#N/A</v>
      </c>
      <c r="BM10" s="122" t="e">
        <f t="shared" ca="1" si="134"/>
        <v>#N/A</v>
      </c>
      <c r="BN10" s="122" t="e">
        <f t="shared" ca="1" si="135"/>
        <v>#N/A</v>
      </c>
      <c r="BO10" s="122" t="e">
        <f t="shared" ca="1" si="136"/>
        <v>#N/A</v>
      </c>
      <c r="BP10" s="122" t="e">
        <f t="shared" ca="1" si="137"/>
        <v>#N/A</v>
      </c>
      <c r="BQ10" s="195" t="str">
        <f t="shared" ca="1" si="30"/>
        <v>FAIL</v>
      </c>
      <c r="BR10" s="104"/>
      <c r="BS10" s="170" t="str">
        <f t="shared" ca="1" si="138"/>
        <v>FAIL</v>
      </c>
      <c r="BT10" s="172" t="str">
        <f t="shared" ca="1" si="139"/>
        <v>Frequency limit failed</v>
      </c>
      <c r="BU10" s="172" t="str">
        <f t="shared" ca="1" si="33"/>
        <v>FAIL</v>
      </c>
      <c r="BV10" s="172" t="str">
        <f t="shared" ca="1" si="34"/>
        <v>Failed lock-in resonance check</v>
      </c>
      <c r="BW10" s="171" t="str">
        <f t="shared" ca="1" si="140"/>
        <v>FAIL</v>
      </c>
      <c r="BX10" s="171" t="str">
        <f t="shared" ca="1" si="141"/>
        <v>FAIL</v>
      </c>
      <c r="BY10" s="171" t="str">
        <f t="shared" ca="1" si="142"/>
        <v>FAIL</v>
      </c>
      <c r="BZ10" s="172" t="str">
        <f t="shared" ca="1" si="143"/>
        <v>Steady state failed</v>
      </c>
      <c r="CA10" s="171" t="str">
        <f t="shared" ca="1" si="144"/>
        <v>FAIL</v>
      </c>
      <c r="CB10" s="171" t="str">
        <f t="shared" ca="1" si="145"/>
        <v>FAIL</v>
      </c>
      <c r="CC10" s="172" t="str">
        <f t="shared" ca="1" si="146"/>
        <v>Dynamic state failed</v>
      </c>
      <c r="CD10" s="171" t="str">
        <f t="shared" ca="1" si="147"/>
        <v>FAIL</v>
      </c>
      <c r="CE10" s="171" t="str">
        <f t="shared" ca="1" si="148"/>
        <v>FAIL</v>
      </c>
      <c r="CF10" s="173" t="str">
        <f t="shared" ca="1" si="149"/>
        <v>Pressure limit failed</v>
      </c>
      <c r="CG10" s="104"/>
      <c r="CH10" s="273" t="e">
        <f t="shared" si="150"/>
        <v>#DIV/0!</v>
      </c>
      <c r="CI10" s="275">
        <f t="shared" si="151"/>
        <v>0.22</v>
      </c>
      <c r="CJ10" s="101">
        <v>1.4</v>
      </c>
      <c r="CK10" s="101">
        <v>0.1</v>
      </c>
      <c r="CL10" s="101">
        <v>1</v>
      </c>
      <c r="CM10" s="102">
        <f t="shared" si="152"/>
        <v>0</v>
      </c>
      <c r="CN10" s="101"/>
      <c r="CO10" s="100">
        <f t="shared" si="153"/>
        <v>0</v>
      </c>
      <c r="CP10" s="101" t="e">
        <f t="shared" si="154"/>
        <v>#N/A</v>
      </c>
      <c r="CQ10" s="101" t="e">
        <f t="shared" ca="1" si="155"/>
        <v>#N/A</v>
      </c>
      <c r="CR10" s="101" t="e">
        <f t="shared" si="156"/>
        <v>#DIV/0!</v>
      </c>
      <c r="CS10" s="101" t="e">
        <f>IF(AH10=0.0222,(TWLimits!$B$24*(AG10/AH10)+TWLimits!$B$25)*(AM10/AL10)+(TWLimits!$B$26*(AG10/AH10)+TWLimits!$B$27),(TWLimits!$C$24*(AG10/AH10)+TWLimits!$C$25)*(AM10/AL10)+(TWLimits!$C$26*(AG10/AH10)+TWLimits!$C$27))</f>
        <v>#DIV/0!</v>
      </c>
      <c r="CT10" s="101" t="e">
        <f>IF(AH10=0.0222,(TWLimits!$B$28*(AG10/AH10)+TWLimits!$B$29)*(AM10/AL10)+(TWLimits!$B$30*(AG10/AH10)+TWLimits!$B$31),(TWLimits!$C$28*(AG10/AH10)+TWLimits!$C$29)*(AM10/AL10)+(TWLimits!$C$30*(AG10/AH10)+TWLimits!$C$31))</f>
        <v>#DIV/0!</v>
      </c>
      <c r="CU10" s="101" t="e">
        <f>IF(AH10=0.0222,(TWLimits!$B$32*(AG10/AH10)+TWLimits!$B$33),(TWLimits!$C$32*(AG10/AH10)+TWLimits!$C$33))</f>
        <v>#DIV/0!</v>
      </c>
      <c r="CV10" s="101" t="e">
        <f t="shared" si="157"/>
        <v>#DIV/0!</v>
      </c>
      <c r="CW10" s="101" t="e">
        <f t="shared" si="158"/>
        <v>#N/A</v>
      </c>
      <c r="CX10" s="80" t="e">
        <f t="shared" si="159"/>
        <v>#N/A</v>
      </c>
      <c r="CY10" s="80" t="e">
        <f t="shared" si="160"/>
        <v>#N/A</v>
      </c>
      <c r="CZ10" s="80" t="e">
        <f t="shared" ca="1" si="161"/>
        <v>#N/A</v>
      </c>
      <c r="DA10" s="80" t="e">
        <f t="shared" si="162"/>
        <v>#DIV/0!</v>
      </c>
      <c r="DB10" s="84" t="e">
        <f t="shared" si="163"/>
        <v>#DIV/0!</v>
      </c>
      <c r="DD10" s="78" t="e">
        <f t="shared" si="164"/>
        <v>#N/A</v>
      </c>
      <c r="DE10" s="80" t="e">
        <f t="shared" si="165"/>
        <v>#N/A</v>
      </c>
      <c r="DF10" s="80" t="str">
        <f t="shared" si="166"/>
        <v>FALSE</v>
      </c>
      <c r="DG10" s="84" t="e">
        <f t="shared" si="167"/>
        <v>#N/A</v>
      </c>
      <c r="DI10" s="78" t="e">
        <f t="shared" si="168"/>
        <v>#DIV/0!</v>
      </c>
      <c r="DJ10" s="80" t="e">
        <f t="shared" si="169"/>
        <v>#DIV/0!</v>
      </c>
      <c r="DK10" s="80" t="e">
        <f t="shared" si="170"/>
        <v>#DIV/0!</v>
      </c>
      <c r="DL10" s="205" t="e">
        <f t="shared" si="171"/>
        <v>#DIV/0!</v>
      </c>
      <c r="DM10" s="205" t="e">
        <f t="shared" si="172"/>
        <v>#DIV/0!</v>
      </c>
      <c r="DN10" s="80">
        <f t="shared" si="173"/>
        <v>0</v>
      </c>
      <c r="DO10" s="205" t="e">
        <f t="shared" si="69"/>
        <v>#DIV/0!</v>
      </c>
      <c r="DP10" s="80" t="e">
        <f t="shared" si="174"/>
        <v>#DIV/0!</v>
      </c>
      <c r="DQ10" s="80">
        <f t="shared" si="71"/>
        <v>1000</v>
      </c>
      <c r="DR10" s="80">
        <f t="shared" si="71"/>
        <v>1000</v>
      </c>
      <c r="DS10" s="101" t="e">
        <f t="shared" si="175"/>
        <v>#DIV/0!</v>
      </c>
      <c r="DT10" s="101" t="e">
        <f t="shared" si="176"/>
        <v>#N/A</v>
      </c>
      <c r="DU10" s="80" t="e">
        <f t="shared" si="177"/>
        <v>#N/A</v>
      </c>
      <c r="DV10" s="80" t="e">
        <f t="shared" ca="1" si="178"/>
        <v>#N/A</v>
      </c>
      <c r="DW10" s="84" t="e">
        <f t="shared" ca="1" si="179"/>
        <v>#N/A</v>
      </c>
      <c r="DY10" s="78" t="e">
        <f t="shared" si="180"/>
        <v>#DIV/0!</v>
      </c>
      <c r="DZ10" s="80" t="e">
        <f t="shared" si="181"/>
        <v>#DIV/0!</v>
      </c>
      <c r="EA10" s="80" t="e">
        <f t="shared" si="182"/>
        <v>#DIV/0!</v>
      </c>
      <c r="EB10" s="80">
        <f t="shared" si="183"/>
        <v>0</v>
      </c>
      <c r="EC10" s="80" t="e">
        <f t="shared" si="184"/>
        <v>#DIV/0!</v>
      </c>
      <c r="ED10" s="80" t="e">
        <f t="shared" si="185"/>
        <v>#DIV/0!</v>
      </c>
      <c r="EE10" s="80">
        <f t="shared" si="186"/>
        <v>0</v>
      </c>
      <c r="EF10" s="101" t="e">
        <f t="shared" si="187"/>
        <v>#DIV/0!</v>
      </c>
      <c r="EG10" s="80" t="e">
        <f t="shared" si="188"/>
        <v>#DIV/0!</v>
      </c>
      <c r="EI10" s="80" t="e">
        <f t="shared" ca="1" si="189"/>
        <v>#N/A</v>
      </c>
      <c r="EK10" s="80">
        <f t="shared" si="190"/>
        <v>0</v>
      </c>
      <c r="EL10" s="80" t="e">
        <f t="shared" si="191"/>
        <v>#DIV/0!</v>
      </c>
      <c r="EM10" s="80" t="e">
        <f t="shared" si="192"/>
        <v>#DIV/0!</v>
      </c>
      <c r="EN10" s="80">
        <f t="shared" si="193"/>
        <v>0</v>
      </c>
      <c r="EO10" s="101">
        <f t="shared" si="194"/>
        <v>0</v>
      </c>
      <c r="EP10" s="80" t="e">
        <f t="shared" si="195"/>
        <v>#DIV/0!</v>
      </c>
      <c r="EQ10" s="80" t="e">
        <f t="shared" si="196"/>
        <v>#DIV/0!</v>
      </c>
      <c r="ER10" s="80" t="e">
        <f t="shared" ca="1" si="197"/>
        <v>#N/A</v>
      </c>
      <c r="ET10" s="78" t="e">
        <f t="shared" ca="1" si="198"/>
        <v>#DIV/0!</v>
      </c>
      <c r="EU10" s="79" t="e">
        <f t="shared" ca="1" si="199"/>
        <v>#DIV/0!</v>
      </c>
      <c r="EV10" s="79" t="e">
        <f t="shared" ca="1" si="200"/>
        <v>#DIV/0!</v>
      </c>
      <c r="EW10" s="79">
        <f t="shared" si="201"/>
        <v>0</v>
      </c>
      <c r="EX10" s="79">
        <f t="shared" si="202"/>
        <v>0</v>
      </c>
      <c r="EY10" s="104" t="e">
        <f t="shared" ca="1" si="203"/>
        <v>#DIV/0!</v>
      </c>
      <c r="EZ10" s="102" t="e">
        <f t="shared" ca="1" si="204"/>
        <v>#DIV/0!</v>
      </c>
      <c r="FB10" s="101">
        <f t="shared" si="205"/>
        <v>0</v>
      </c>
      <c r="FC10" s="101">
        <f t="shared" si="206"/>
        <v>0</v>
      </c>
      <c r="FD10" s="80" t="e">
        <f t="shared" si="207"/>
        <v>#DIV/0!</v>
      </c>
      <c r="FE10" s="80" t="e">
        <f t="shared" ca="1" si="208"/>
        <v>#N/A</v>
      </c>
      <c r="FF10" s="80" t="e">
        <f t="shared" ca="1" si="209"/>
        <v>#N/A</v>
      </c>
      <c r="FG10" s="80">
        <f t="shared" si="106"/>
        <v>86</v>
      </c>
      <c r="FH10" s="80">
        <f t="shared" si="107"/>
        <v>87</v>
      </c>
    </row>
    <row r="11" spans="1:252" x14ac:dyDescent="0.2">
      <c r="B11" s="108">
        <v>8</v>
      </c>
      <c r="C11" s="270"/>
      <c r="D11" s="263"/>
      <c r="E11" s="108"/>
      <c r="F11" s="109"/>
      <c r="G11" s="109"/>
      <c r="H11" s="209"/>
      <c r="I11" s="110"/>
      <c r="J11" s="112"/>
      <c r="K11" s="177"/>
      <c r="L11" s="142"/>
      <c r="M11" s="108"/>
      <c r="N11" s="109"/>
      <c r="O11" s="177"/>
      <c r="P11" s="111"/>
      <c r="Q11" s="178"/>
      <c r="R11" s="177"/>
      <c r="S11" s="264"/>
      <c r="T11" s="111"/>
      <c r="U11" s="242"/>
      <c r="V11" s="177"/>
      <c r="W11" s="279"/>
      <c r="X11" s="261"/>
      <c r="Y11" s="236"/>
      <c r="Z11" s="142"/>
      <c r="AB11" s="100">
        <f t="shared" ca="1" si="108"/>
        <v>0</v>
      </c>
      <c r="AC11" s="101">
        <f t="shared" si="109"/>
        <v>0</v>
      </c>
      <c r="AD11" s="101">
        <f t="shared" si="110"/>
        <v>0</v>
      </c>
      <c r="AE11" s="101">
        <f t="shared" si="111"/>
        <v>0</v>
      </c>
      <c r="AF11" s="102">
        <f t="shared" si="112"/>
        <v>0</v>
      </c>
      <c r="AG11" s="80">
        <f t="shared" si="113"/>
        <v>0</v>
      </c>
      <c r="AH11" s="80">
        <f t="shared" si="114"/>
        <v>0</v>
      </c>
      <c r="AI11" s="80">
        <f t="shared" si="115"/>
        <v>0</v>
      </c>
      <c r="AJ11" s="80">
        <f t="shared" si="116"/>
        <v>0</v>
      </c>
      <c r="AK11" s="80">
        <f t="shared" si="117"/>
        <v>0</v>
      </c>
      <c r="AL11" s="80">
        <f t="shared" si="118"/>
        <v>0</v>
      </c>
      <c r="AM11" s="80">
        <f t="shared" si="119"/>
        <v>0</v>
      </c>
      <c r="AN11" s="80">
        <f t="shared" si="120"/>
        <v>0</v>
      </c>
      <c r="AO11" s="84">
        <f t="shared" si="121"/>
        <v>0</v>
      </c>
      <c r="AP11" s="84">
        <f t="shared" si="122"/>
        <v>0</v>
      </c>
      <c r="AR11" s="103" t="e">
        <f t="shared" si="123"/>
        <v>#N/A</v>
      </c>
      <c r="AS11" s="80" t="e">
        <f t="shared" si="8"/>
        <v>#N/A</v>
      </c>
      <c r="AT11" s="80" t="e">
        <f t="shared" si="9"/>
        <v>#N/A</v>
      </c>
      <c r="AU11" s="80" t="e">
        <f t="shared" si="10"/>
        <v>#N/A</v>
      </c>
      <c r="AV11" s="80" t="e">
        <f t="shared" si="124"/>
        <v>#N/A</v>
      </c>
      <c r="AW11" s="84" t="e">
        <f t="shared" si="125"/>
        <v>#N/A</v>
      </c>
      <c r="AY11" s="264" t="e">
        <f t="shared" ca="1" si="13"/>
        <v>#N/A</v>
      </c>
      <c r="AZ11" s="264" t="e">
        <f t="shared" ca="1" si="14"/>
        <v>#N/A</v>
      </c>
      <c r="BA11" s="264" t="e">
        <f t="shared" ca="1" si="15"/>
        <v>#N/A</v>
      </c>
      <c r="BB11" s="284" t="e">
        <f t="shared" si="16"/>
        <v>#N/A</v>
      </c>
      <c r="BC11" s="257" t="e">
        <f t="shared" si="126"/>
        <v>#N/A</v>
      </c>
      <c r="BD11" s="111" t="e">
        <f t="shared" si="18"/>
        <v>#N/A</v>
      </c>
      <c r="BE11" s="104"/>
      <c r="BF11" s="162" t="e">
        <f t="shared" ca="1" si="127"/>
        <v>#DIV/0!</v>
      </c>
      <c r="BG11" s="122" t="e">
        <f t="shared" si="128"/>
        <v>#DIV/0!</v>
      </c>
      <c r="BH11" s="122" t="e">
        <f t="shared" ca="1" si="129"/>
        <v>#DIV/0!</v>
      </c>
      <c r="BI11" s="122" t="e">
        <f t="shared" ca="1" si="130"/>
        <v>#N/A</v>
      </c>
      <c r="BJ11" s="122" t="e">
        <f t="shared" ca="1" si="131"/>
        <v>#N/A</v>
      </c>
      <c r="BK11" s="122" t="e">
        <f t="shared" si="132"/>
        <v>#DIV/0!</v>
      </c>
      <c r="BL11" s="122" t="e">
        <f t="shared" ca="1" si="133"/>
        <v>#N/A</v>
      </c>
      <c r="BM11" s="122" t="e">
        <f t="shared" ca="1" si="134"/>
        <v>#N/A</v>
      </c>
      <c r="BN11" s="122" t="e">
        <f t="shared" ca="1" si="135"/>
        <v>#N/A</v>
      </c>
      <c r="BO11" s="122" t="e">
        <f t="shared" ca="1" si="136"/>
        <v>#N/A</v>
      </c>
      <c r="BP11" s="122" t="e">
        <f t="shared" ca="1" si="137"/>
        <v>#N/A</v>
      </c>
      <c r="BQ11" s="195" t="str">
        <f t="shared" ca="1" si="30"/>
        <v>FAIL</v>
      </c>
      <c r="BR11" s="104"/>
      <c r="BS11" s="170" t="str">
        <f t="shared" ca="1" si="138"/>
        <v>FAIL</v>
      </c>
      <c r="BT11" s="172" t="str">
        <f t="shared" ca="1" si="139"/>
        <v>Frequency limit failed</v>
      </c>
      <c r="BU11" s="172" t="str">
        <f t="shared" ca="1" si="33"/>
        <v>FAIL</v>
      </c>
      <c r="BV11" s="172" t="str">
        <f t="shared" ca="1" si="34"/>
        <v>Failed lock-in resonance check</v>
      </c>
      <c r="BW11" s="171" t="str">
        <f t="shared" ca="1" si="140"/>
        <v>FAIL</v>
      </c>
      <c r="BX11" s="171" t="str">
        <f t="shared" ca="1" si="141"/>
        <v>FAIL</v>
      </c>
      <c r="BY11" s="171" t="str">
        <f t="shared" ca="1" si="142"/>
        <v>FAIL</v>
      </c>
      <c r="BZ11" s="172" t="str">
        <f t="shared" ca="1" si="143"/>
        <v>Steady state failed</v>
      </c>
      <c r="CA11" s="171" t="str">
        <f t="shared" ca="1" si="144"/>
        <v>FAIL</v>
      </c>
      <c r="CB11" s="171" t="str">
        <f t="shared" ca="1" si="145"/>
        <v>FAIL</v>
      </c>
      <c r="CC11" s="172" t="str">
        <f t="shared" ca="1" si="146"/>
        <v>Dynamic state failed</v>
      </c>
      <c r="CD11" s="171" t="str">
        <f t="shared" ca="1" si="147"/>
        <v>FAIL</v>
      </c>
      <c r="CE11" s="171" t="str">
        <f t="shared" ca="1" si="148"/>
        <v>FAIL</v>
      </c>
      <c r="CF11" s="173" t="str">
        <f t="shared" ca="1" si="149"/>
        <v>Pressure limit failed</v>
      </c>
      <c r="CG11" s="104"/>
      <c r="CH11" s="273" t="e">
        <f t="shared" si="150"/>
        <v>#DIV/0!</v>
      </c>
      <c r="CI11" s="275">
        <f t="shared" si="151"/>
        <v>0.22</v>
      </c>
      <c r="CJ11" s="101">
        <v>1.4</v>
      </c>
      <c r="CK11" s="101">
        <v>0.1</v>
      </c>
      <c r="CL11" s="101">
        <v>1</v>
      </c>
      <c r="CM11" s="102">
        <f t="shared" si="152"/>
        <v>0</v>
      </c>
      <c r="CN11" s="101"/>
      <c r="CO11" s="100">
        <f t="shared" si="153"/>
        <v>0</v>
      </c>
      <c r="CP11" s="101" t="e">
        <f t="shared" si="154"/>
        <v>#N/A</v>
      </c>
      <c r="CQ11" s="101" t="e">
        <f t="shared" ca="1" si="155"/>
        <v>#N/A</v>
      </c>
      <c r="CR11" s="101" t="e">
        <f t="shared" si="156"/>
        <v>#DIV/0!</v>
      </c>
      <c r="CS11" s="101" t="e">
        <f>IF(AH11=0.0222,(TWLimits!$B$24*(AG11/AH11)+TWLimits!$B$25)*(AM11/AL11)+(TWLimits!$B$26*(AG11/AH11)+TWLimits!$B$27),(TWLimits!$C$24*(AG11/AH11)+TWLimits!$C$25)*(AM11/AL11)+(TWLimits!$C$26*(AG11/AH11)+TWLimits!$C$27))</f>
        <v>#DIV/0!</v>
      </c>
      <c r="CT11" s="101" t="e">
        <f>IF(AH11=0.0222,(TWLimits!$B$28*(AG11/AH11)+TWLimits!$B$29)*(AM11/AL11)+(TWLimits!$B$30*(AG11/AH11)+TWLimits!$B$31),(TWLimits!$C$28*(AG11/AH11)+TWLimits!$C$29)*(AM11/AL11)+(TWLimits!$C$30*(AG11/AH11)+TWLimits!$C$31))</f>
        <v>#DIV/0!</v>
      </c>
      <c r="CU11" s="101" t="e">
        <f>IF(AH11=0.0222,(TWLimits!$B$32*(AG11/AH11)+TWLimits!$B$33),(TWLimits!$C$32*(AG11/AH11)+TWLimits!$C$33))</f>
        <v>#DIV/0!</v>
      </c>
      <c r="CV11" s="101" t="e">
        <f t="shared" si="157"/>
        <v>#DIV/0!</v>
      </c>
      <c r="CW11" s="101" t="e">
        <f t="shared" si="158"/>
        <v>#N/A</v>
      </c>
      <c r="CX11" s="80" t="e">
        <f t="shared" si="159"/>
        <v>#N/A</v>
      </c>
      <c r="CY11" s="80" t="e">
        <f t="shared" si="160"/>
        <v>#N/A</v>
      </c>
      <c r="CZ11" s="80" t="e">
        <f t="shared" ca="1" si="161"/>
        <v>#N/A</v>
      </c>
      <c r="DA11" s="80" t="e">
        <f t="shared" si="162"/>
        <v>#DIV/0!</v>
      </c>
      <c r="DB11" s="84" t="e">
        <f t="shared" si="163"/>
        <v>#DIV/0!</v>
      </c>
      <c r="DD11" s="78" t="e">
        <f t="shared" si="164"/>
        <v>#N/A</v>
      </c>
      <c r="DE11" s="80" t="e">
        <f t="shared" si="165"/>
        <v>#N/A</v>
      </c>
      <c r="DF11" s="80" t="str">
        <f t="shared" si="166"/>
        <v>FALSE</v>
      </c>
      <c r="DG11" s="84" t="e">
        <f t="shared" si="167"/>
        <v>#N/A</v>
      </c>
      <c r="DI11" s="78" t="e">
        <f t="shared" si="168"/>
        <v>#DIV/0!</v>
      </c>
      <c r="DJ11" s="80" t="e">
        <f t="shared" si="169"/>
        <v>#DIV/0!</v>
      </c>
      <c r="DK11" s="80" t="e">
        <f t="shared" si="170"/>
        <v>#DIV/0!</v>
      </c>
      <c r="DL11" s="205" t="e">
        <f t="shared" si="171"/>
        <v>#DIV/0!</v>
      </c>
      <c r="DM11" s="205" t="e">
        <f t="shared" si="172"/>
        <v>#DIV/0!</v>
      </c>
      <c r="DN11" s="80">
        <f t="shared" si="173"/>
        <v>0</v>
      </c>
      <c r="DO11" s="205" t="e">
        <f t="shared" si="69"/>
        <v>#DIV/0!</v>
      </c>
      <c r="DP11" s="80" t="e">
        <f t="shared" si="174"/>
        <v>#DIV/0!</v>
      </c>
      <c r="DQ11" s="80">
        <f t="shared" si="71"/>
        <v>1000</v>
      </c>
      <c r="DR11" s="80">
        <f t="shared" si="71"/>
        <v>1000</v>
      </c>
      <c r="DS11" s="101" t="e">
        <f t="shared" si="175"/>
        <v>#DIV/0!</v>
      </c>
      <c r="DT11" s="101" t="e">
        <f t="shared" si="176"/>
        <v>#N/A</v>
      </c>
      <c r="DU11" s="80" t="e">
        <f t="shared" si="177"/>
        <v>#N/A</v>
      </c>
      <c r="DV11" s="80" t="e">
        <f t="shared" ca="1" si="178"/>
        <v>#N/A</v>
      </c>
      <c r="DW11" s="84" t="e">
        <f t="shared" ca="1" si="179"/>
        <v>#N/A</v>
      </c>
      <c r="DY11" s="78" t="e">
        <f t="shared" si="180"/>
        <v>#DIV/0!</v>
      </c>
      <c r="DZ11" s="80" t="e">
        <f t="shared" si="181"/>
        <v>#DIV/0!</v>
      </c>
      <c r="EA11" s="80" t="e">
        <f t="shared" si="182"/>
        <v>#DIV/0!</v>
      </c>
      <c r="EB11" s="80">
        <f t="shared" si="183"/>
        <v>0</v>
      </c>
      <c r="EC11" s="80" t="e">
        <f t="shared" si="184"/>
        <v>#DIV/0!</v>
      </c>
      <c r="ED11" s="80" t="e">
        <f t="shared" si="185"/>
        <v>#DIV/0!</v>
      </c>
      <c r="EE11" s="80">
        <f t="shared" si="186"/>
        <v>0</v>
      </c>
      <c r="EF11" s="101" t="e">
        <f t="shared" si="187"/>
        <v>#DIV/0!</v>
      </c>
      <c r="EG11" s="80" t="e">
        <f t="shared" si="188"/>
        <v>#DIV/0!</v>
      </c>
      <c r="EI11" s="80" t="e">
        <f t="shared" ca="1" si="189"/>
        <v>#N/A</v>
      </c>
      <c r="EK11" s="80">
        <f t="shared" si="190"/>
        <v>0</v>
      </c>
      <c r="EL11" s="80" t="e">
        <f t="shared" si="191"/>
        <v>#DIV/0!</v>
      </c>
      <c r="EM11" s="80" t="e">
        <f t="shared" si="192"/>
        <v>#DIV/0!</v>
      </c>
      <c r="EN11" s="80">
        <f t="shared" si="193"/>
        <v>0</v>
      </c>
      <c r="EO11" s="101">
        <f t="shared" si="194"/>
        <v>0</v>
      </c>
      <c r="EP11" s="80" t="e">
        <f t="shared" si="195"/>
        <v>#DIV/0!</v>
      </c>
      <c r="EQ11" s="80" t="e">
        <f t="shared" si="196"/>
        <v>#DIV/0!</v>
      </c>
      <c r="ER11" s="80" t="e">
        <f t="shared" ca="1" si="197"/>
        <v>#N/A</v>
      </c>
      <c r="ET11" s="78" t="e">
        <f t="shared" ca="1" si="198"/>
        <v>#DIV/0!</v>
      </c>
      <c r="EU11" s="79" t="e">
        <f t="shared" ca="1" si="199"/>
        <v>#DIV/0!</v>
      </c>
      <c r="EV11" s="79" t="e">
        <f t="shared" ca="1" si="200"/>
        <v>#DIV/0!</v>
      </c>
      <c r="EW11" s="79">
        <f t="shared" si="201"/>
        <v>0</v>
      </c>
      <c r="EX11" s="79">
        <f t="shared" si="202"/>
        <v>0</v>
      </c>
      <c r="EY11" s="104" t="e">
        <f t="shared" ca="1" si="203"/>
        <v>#DIV/0!</v>
      </c>
      <c r="EZ11" s="102" t="e">
        <f t="shared" ca="1" si="204"/>
        <v>#DIV/0!</v>
      </c>
      <c r="FB11" s="101">
        <f t="shared" si="205"/>
        <v>0</v>
      </c>
      <c r="FC11" s="101">
        <f t="shared" si="206"/>
        <v>0</v>
      </c>
      <c r="FD11" s="80" t="e">
        <f t="shared" si="207"/>
        <v>#DIV/0!</v>
      </c>
      <c r="FE11" s="80" t="e">
        <f t="shared" ca="1" si="208"/>
        <v>#N/A</v>
      </c>
      <c r="FF11" s="80" t="e">
        <f t="shared" ca="1" si="209"/>
        <v>#N/A</v>
      </c>
      <c r="FG11" s="80">
        <f t="shared" si="106"/>
        <v>86</v>
      </c>
      <c r="FH11" s="80">
        <f t="shared" si="107"/>
        <v>87</v>
      </c>
    </row>
    <row r="12" spans="1:252" x14ac:dyDescent="0.2">
      <c r="B12" s="108">
        <v>9</v>
      </c>
      <c r="C12" s="270"/>
      <c r="D12" s="263"/>
      <c r="E12" s="108"/>
      <c r="F12" s="109"/>
      <c r="G12" s="109"/>
      <c r="H12" s="209"/>
      <c r="I12" s="110"/>
      <c r="J12" s="112"/>
      <c r="K12" s="177"/>
      <c r="L12" s="142"/>
      <c r="M12" s="108"/>
      <c r="N12" s="109"/>
      <c r="O12" s="177"/>
      <c r="P12" s="111"/>
      <c r="Q12" s="178"/>
      <c r="R12" s="177"/>
      <c r="S12" s="264"/>
      <c r="T12" s="111"/>
      <c r="U12" s="242"/>
      <c r="V12" s="177"/>
      <c r="W12" s="279"/>
      <c r="X12" s="261"/>
      <c r="Y12" s="236"/>
      <c r="Z12" s="142"/>
      <c r="AB12" s="100">
        <f t="shared" ca="1" si="108"/>
        <v>0</v>
      </c>
      <c r="AC12" s="101">
        <f t="shared" si="109"/>
        <v>0</v>
      </c>
      <c r="AD12" s="101">
        <f t="shared" si="110"/>
        <v>0</v>
      </c>
      <c r="AE12" s="101">
        <f t="shared" si="111"/>
        <v>0</v>
      </c>
      <c r="AF12" s="102">
        <f t="shared" si="112"/>
        <v>0</v>
      </c>
      <c r="AG12" s="80">
        <f t="shared" si="113"/>
        <v>0</v>
      </c>
      <c r="AH12" s="80">
        <f t="shared" si="114"/>
        <v>0</v>
      </c>
      <c r="AI12" s="80">
        <f t="shared" si="115"/>
        <v>0</v>
      </c>
      <c r="AJ12" s="80">
        <f t="shared" si="116"/>
        <v>0</v>
      </c>
      <c r="AK12" s="80">
        <f t="shared" si="117"/>
        <v>0</v>
      </c>
      <c r="AL12" s="80">
        <f t="shared" si="118"/>
        <v>0</v>
      </c>
      <c r="AM12" s="80">
        <f t="shared" si="119"/>
        <v>0</v>
      </c>
      <c r="AN12" s="80">
        <f t="shared" si="120"/>
        <v>0</v>
      </c>
      <c r="AO12" s="84">
        <f t="shared" si="121"/>
        <v>0</v>
      </c>
      <c r="AP12" s="84">
        <f t="shared" si="122"/>
        <v>0</v>
      </c>
      <c r="AR12" s="103" t="e">
        <f t="shared" si="123"/>
        <v>#N/A</v>
      </c>
      <c r="AS12" s="80" t="e">
        <f t="shared" si="8"/>
        <v>#N/A</v>
      </c>
      <c r="AT12" s="80" t="e">
        <f t="shared" si="9"/>
        <v>#N/A</v>
      </c>
      <c r="AU12" s="80" t="e">
        <f t="shared" si="10"/>
        <v>#N/A</v>
      </c>
      <c r="AV12" s="80" t="e">
        <f t="shared" si="124"/>
        <v>#N/A</v>
      </c>
      <c r="AW12" s="84" t="e">
        <f t="shared" si="125"/>
        <v>#N/A</v>
      </c>
      <c r="AY12" s="264" t="e">
        <f t="shared" ca="1" si="13"/>
        <v>#N/A</v>
      </c>
      <c r="AZ12" s="264" t="e">
        <f t="shared" ca="1" si="14"/>
        <v>#N/A</v>
      </c>
      <c r="BA12" s="264" t="e">
        <f t="shared" ca="1" si="15"/>
        <v>#N/A</v>
      </c>
      <c r="BB12" s="284" t="e">
        <f t="shared" si="16"/>
        <v>#N/A</v>
      </c>
      <c r="BC12" s="257" t="e">
        <f t="shared" si="126"/>
        <v>#N/A</v>
      </c>
      <c r="BD12" s="111" t="e">
        <f t="shared" si="18"/>
        <v>#N/A</v>
      </c>
      <c r="BE12" s="104"/>
      <c r="BF12" s="162" t="e">
        <f t="shared" ca="1" si="127"/>
        <v>#DIV/0!</v>
      </c>
      <c r="BG12" s="122" t="e">
        <f t="shared" si="128"/>
        <v>#DIV/0!</v>
      </c>
      <c r="BH12" s="122" t="e">
        <f t="shared" ca="1" si="129"/>
        <v>#DIV/0!</v>
      </c>
      <c r="BI12" s="122" t="e">
        <f t="shared" ca="1" si="130"/>
        <v>#N/A</v>
      </c>
      <c r="BJ12" s="122" t="e">
        <f t="shared" ca="1" si="131"/>
        <v>#N/A</v>
      </c>
      <c r="BK12" s="122" t="e">
        <f t="shared" si="132"/>
        <v>#DIV/0!</v>
      </c>
      <c r="BL12" s="122" t="e">
        <f t="shared" ca="1" si="133"/>
        <v>#N/A</v>
      </c>
      <c r="BM12" s="122" t="e">
        <f t="shared" ca="1" si="134"/>
        <v>#N/A</v>
      </c>
      <c r="BN12" s="122" t="e">
        <f t="shared" ca="1" si="135"/>
        <v>#N/A</v>
      </c>
      <c r="BO12" s="122" t="e">
        <f t="shared" ca="1" si="136"/>
        <v>#N/A</v>
      </c>
      <c r="BP12" s="122" t="e">
        <f t="shared" ca="1" si="137"/>
        <v>#N/A</v>
      </c>
      <c r="BQ12" s="195" t="str">
        <f t="shared" ca="1" si="30"/>
        <v>FAIL</v>
      </c>
      <c r="BR12" s="104"/>
      <c r="BS12" s="170" t="str">
        <f t="shared" ca="1" si="138"/>
        <v>FAIL</v>
      </c>
      <c r="BT12" s="172" t="str">
        <f t="shared" ca="1" si="139"/>
        <v>Frequency limit failed</v>
      </c>
      <c r="BU12" s="172" t="str">
        <f t="shared" ca="1" si="33"/>
        <v>FAIL</v>
      </c>
      <c r="BV12" s="172" t="str">
        <f t="shared" ca="1" si="34"/>
        <v>Failed lock-in resonance check</v>
      </c>
      <c r="BW12" s="171" t="str">
        <f t="shared" ca="1" si="140"/>
        <v>FAIL</v>
      </c>
      <c r="BX12" s="171" t="str">
        <f t="shared" ca="1" si="141"/>
        <v>FAIL</v>
      </c>
      <c r="BY12" s="171" t="str">
        <f t="shared" ca="1" si="142"/>
        <v>FAIL</v>
      </c>
      <c r="BZ12" s="172" t="str">
        <f t="shared" ca="1" si="143"/>
        <v>Steady state failed</v>
      </c>
      <c r="CA12" s="171" t="str">
        <f t="shared" ca="1" si="144"/>
        <v>FAIL</v>
      </c>
      <c r="CB12" s="171" t="str">
        <f t="shared" ca="1" si="145"/>
        <v>FAIL</v>
      </c>
      <c r="CC12" s="172" t="str">
        <f t="shared" ca="1" si="146"/>
        <v>Dynamic state failed</v>
      </c>
      <c r="CD12" s="171" t="str">
        <f t="shared" ca="1" si="147"/>
        <v>FAIL</v>
      </c>
      <c r="CE12" s="171" t="str">
        <f t="shared" ca="1" si="148"/>
        <v>FAIL</v>
      </c>
      <c r="CF12" s="173" t="str">
        <f t="shared" ca="1" si="149"/>
        <v>Pressure limit failed</v>
      </c>
      <c r="CG12" s="104"/>
      <c r="CH12" s="273" t="e">
        <f t="shared" si="150"/>
        <v>#DIV/0!</v>
      </c>
      <c r="CI12" s="275">
        <f t="shared" si="151"/>
        <v>0.22</v>
      </c>
      <c r="CJ12" s="101">
        <v>1.4</v>
      </c>
      <c r="CK12" s="101">
        <v>0.1</v>
      </c>
      <c r="CL12" s="101">
        <v>1</v>
      </c>
      <c r="CM12" s="102">
        <f t="shared" si="152"/>
        <v>0</v>
      </c>
      <c r="CN12" s="101"/>
      <c r="CO12" s="100">
        <f t="shared" si="153"/>
        <v>0</v>
      </c>
      <c r="CP12" s="101" t="e">
        <f t="shared" si="154"/>
        <v>#N/A</v>
      </c>
      <c r="CQ12" s="101" t="e">
        <f t="shared" ca="1" si="155"/>
        <v>#N/A</v>
      </c>
      <c r="CR12" s="101" t="e">
        <f t="shared" si="156"/>
        <v>#DIV/0!</v>
      </c>
      <c r="CS12" s="101" t="e">
        <f>IF(AH12=0.0222,(TWLimits!$B$24*(AG12/AH12)+TWLimits!$B$25)*(AM12/AL12)+(TWLimits!$B$26*(AG12/AH12)+TWLimits!$B$27),(TWLimits!$C$24*(AG12/AH12)+TWLimits!$C$25)*(AM12/AL12)+(TWLimits!$C$26*(AG12/AH12)+TWLimits!$C$27))</f>
        <v>#DIV/0!</v>
      </c>
      <c r="CT12" s="101" t="e">
        <f>IF(AH12=0.0222,(TWLimits!$B$28*(AG12/AH12)+TWLimits!$B$29)*(AM12/AL12)+(TWLimits!$B$30*(AG12/AH12)+TWLimits!$B$31),(TWLimits!$C$28*(AG12/AH12)+TWLimits!$C$29)*(AM12/AL12)+(TWLimits!$C$30*(AG12/AH12)+TWLimits!$C$31))</f>
        <v>#DIV/0!</v>
      </c>
      <c r="CU12" s="101" t="e">
        <f>IF(AH12=0.0222,(TWLimits!$B$32*(AG12/AH12)+TWLimits!$B$33),(TWLimits!$C$32*(AG12/AH12)+TWLimits!$C$33))</f>
        <v>#DIV/0!</v>
      </c>
      <c r="CV12" s="101" t="e">
        <f t="shared" si="157"/>
        <v>#DIV/0!</v>
      </c>
      <c r="CW12" s="101" t="e">
        <f t="shared" si="158"/>
        <v>#N/A</v>
      </c>
      <c r="CX12" s="80" t="e">
        <f t="shared" si="159"/>
        <v>#N/A</v>
      </c>
      <c r="CY12" s="80" t="e">
        <f t="shared" si="160"/>
        <v>#N/A</v>
      </c>
      <c r="CZ12" s="80" t="e">
        <f t="shared" ca="1" si="161"/>
        <v>#N/A</v>
      </c>
      <c r="DA12" s="80" t="e">
        <f t="shared" si="162"/>
        <v>#DIV/0!</v>
      </c>
      <c r="DB12" s="84" t="e">
        <f t="shared" si="163"/>
        <v>#DIV/0!</v>
      </c>
      <c r="DD12" s="78" t="e">
        <f t="shared" si="164"/>
        <v>#N/A</v>
      </c>
      <c r="DE12" s="80" t="e">
        <f t="shared" si="165"/>
        <v>#N/A</v>
      </c>
      <c r="DF12" s="80" t="str">
        <f t="shared" si="166"/>
        <v>FALSE</v>
      </c>
      <c r="DG12" s="84" t="e">
        <f t="shared" si="167"/>
        <v>#N/A</v>
      </c>
      <c r="DI12" s="78" t="e">
        <f t="shared" si="168"/>
        <v>#DIV/0!</v>
      </c>
      <c r="DJ12" s="80" t="e">
        <f t="shared" si="169"/>
        <v>#DIV/0!</v>
      </c>
      <c r="DK12" s="80" t="e">
        <f t="shared" si="170"/>
        <v>#DIV/0!</v>
      </c>
      <c r="DL12" s="205" t="e">
        <f t="shared" si="171"/>
        <v>#DIV/0!</v>
      </c>
      <c r="DM12" s="205" t="e">
        <f t="shared" si="172"/>
        <v>#DIV/0!</v>
      </c>
      <c r="DN12" s="80">
        <f t="shared" si="173"/>
        <v>0</v>
      </c>
      <c r="DO12" s="205" t="e">
        <f t="shared" si="69"/>
        <v>#DIV/0!</v>
      </c>
      <c r="DP12" s="80" t="e">
        <f t="shared" si="174"/>
        <v>#DIV/0!</v>
      </c>
      <c r="DQ12" s="80">
        <f t="shared" si="71"/>
        <v>1000</v>
      </c>
      <c r="DR12" s="80">
        <f t="shared" si="71"/>
        <v>1000</v>
      </c>
      <c r="DS12" s="101" t="e">
        <f t="shared" si="175"/>
        <v>#DIV/0!</v>
      </c>
      <c r="DT12" s="101" t="e">
        <f t="shared" si="176"/>
        <v>#N/A</v>
      </c>
      <c r="DU12" s="80" t="e">
        <f t="shared" si="177"/>
        <v>#N/A</v>
      </c>
      <c r="DV12" s="80" t="e">
        <f t="shared" ca="1" si="178"/>
        <v>#N/A</v>
      </c>
      <c r="DW12" s="84" t="e">
        <f t="shared" ca="1" si="179"/>
        <v>#N/A</v>
      </c>
      <c r="DY12" s="78" t="e">
        <f t="shared" si="180"/>
        <v>#DIV/0!</v>
      </c>
      <c r="DZ12" s="80" t="e">
        <f t="shared" si="181"/>
        <v>#DIV/0!</v>
      </c>
      <c r="EA12" s="80" t="e">
        <f t="shared" si="182"/>
        <v>#DIV/0!</v>
      </c>
      <c r="EB12" s="80">
        <f t="shared" si="183"/>
        <v>0</v>
      </c>
      <c r="EC12" s="80" t="e">
        <f t="shared" si="184"/>
        <v>#DIV/0!</v>
      </c>
      <c r="ED12" s="80" t="e">
        <f t="shared" si="185"/>
        <v>#DIV/0!</v>
      </c>
      <c r="EE12" s="80">
        <f t="shared" si="186"/>
        <v>0</v>
      </c>
      <c r="EF12" s="101" t="e">
        <f t="shared" si="187"/>
        <v>#DIV/0!</v>
      </c>
      <c r="EG12" s="80" t="e">
        <f t="shared" si="188"/>
        <v>#DIV/0!</v>
      </c>
      <c r="EI12" s="80" t="e">
        <f t="shared" ca="1" si="189"/>
        <v>#N/A</v>
      </c>
      <c r="EK12" s="80">
        <f t="shared" si="190"/>
        <v>0</v>
      </c>
      <c r="EL12" s="80" t="e">
        <f t="shared" si="191"/>
        <v>#DIV/0!</v>
      </c>
      <c r="EM12" s="80" t="e">
        <f t="shared" si="192"/>
        <v>#DIV/0!</v>
      </c>
      <c r="EN12" s="80">
        <f t="shared" si="193"/>
        <v>0</v>
      </c>
      <c r="EO12" s="101">
        <f t="shared" si="194"/>
        <v>0</v>
      </c>
      <c r="EP12" s="80" t="e">
        <f t="shared" si="195"/>
        <v>#DIV/0!</v>
      </c>
      <c r="EQ12" s="80" t="e">
        <f t="shared" si="196"/>
        <v>#DIV/0!</v>
      </c>
      <c r="ER12" s="80" t="e">
        <f t="shared" ca="1" si="197"/>
        <v>#N/A</v>
      </c>
      <c r="ET12" s="78" t="e">
        <f t="shared" ca="1" si="198"/>
        <v>#DIV/0!</v>
      </c>
      <c r="EU12" s="79" t="e">
        <f t="shared" ca="1" si="199"/>
        <v>#DIV/0!</v>
      </c>
      <c r="EV12" s="79" t="e">
        <f t="shared" ca="1" si="200"/>
        <v>#DIV/0!</v>
      </c>
      <c r="EW12" s="79">
        <f t="shared" si="201"/>
        <v>0</v>
      </c>
      <c r="EX12" s="79">
        <f t="shared" si="202"/>
        <v>0</v>
      </c>
      <c r="EY12" s="104" t="e">
        <f t="shared" ca="1" si="203"/>
        <v>#DIV/0!</v>
      </c>
      <c r="EZ12" s="102" t="e">
        <f t="shared" ca="1" si="204"/>
        <v>#DIV/0!</v>
      </c>
      <c r="FB12" s="101">
        <f t="shared" si="205"/>
        <v>0</v>
      </c>
      <c r="FC12" s="101">
        <f t="shared" si="206"/>
        <v>0</v>
      </c>
      <c r="FD12" s="80" t="e">
        <f t="shared" si="207"/>
        <v>#DIV/0!</v>
      </c>
      <c r="FE12" s="80" t="e">
        <f t="shared" ca="1" si="208"/>
        <v>#N/A</v>
      </c>
      <c r="FF12" s="80" t="e">
        <f t="shared" ca="1" si="209"/>
        <v>#N/A</v>
      </c>
      <c r="FG12" s="80">
        <f t="shared" si="106"/>
        <v>86</v>
      </c>
      <c r="FH12" s="80">
        <f t="shared" si="107"/>
        <v>87</v>
      </c>
    </row>
    <row r="13" spans="1:252" x14ac:dyDescent="0.2">
      <c r="B13" s="108">
        <v>10</v>
      </c>
      <c r="C13" s="270"/>
      <c r="D13" s="263"/>
      <c r="E13" s="108"/>
      <c r="F13" s="109"/>
      <c r="G13" s="109"/>
      <c r="H13" s="209"/>
      <c r="I13" s="110"/>
      <c r="J13" s="112"/>
      <c r="K13" s="177"/>
      <c r="L13" s="142"/>
      <c r="M13" s="108"/>
      <c r="N13" s="109"/>
      <c r="O13" s="177"/>
      <c r="P13" s="111"/>
      <c r="Q13" s="178"/>
      <c r="R13" s="177"/>
      <c r="S13" s="264"/>
      <c r="T13" s="111"/>
      <c r="U13" s="242"/>
      <c r="V13" s="177"/>
      <c r="W13" s="279"/>
      <c r="X13" s="261"/>
      <c r="Y13" s="236"/>
      <c r="Z13" s="142"/>
      <c r="AB13" s="100">
        <f t="shared" ca="1" si="108"/>
        <v>0</v>
      </c>
      <c r="AC13" s="101">
        <f t="shared" si="109"/>
        <v>0</v>
      </c>
      <c r="AD13" s="101">
        <f t="shared" si="110"/>
        <v>0</v>
      </c>
      <c r="AE13" s="101">
        <f t="shared" si="111"/>
        <v>0</v>
      </c>
      <c r="AF13" s="102">
        <f t="shared" si="112"/>
        <v>0</v>
      </c>
      <c r="AG13" s="80">
        <f t="shared" si="113"/>
        <v>0</v>
      </c>
      <c r="AH13" s="80">
        <f t="shared" si="114"/>
        <v>0</v>
      </c>
      <c r="AI13" s="80">
        <f t="shared" si="115"/>
        <v>0</v>
      </c>
      <c r="AJ13" s="80">
        <f t="shared" si="116"/>
        <v>0</v>
      </c>
      <c r="AK13" s="80">
        <f t="shared" si="117"/>
        <v>0</v>
      </c>
      <c r="AL13" s="80">
        <f t="shared" si="118"/>
        <v>0</v>
      </c>
      <c r="AM13" s="80">
        <f t="shared" si="119"/>
        <v>0</v>
      </c>
      <c r="AN13" s="80">
        <f t="shared" si="120"/>
        <v>0</v>
      </c>
      <c r="AO13" s="84">
        <f t="shared" si="121"/>
        <v>0</v>
      </c>
      <c r="AP13" s="84">
        <f t="shared" si="122"/>
        <v>0</v>
      </c>
      <c r="AR13" s="103" t="e">
        <f t="shared" si="123"/>
        <v>#N/A</v>
      </c>
      <c r="AS13" s="80" t="e">
        <f t="shared" si="8"/>
        <v>#N/A</v>
      </c>
      <c r="AT13" s="80" t="e">
        <f t="shared" si="9"/>
        <v>#N/A</v>
      </c>
      <c r="AU13" s="80" t="e">
        <f t="shared" si="10"/>
        <v>#N/A</v>
      </c>
      <c r="AV13" s="80" t="e">
        <f t="shared" si="124"/>
        <v>#N/A</v>
      </c>
      <c r="AW13" s="84" t="e">
        <f t="shared" si="125"/>
        <v>#N/A</v>
      </c>
      <c r="AY13" s="264" t="e">
        <f t="shared" ca="1" si="13"/>
        <v>#N/A</v>
      </c>
      <c r="AZ13" s="264" t="e">
        <f t="shared" ca="1" si="14"/>
        <v>#N/A</v>
      </c>
      <c r="BA13" s="264" t="e">
        <f t="shared" ca="1" si="15"/>
        <v>#N/A</v>
      </c>
      <c r="BB13" s="284" t="e">
        <f t="shared" si="16"/>
        <v>#N/A</v>
      </c>
      <c r="BC13" s="257" t="e">
        <f t="shared" si="126"/>
        <v>#N/A</v>
      </c>
      <c r="BD13" s="111" t="e">
        <f t="shared" si="18"/>
        <v>#N/A</v>
      </c>
      <c r="BE13" s="104"/>
      <c r="BF13" s="162" t="e">
        <f t="shared" ca="1" si="127"/>
        <v>#DIV/0!</v>
      </c>
      <c r="BG13" s="122" t="e">
        <f t="shared" si="128"/>
        <v>#DIV/0!</v>
      </c>
      <c r="BH13" s="122" t="e">
        <f t="shared" ca="1" si="129"/>
        <v>#DIV/0!</v>
      </c>
      <c r="BI13" s="122" t="e">
        <f t="shared" ca="1" si="130"/>
        <v>#N/A</v>
      </c>
      <c r="BJ13" s="122" t="e">
        <f t="shared" ca="1" si="131"/>
        <v>#N/A</v>
      </c>
      <c r="BK13" s="122" t="e">
        <f t="shared" si="132"/>
        <v>#DIV/0!</v>
      </c>
      <c r="BL13" s="122" t="e">
        <f t="shared" ca="1" si="133"/>
        <v>#N/A</v>
      </c>
      <c r="BM13" s="122" t="e">
        <f t="shared" ca="1" si="134"/>
        <v>#N/A</v>
      </c>
      <c r="BN13" s="122" t="e">
        <f t="shared" ca="1" si="135"/>
        <v>#N/A</v>
      </c>
      <c r="BO13" s="122" t="e">
        <f t="shared" ca="1" si="136"/>
        <v>#N/A</v>
      </c>
      <c r="BP13" s="122" t="e">
        <f t="shared" ca="1" si="137"/>
        <v>#N/A</v>
      </c>
      <c r="BQ13" s="195" t="str">
        <f t="shared" ca="1" si="30"/>
        <v>FAIL</v>
      </c>
      <c r="BR13" s="104"/>
      <c r="BS13" s="170" t="str">
        <f t="shared" ca="1" si="138"/>
        <v>FAIL</v>
      </c>
      <c r="BT13" s="172" t="str">
        <f t="shared" ca="1" si="139"/>
        <v>Frequency limit failed</v>
      </c>
      <c r="BU13" s="172" t="str">
        <f t="shared" ca="1" si="33"/>
        <v>FAIL</v>
      </c>
      <c r="BV13" s="172" t="str">
        <f t="shared" ca="1" si="34"/>
        <v>Failed lock-in resonance check</v>
      </c>
      <c r="BW13" s="171" t="str">
        <f t="shared" ca="1" si="140"/>
        <v>FAIL</v>
      </c>
      <c r="BX13" s="171" t="str">
        <f t="shared" ca="1" si="141"/>
        <v>FAIL</v>
      </c>
      <c r="BY13" s="171" t="str">
        <f t="shared" ca="1" si="142"/>
        <v>FAIL</v>
      </c>
      <c r="BZ13" s="172" t="str">
        <f t="shared" ca="1" si="143"/>
        <v>Steady state failed</v>
      </c>
      <c r="CA13" s="171" t="str">
        <f t="shared" ca="1" si="144"/>
        <v>FAIL</v>
      </c>
      <c r="CB13" s="171" t="str">
        <f t="shared" ca="1" si="145"/>
        <v>FAIL</v>
      </c>
      <c r="CC13" s="172" t="str">
        <f t="shared" ca="1" si="146"/>
        <v>Dynamic state failed</v>
      </c>
      <c r="CD13" s="171" t="str">
        <f t="shared" ca="1" si="147"/>
        <v>FAIL</v>
      </c>
      <c r="CE13" s="171" t="str">
        <f t="shared" ca="1" si="148"/>
        <v>FAIL</v>
      </c>
      <c r="CF13" s="173" t="str">
        <f t="shared" ca="1" si="149"/>
        <v>Pressure limit failed</v>
      </c>
      <c r="CG13" s="104"/>
      <c r="CH13" s="273" t="e">
        <f t="shared" si="150"/>
        <v>#DIV/0!</v>
      </c>
      <c r="CI13" s="275">
        <f t="shared" si="151"/>
        <v>0.22</v>
      </c>
      <c r="CJ13" s="101">
        <v>1.4</v>
      </c>
      <c r="CK13" s="101">
        <v>0.1</v>
      </c>
      <c r="CL13" s="101">
        <v>1</v>
      </c>
      <c r="CM13" s="102">
        <f t="shared" si="152"/>
        <v>0</v>
      </c>
      <c r="CN13" s="101"/>
      <c r="CO13" s="100">
        <f t="shared" si="153"/>
        <v>0</v>
      </c>
      <c r="CP13" s="101" t="e">
        <f t="shared" si="154"/>
        <v>#N/A</v>
      </c>
      <c r="CQ13" s="101" t="e">
        <f t="shared" ca="1" si="155"/>
        <v>#N/A</v>
      </c>
      <c r="CR13" s="101" t="e">
        <f t="shared" si="156"/>
        <v>#DIV/0!</v>
      </c>
      <c r="CS13" s="101" t="e">
        <f>IF(AH13=0.0222,(TWLimits!$B$24*(AG13/AH13)+TWLimits!$B$25)*(AM13/AL13)+(TWLimits!$B$26*(AG13/AH13)+TWLimits!$B$27),(TWLimits!$C$24*(AG13/AH13)+TWLimits!$C$25)*(AM13/AL13)+(TWLimits!$C$26*(AG13/AH13)+TWLimits!$C$27))</f>
        <v>#DIV/0!</v>
      </c>
      <c r="CT13" s="101" t="e">
        <f>IF(AH13=0.0222,(TWLimits!$B$28*(AG13/AH13)+TWLimits!$B$29)*(AM13/AL13)+(TWLimits!$B$30*(AG13/AH13)+TWLimits!$B$31),(TWLimits!$C$28*(AG13/AH13)+TWLimits!$C$29)*(AM13/AL13)+(TWLimits!$C$30*(AG13/AH13)+TWLimits!$C$31))</f>
        <v>#DIV/0!</v>
      </c>
      <c r="CU13" s="101" t="e">
        <f>IF(AH13=0.0222,(TWLimits!$B$32*(AG13/AH13)+TWLimits!$B$33),(TWLimits!$C$32*(AG13/AH13)+TWLimits!$C$33))</f>
        <v>#DIV/0!</v>
      </c>
      <c r="CV13" s="101" t="e">
        <f t="shared" si="157"/>
        <v>#DIV/0!</v>
      </c>
      <c r="CW13" s="101" t="e">
        <f t="shared" si="158"/>
        <v>#N/A</v>
      </c>
      <c r="CX13" s="80" t="e">
        <f t="shared" si="159"/>
        <v>#N/A</v>
      </c>
      <c r="CY13" s="80" t="e">
        <f t="shared" si="160"/>
        <v>#N/A</v>
      </c>
      <c r="CZ13" s="80" t="e">
        <f t="shared" ca="1" si="161"/>
        <v>#N/A</v>
      </c>
      <c r="DA13" s="80" t="e">
        <f t="shared" si="162"/>
        <v>#DIV/0!</v>
      </c>
      <c r="DB13" s="84" t="e">
        <f t="shared" si="163"/>
        <v>#DIV/0!</v>
      </c>
      <c r="DD13" s="78" t="e">
        <f t="shared" si="164"/>
        <v>#N/A</v>
      </c>
      <c r="DE13" s="80" t="e">
        <f t="shared" si="165"/>
        <v>#N/A</v>
      </c>
      <c r="DF13" s="80" t="str">
        <f t="shared" si="166"/>
        <v>FALSE</v>
      </c>
      <c r="DG13" s="84" t="e">
        <f t="shared" si="167"/>
        <v>#N/A</v>
      </c>
      <c r="DI13" s="78" t="e">
        <f t="shared" si="168"/>
        <v>#DIV/0!</v>
      </c>
      <c r="DJ13" s="80" t="e">
        <f t="shared" si="169"/>
        <v>#DIV/0!</v>
      </c>
      <c r="DK13" s="80" t="e">
        <f t="shared" si="170"/>
        <v>#DIV/0!</v>
      </c>
      <c r="DL13" s="205" t="e">
        <f t="shared" si="171"/>
        <v>#DIV/0!</v>
      </c>
      <c r="DM13" s="205" t="e">
        <f t="shared" si="172"/>
        <v>#DIV/0!</v>
      </c>
      <c r="DN13" s="80">
        <f t="shared" si="173"/>
        <v>0</v>
      </c>
      <c r="DO13" s="205" t="e">
        <f t="shared" si="69"/>
        <v>#DIV/0!</v>
      </c>
      <c r="DP13" s="80" t="e">
        <f t="shared" si="174"/>
        <v>#DIV/0!</v>
      </c>
      <c r="DQ13" s="80">
        <f t="shared" si="71"/>
        <v>1000</v>
      </c>
      <c r="DR13" s="80">
        <f t="shared" si="71"/>
        <v>1000</v>
      </c>
      <c r="DS13" s="101" t="e">
        <f t="shared" si="175"/>
        <v>#DIV/0!</v>
      </c>
      <c r="DT13" s="101" t="e">
        <f t="shared" si="176"/>
        <v>#N/A</v>
      </c>
      <c r="DU13" s="80" t="e">
        <f t="shared" si="177"/>
        <v>#N/A</v>
      </c>
      <c r="DV13" s="80" t="e">
        <f t="shared" ca="1" si="178"/>
        <v>#N/A</v>
      </c>
      <c r="DW13" s="84" t="e">
        <f t="shared" ca="1" si="179"/>
        <v>#N/A</v>
      </c>
      <c r="DY13" s="78" t="e">
        <f t="shared" si="180"/>
        <v>#DIV/0!</v>
      </c>
      <c r="DZ13" s="80" t="e">
        <f t="shared" si="181"/>
        <v>#DIV/0!</v>
      </c>
      <c r="EA13" s="80" t="e">
        <f t="shared" si="182"/>
        <v>#DIV/0!</v>
      </c>
      <c r="EB13" s="80">
        <f t="shared" si="183"/>
        <v>0</v>
      </c>
      <c r="EC13" s="80" t="e">
        <f t="shared" si="184"/>
        <v>#DIV/0!</v>
      </c>
      <c r="ED13" s="80" t="e">
        <f t="shared" si="185"/>
        <v>#DIV/0!</v>
      </c>
      <c r="EE13" s="80">
        <f t="shared" si="186"/>
        <v>0</v>
      </c>
      <c r="EF13" s="101" t="e">
        <f t="shared" si="187"/>
        <v>#DIV/0!</v>
      </c>
      <c r="EG13" s="80" t="e">
        <f t="shared" si="188"/>
        <v>#DIV/0!</v>
      </c>
      <c r="EI13" s="80" t="e">
        <f t="shared" ca="1" si="189"/>
        <v>#N/A</v>
      </c>
      <c r="EK13" s="80">
        <f t="shared" si="190"/>
        <v>0</v>
      </c>
      <c r="EL13" s="80" t="e">
        <f t="shared" si="191"/>
        <v>#DIV/0!</v>
      </c>
      <c r="EM13" s="80" t="e">
        <f t="shared" si="192"/>
        <v>#DIV/0!</v>
      </c>
      <c r="EN13" s="80">
        <f t="shared" si="193"/>
        <v>0</v>
      </c>
      <c r="EO13" s="101">
        <f t="shared" si="194"/>
        <v>0</v>
      </c>
      <c r="EP13" s="80" t="e">
        <f t="shared" si="195"/>
        <v>#DIV/0!</v>
      </c>
      <c r="EQ13" s="80" t="e">
        <f t="shared" si="196"/>
        <v>#DIV/0!</v>
      </c>
      <c r="ER13" s="80" t="e">
        <f t="shared" ca="1" si="197"/>
        <v>#N/A</v>
      </c>
      <c r="ET13" s="78" t="e">
        <f t="shared" ca="1" si="198"/>
        <v>#DIV/0!</v>
      </c>
      <c r="EU13" s="79" t="e">
        <f t="shared" ca="1" si="199"/>
        <v>#DIV/0!</v>
      </c>
      <c r="EV13" s="79" t="e">
        <f t="shared" ca="1" si="200"/>
        <v>#DIV/0!</v>
      </c>
      <c r="EW13" s="79">
        <f t="shared" si="201"/>
        <v>0</v>
      </c>
      <c r="EX13" s="79">
        <f t="shared" si="202"/>
        <v>0</v>
      </c>
      <c r="EY13" s="104" t="e">
        <f t="shared" ca="1" si="203"/>
        <v>#DIV/0!</v>
      </c>
      <c r="EZ13" s="102" t="e">
        <f t="shared" ca="1" si="204"/>
        <v>#DIV/0!</v>
      </c>
      <c r="FB13" s="101">
        <f t="shared" si="205"/>
        <v>0</v>
      </c>
      <c r="FC13" s="101">
        <f t="shared" si="206"/>
        <v>0</v>
      </c>
      <c r="FD13" s="80" t="e">
        <f t="shared" si="207"/>
        <v>#DIV/0!</v>
      </c>
      <c r="FE13" s="80" t="e">
        <f t="shared" ca="1" si="208"/>
        <v>#N/A</v>
      </c>
      <c r="FF13" s="80" t="e">
        <f t="shared" ca="1" si="209"/>
        <v>#N/A</v>
      </c>
      <c r="FG13" s="80">
        <f t="shared" si="106"/>
        <v>86</v>
      </c>
      <c r="FH13" s="80">
        <f t="shared" si="107"/>
        <v>87</v>
      </c>
    </row>
    <row r="14" spans="1:252" x14ac:dyDescent="0.2">
      <c r="V14" s="248"/>
      <c r="DS14" s="101"/>
      <c r="DT14" s="101"/>
      <c r="DU14" s="101"/>
    </row>
    <row r="27" spans="16:56" x14ac:dyDescent="0.2">
      <c r="P27" s="111"/>
      <c r="S27" s="264"/>
      <c r="T27" s="111"/>
      <c r="W27" s="279">
        <v>0</v>
      </c>
      <c r="X27" s="79"/>
      <c r="Y27" s="111"/>
      <c r="AY27" s="282"/>
      <c r="AZ27" s="282"/>
      <c r="BA27" s="282"/>
      <c r="BB27" s="283"/>
      <c r="BD27" s="279">
        <v>0</v>
      </c>
    </row>
  </sheetData>
  <sheetProtection selectLockedCells="1"/>
  <dataConsolidate/>
  <mergeCells count="14">
    <mergeCell ref="B1:D1"/>
    <mergeCell ref="AB1:AF1"/>
    <mergeCell ref="J1:L1"/>
    <mergeCell ref="AG1:AO1"/>
    <mergeCell ref="E1:I1"/>
    <mergeCell ref="J2:L2"/>
    <mergeCell ref="M1:U1"/>
    <mergeCell ref="X1:Z1"/>
    <mergeCell ref="CE1:CF1"/>
    <mergeCell ref="BY1:BZ1"/>
    <mergeCell ref="CB1:CC1"/>
    <mergeCell ref="AR1:AW1"/>
    <mergeCell ref="AY1:BD1"/>
    <mergeCell ref="BS1:BV1"/>
  </mergeCells>
  <phoneticPr fontId="0" type="noConversion"/>
  <dataValidations disablePrompts="1" count="13">
    <dataValidation type="list" allowBlank="1" showErrorMessage="1" sqref="E3" xr:uid="{00000000-0002-0000-0100-000000000000}">
      <formula1>TEMPERATURE_UNITS</formula1>
    </dataValidation>
    <dataValidation type="list" allowBlank="1" sqref="I3" xr:uid="{00000000-0002-0000-0100-000001000000}">
      <formula1>VISCOSITY_UNITS</formula1>
    </dataValidation>
    <dataValidation type="list" allowBlank="1" showErrorMessage="1" sqref="AA3" xr:uid="{00000000-0002-0000-0100-000002000000}">
      <formula1>DENSITY_UNITS</formula1>
    </dataValidation>
    <dataValidation type="list" allowBlank="1" sqref="M3:W3" xr:uid="{00000000-0002-0000-0100-000003000000}">
      <formula1>LENGTH_UNITS</formula1>
    </dataValidation>
    <dataValidation allowBlank="1" showErrorMessage="1" sqref="AB3:AC3 AP3 AE3:AF3 Y4:Y13" xr:uid="{00000000-0002-0000-0100-000004000000}"/>
    <dataValidation type="list" allowBlank="1" sqref="H3 Z3" xr:uid="{00000000-0002-0000-0100-000005000000}">
      <formula1>DENSITY_UNITS</formula1>
    </dataValidation>
    <dataValidation type="list" allowBlank="1" showErrorMessage="1" sqref="F3" xr:uid="{00000000-0002-0000-0100-000006000000}">
      <formula1>PRESSURE_UNITS</formula1>
    </dataValidation>
    <dataValidation type="list" allowBlank="1" showErrorMessage="1" sqref="G3" xr:uid="{00000000-0002-0000-0100-000007000000}">
      <formula1>VELOCITIES</formula1>
    </dataValidation>
    <dataValidation type="list" allowBlank="1" showErrorMessage="1" sqref="J4:J13" xr:uid="{00000000-0002-0000-0100-000008000000}">
      <formula1>Type1</formula1>
    </dataValidation>
    <dataValidation type="list" allowBlank="1" showErrorMessage="1" sqref="K4:K13" xr:uid="{00000000-0002-0000-0100-000009000000}">
      <formula1>Type2</formula1>
    </dataValidation>
    <dataValidation type="list" allowBlank="1" showErrorMessage="1" sqref="X4:X13" xr:uid="{00000000-0002-0000-0100-00000A000000}">
      <formula1>Material</formula1>
    </dataValidation>
    <dataValidation type="list" allowBlank="1" showErrorMessage="1" sqref="BB4:BB13" xr:uid="{00000000-0002-0000-0100-00000B000000}">
      <formula1>"A,B"</formula1>
    </dataValidation>
    <dataValidation type="list" allowBlank="1" showErrorMessage="1" sqref="L4:L13" xr:uid="{00000000-0002-0000-0100-00000C000000}">
      <formula1>"Not Shielded,Shielded"</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60" r:id="rId4" name="btnRemoveRows">
              <controlPr defaultSize="0" print="0" autoFill="0" autoPict="0" macro="[0]!btnRemoveRows_Click">
                <anchor moveWithCells="1" sizeWithCells="1">
                  <from>
                    <xdr:col>0</xdr:col>
                    <xdr:colOff>28575</xdr:colOff>
                    <xdr:row>2</xdr:row>
                    <xdr:rowOff>19050</xdr:rowOff>
                  </from>
                  <to>
                    <xdr:col>0</xdr:col>
                    <xdr:colOff>190500</xdr:colOff>
                    <xdr:row>3</xdr:row>
                    <xdr:rowOff>0</xdr:rowOff>
                  </to>
                </anchor>
              </controlPr>
            </control>
          </mc:Choice>
        </mc:AlternateContent>
        <mc:AlternateContent xmlns:mc="http://schemas.openxmlformats.org/markup-compatibility/2006">
          <mc:Choice Requires="x14">
            <control shapeId="2072" r:id="rId5" name="btnAddRows">
              <controlPr defaultSize="0" print="0" autoFill="0" autoPict="0" macro="[0]!btnAddRows_Click">
                <anchor moveWithCells="1" sizeWithCells="1">
                  <from>
                    <xdr:col>0</xdr:col>
                    <xdr:colOff>28575</xdr:colOff>
                    <xdr:row>1</xdr:row>
                    <xdr:rowOff>1095375</xdr:rowOff>
                  </from>
                  <to>
                    <xdr:col>0</xdr:col>
                    <xdr:colOff>190500</xdr:colOff>
                    <xdr:row>1</xdr:row>
                    <xdr:rowOff>1257300</xdr:rowOff>
                  </to>
                </anchor>
              </controlPr>
            </control>
          </mc:Choice>
        </mc:AlternateContent>
        <mc:AlternateContent xmlns:mc="http://schemas.openxmlformats.org/markup-compatibility/2006">
          <mc:Choice Requires="x14">
            <control shapeId="2102" r:id="rId6" name="btnCalculate">
              <controlPr defaultSize="0" print="0" autoFill="0" autoPict="0" macro="[0]!btnCalc_Click" altText="RE-CALC">
                <anchor moveWithCells="1" sizeWithCells="1">
                  <from>
                    <xdr:col>0</xdr:col>
                    <xdr:colOff>28575</xdr:colOff>
                    <xdr:row>1</xdr:row>
                    <xdr:rowOff>47625</xdr:rowOff>
                  </from>
                  <to>
                    <xdr:col>0</xdr:col>
                    <xdr:colOff>190500</xdr:colOff>
                    <xdr:row>1</xdr:row>
                    <xdr:rowOff>828675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G77"/>
  <sheetViews>
    <sheetView workbookViewId="0"/>
  </sheetViews>
  <sheetFormatPr defaultColWidth="9.140625" defaultRowHeight="15" x14ac:dyDescent="0.25"/>
  <cols>
    <col min="1" max="1" width="23.5703125" style="17" customWidth="1"/>
    <col min="2" max="3" width="21.85546875" style="17" customWidth="1"/>
    <col min="4" max="4" width="17.28515625" style="17" bestFit="1" customWidth="1"/>
    <col min="5" max="6" width="17.28515625" style="17" customWidth="1"/>
    <col min="7" max="7" width="17.7109375" style="17" bestFit="1" customWidth="1"/>
    <col min="8" max="8" width="25.85546875" style="17" bestFit="1" customWidth="1"/>
    <col min="9" max="9" width="17.28515625" style="17" bestFit="1" customWidth="1"/>
    <col min="10" max="10" width="19" style="17" customWidth="1"/>
    <col min="11" max="16384" width="9.140625" style="17"/>
  </cols>
  <sheetData>
    <row r="1" spans="1:7" ht="21" x14ac:dyDescent="0.35">
      <c r="A1" s="16" t="s">
        <v>301</v>
      </c>
    </row>
    <row r="2" spans="1:7" x14ac:dyDescent="0.25">
      <c r="A2" s="18"/>
      <c r="C2" s="147"/>
    </row>
    <row r="4" spans="1:7" x14ac:dyDescent="0.25">
      <c r="A4" s="18" t="s">
        <v>232</v>
      </c>
      <c r="B4" s="17" t="s">
        <v>233</v>
      </c>
      <c r="C4" s="17" t="s">
        <v>234</v>
      </c>
      <c r="D4" s="17" t="s">
        <v>235</v>
      </c>
      <c r="E4" s="17" t="s">
        <v>236</v>
      </c>
      <c r="F4" s="17" t="s">
        <v>237</v>
      </c>
      <c r="G4" s="17" t="s">
        <v>238</v>
      </c>
    </row>
    <row r="5" spans="1:7" x14ac:dyDescent="0.25">
      <c r="A5" s="17" t="s">
        <v>239</v>
      </c>
      <c r="B5" s="19">
        <v>1.0000000000000001E-5</v>
      </c>
      <c r="C5" s="17">
        <v>0</v>
      </c>
      <c r="D5" s="17">
        <v>-1.01325</v>
      </c>
      <c r="E5" s="20">
        <f t="shared" ref="E5:E17" si="0">B5/$B$5</f>
        <v>1</v>
      </c>
      <c r="F5" s="20">
        <f t="shared" ref="F5:F28" si="1">+C5/$B$5</f>
        <v>0</v>
      </c>
      <c r="G5" s="20">
        <f t="shared" ref="G5:G28" si="2">+D5/$B$5</f>
        <v>-101324.99999999999</v>
      </c>
    </row>
    <row r="6" spans="1:7" x14ac:dyDescent="0.25">
      <c r="A6" s="17" t="s">
        <v>241</v>
      </c>
      <c r="B6" s="17">
        <f>1000*0.00001</f>
        <v>0.01</v>
      </c>
      <c r="C6" s="17">
        <v>0</v>
      </c>
      <c r="D6" s="17">
        <v>-1.01325</v>
      </c>
      <c r="E6" s="20">
        <f t="shared" si="0"/>
        <v>999.99999999999989</v>
      </c>
      <c r="F6" s="20">
        <f t="shared" si="1"/>
        <v>0</v>
      </c>
      <c r="G6" s="20">
        <f t="shared" si="2"/>
        <v>-101324.99999999999</v>
      </c>
    </row>
    <row r="7" spans="1:7" x14ac:dyDescent="0.25">
      <c r="A7" s="17" t="s">
        <v>243</v>
      </c>
      <c r="B7" s="19">
        <v>1.0000000000000001E-5</v>
      </c>
      <c r="C7" s="17">
        <v>0</v>
      </c>
      <c r="D7" s="17">
        <v>-1.01325</v>
      </c>
      <c r="E7" s="20">
        <f t="shared" si="0"/>
        <v>1</v>
      </c>
      <c r="F7" s="20">
        <f t="shared" si="1"/>
        <v>0</v>
      </c>
      <c r="G7" s="20">
        <f t="shared" si="2"/>
        <v>-101324.99999999999</v>
      </c>
    </row>
    <row r="8" spans="1:7" x14ac:dyDescent="0.25">
      <c r="A8" s="17" t="s">
        <v>245</v>
      </c>
      <c r="B8" s="17">
        <f>1000*0.00001</f>
        <v>0.01</v>
      </c>
      <c r="C8" s="17">
        <v>0</v>
      </c>
      <c r="D8" s="17">
        <v>-1.01325</v>
      </c>
      <c r="E8" s="20">
        <f t="shared" si="0"/>
        <v>999.99999999999989</v>
      </c>
      <c r="F8" s="20">
        <f t="shared" si="1"/>
        <v>0</v>
      </c>
      <c r="G8" s="20">
        <f t="shared" si="2"/>
        <v>-101324.99999999999</v>
      </c>
    </row>
    <row r="9" spans="1:7" x14ac:dyDescent="0.25">
      <c r="A9" s="17" t="s">
        <v>247</v>
      </c>
      <c r="B9" s="17">
        <v>1</v>
      </c>
      <c r="C9" s="17">
        <v>0</v>
      </c>
      <c r="D9" s="17">
        <v>-1.01325</v>
      </c>
      <c r="E9" s="20">
        <f t="shared" si="0"/>
        <v>99999.999999999985</v>
      </c>
      <c r="F9" s="20">
        <f t="shared" si="1"/>
        <v>0</v>
      </c>
      <c r="G9" s="20">
        <f t="shared" si="2"/>
        <v>-101324.99999999999</v>
      </c>
    </row>
    <row r="10" spans="1:7" x14ac:dyDescent="0.25">
      <c r="A10" s="17" t="s">
        <v>249</v>
      </c>
      <c r="B10" s="17">
        <v>1E-3</v>
      </c>
      <c r="C10" s="17">
        <v>0</v>
      </c>
      <c r="D10" s="17">
        <v>-1.01325</v>
      </c>
      <c r="E10" s="20">
        <f t="shared" si="0"/>
        <v>100</v>
      </c>
      <c r="F10" s="20">
        <f t="shared" si="1"/>
        <v>0</v>
      </c>
      <c r="G10" s="20">
        <f t="shared" si="2"/>
        <v>-101324.99999999999</v>
      </c>
    </row>
    <row r="11" spans="1:7" x14ac:dyDescent="0.25">
      <c r="A11" s="17" t="s">
        <v>251</v>
      </c>
      <c r="B11" s="17">
        <v>1.01325</v>
      </c>
      <c r="C11" s="17">
        <v>0</v>
      </c>
      <c r="D11" s="17">
        <v>-1.01325</v>
      </c>
      <c r="E11" s="20">
        <f t="shared" si="0"/>
        <v>101324.99999999999</v>
      </c>
      <c r="F11" s="20">
        <f t="shared" si="1"/>
        <v>0</v>
      </c>
      <c r="G11" s="20">
        <f t="shared" si="2"/>
        <v>-101324.99999999999</v>
      </c>
    </row>
    <row r="12" spans="1:7" x14ac:dyDescent="0.25">
      <c r="A12" s="17" t="s">
        <v>253</v>
      </c>
      <c r="B12" s="17">
        <v>4.7880258999999999E-4</v>
      </c>
      <c r="C12" s="17">
        <v>0</v>
      </c>
      <c r="D12" s="17">
        <v>-1.01325</v>
      </c>
      <c r="E12" s="20">
        <f t="shared" si="0"/>
        <v>47.880258999999995</v>
      </c>
      <c r="F12" s="20">
        <f t="shared" si="1"/>
        <v>0</v>
      </c>
      <c r="G12" s="20">
        <f t="shared" si="2"/>
        <v>-101324.99999999999</v>
      </c>
    </row>
    <row r="13" spans="1:7" x14ac:dyDescent="0.25">
      <c r="A13" s="17" t="s">
        <v>255</v>
      </c>
      <c r="B13" s="19">
        <v>6.8947999999999995E-2</v>
      </c>
      <c r="C13" s="17">
        <v>0</v>
      </c>
      <c r="D13" s="17">
        <v>-1.01325</v>
      </c>
      <c r="E13" s="20">
        <f t="shared" si="0"/>
        <v>6894.7999999999993</v>
      </c>
      <c r="F13" s="20">
        <f t="shared" si="1"/>
        <v>0</v>
      </c>
      <c r="G13" s="20">
        <f t="shared" si="2"/>
        <v>-101324.99999999999</v>
      </c>
    </row>
    <row r="14" spans="1:7" x14ac:dyDescent="0.25">
      <c r="A14" s="17" t="s">
        <v>257</v>
      </c>
      <c r="B14" s="17">
        <f>2490889.1/1000000000</f>
        <v>2.4908891000000001E-3</v>
      </c>
      <c r="C14" s="17">
        <v>0</v>
      </c>
      <c r="D14" s="17">
        <v>-1.01325</v>
      </c>
      <c r="E14" s="20">
        <f t="shared" si="0"/>
        <v>249.08891</v>
      </c>
      <c r="F14" s="20">
        <f t="shared" si="1"/>
        <v>0</v>
      </c>
      <c r="G14" s="20">
        <f t="shared" si="2"/>
        <v>-101324.99999999999</v>
      </c>
    </row>
    <row r="15" spans="1:7" x14ac:dyDescent="0.25">
      <c r="A15" s="17" t="s">
        <v>259</v>
      </c>
      <c r="B15" s="17">
        <f>98066.5/1000000000</f>
        <v>9.80665E-5</v>
      </c>
      <c r="C15" s="17">
        <v>0</v>
      </c>
      <c r="D15" s="17">
        <v>-1.01325</v>
      </c>
      <c r="E15" s="20">
        <f t="shared" si="0"/>
        <v>9.8066499999999994</v>
      </c>
      <c r="F15" s="20">
        <f t="shared" si="1"/>
        <v>0</v>
      </c>
      <c r="G15" s="20">
        <f t="shared" si="2"/>
        <v>-101324.99999999999</v>
      </c>
    </row>
    <row r="16" spans="1:7" x14ac:dyDescent="0.25">
      <c r="A16" s="17" t="s">
        <v>261</v>
      </c>
      <c r="B16" s="17">
        <f>980665/1000000</f>
        <v>0.98066500000000001</v>
      </c>
      <c r="C16" s="17">
        <v>0</v>
      </c>
      <c r="D16" s="17">
        <v>-1.01325</v>
      </c>
      <c r="E16" s="20">
        <f t="shared" si="0"/>
        <v>98066.5</v>
      </c>
      <c r="F16" s="20">
        <f t="shared" si="1"/>
        <v>0</v>
      </c>
      <c r="G16" s="20">
        <f t="shared" si="2"/>
        <v>-101324.99999999999</v>
      </c>
    </row>
    <row r="17" spans="1:7" x14ac:dyDescent="0.25">
      <c r="A17" s="17" t="s">
        <v>240</v>
      </c>
      <c r="B17" s="19">
        <v>1.0000000000000001E-5</v>
      </c>
      <c r="C17" s="17">
        <v>1.01325</v>
      </c>
      <c r="D17" s="17">
        <v>0</v>
      </c>
      <c r="E17" s="20">
        <f t="shared" si="0"/>
        <v>1</v>
      </c>
      <c r="F17" s="20">
        <f t="shared" si="1"/>
        <v>101324.99999999999</v>
      </c>
      <c r="G17" s="20">
        <f t="shared" si="2"/>
        <v>0</v>
      </c>
    </row>
    <row r="18" spans="1:7" x14ac:dyDescent="0.25">
      <c r="A18" s="17" t="s">
        <v>242</v>
      </c>
      <c r="B18" s="17">
        <f>1000*0.00001</f>
        <v>0.01</v>
      </c>
      <c r="C18" s="17">
        <v>1.01325</v>
      </c>
      <c r="D18" s="17">
        <v>0</v>
      </c>
      <c r="E18" s="20">
        <v>1000</v>
      </c>
      <c r="F18" s="20">
        <f t="shared" si="1"/>
        <v>101324.99999999999</v>
      </c>
      <c r="G18" s="20">
        <f t="shared" si="2"/>
        <v>0</v>
      </c>
    </row>
    <row r="19" spans="1:7" x14ac:dyDescent="0.25">
      <c r="A19" s="17" t="s">
        <v>244</v>
      </c>
      <c r="B19" s="19">
        <v>1.0000000000000001E-5</v>
      </c>
      <c r="C19" s="17">
        <v>1.01325</v>
      </c>
      <c r="D19" s="17">
        <v>0</v>
      </c>
      <c r="E19" s="20">
        <f t="shared" ref="E19:E28" si="3">B19/$B$5</f>
        <v>1</v>
      </c>
      <c r="F19" s="20">
        <f t="shared" si="1"/>
        <v>101324.99999999999</v>
      </c>
      <c r="G19" s="20">
        <f t="shared" si="2"/>
        <v>0</v>
      </c>
    </row>
    <row r="20" spans="1:7" x14ac:dyDescent="0.25">
      <c r="A20" s="17" t="s">
        <v>246</v>
      </c>
      <c r="B20" s="17">
        <f>1000*0.00001</f>
        <v>0.01</v>
      </c>
      <c r="C20" s="17">
        <v>1.01325</v>
      </c>
      <c r="D20" s="17">
        <v>0</v>
      </c>
      <c r="E20" s="20">
        <f t="shared" si="3"/>
        <v>999.99999999999989</v>
      </c>
      <c r="F20" s="20">
        <f t="shared" si="1"/>
        <v>101324.99999999999</v>
      </c>
      <c r="G20" s="20">
        <f t="shared" si="2"/>
        <v>0</v>
      </c>
    </row>
    <row r="21" spans="1:7" x14ac:dyDescent="0.25">
      <c r="A21" s="17" t="s">
        <v>248</v>
      </c>
      <c r="B21" s="17">
        <v>1</v>
      </c>
      <c r="C21" s="17">
        <v>1.01325</v>
      </c>
      <c r="D21" s="17">
        <v>0</v>
      </c>
      <c r="E21" s="20">
        <f t="shared" si="3"/>
        <v>99999.999999999985</v>
      </c>
      <c r="F21" s="20">
        <f t="shared" si="1"/>
        <v>101324.99999999999</v>
      </c>
      <c r="G21" s="20">
        <f t="shared" si="2"/>
        <v>0</v>
      </c>
    </row>
    <row r="22" spans="1:7" x14ac:dyDescent="0.25">
      <c r="A22" s="17" t="s">
        <v>250</v>
      </c>
      <c r="B22" s="17">
        <v>1E-3</v>
      </c>
      <c r="C22" s="17">
        <v>1.01325</v>
      </c>
      <c r="D22" s="17">
        <v>0</v>
      </c>
      <c r="E22" s="20">
        <f t="shared" si="3"/>
        <v>100</v>
      </c>
      <c r="F22" s="20">
        <f t="shared" si="1"/>
        <v>101324.99999999999</v>
      </c>
      <c r="G22" s="20">
        <f t="shared" si="2"/>
        <v>0</v>
      </c>
    </row>
    <row r="23" spans="1:7" x14ac:dyDescent="0.25">
      <c r="A23" s="17" t="s">
        <v>252</v>
      </c>
      <c r="B23" s="17">
        <v>1.01325</v>
      </c>
      <c r="C23" s="17">
        <v>1.01325</v>
      </c>
      <c r="D23" s="17">
        <v>0</v>
      </c>
      <c r="E23" s="20">
        <f t="shared" si="3"/>
        <v>101324.99999999999</v>
      </c>
      <c r="F23" s="20">
        <f t="shared" si="1"/>
        <v>101324.99999999999</v>
      </c>
      <c r="G23" s="20">
        <f t="shared" si="2"/>
        <v>0</v>
      </c>
    </row>
    <row r="24" spans="1:7" x14ac:dyDescent="0.25">
      <c r="A24" s="17" t="s">
        <v>254</v>
      </c>
      <c r="B24" s="17">
        <v>4.7880258999999999E-4</v>
      </c>
      <c r="C24" s="17">
        <v>1.01325</v>
      </c>
      <c r="D24" s="17">
        <v>0</v>
      </c>
      <c r="E24" s="20">
        <f t="shared" si="3"/>
        <v>47.880258999999995</v>
      </c>
      <c r="F24" s="20">
        <f t="shared" si="1"/>
        <v>101324.99999999999</v>
      </c>
      <c r="G24" s="20">
        <f t="shared" si="2"/>
        <v>0</v>
      </c>
    </row>
    <row r="25" spans="1:7" x14ac:dyDescent="0.25">
      <c r="A25" s="17" t="s">
        <v>256</v>
      </c>
      <c r="B25" s="19">
        <v>6.8947999999999995E-2</v>
      </c>
      <c r="C25" s="17">
        <v>1.01325</v>
      </c>
      <c r="D25" s="17">
        <v>0</v>
      </c>
      <c r="E25" s="20">
        <f t="shared" si="3"/>
        <v>6894.7999999999993</v>
      </c>
      <c r="F25" s="20">
        <f t="shared" si="1"/>
        <v>101324.99999999999</v>
      </c>
      <c r="G25" s="20">
        <f t="shared" si="2"/>
        <v>0</v>
      </c>
    </row>
    <row r="26" spans="1:7" x14ac:dyDescent="0.25">
      <c r="A26" s="17" t="s">
        <v>258</v>
      </c>
      <c r="B26" s="17">
        <f>2490889.1/1000000000</f>
        <v>2.4908891000000001E-3</v>
      </c>
      <c r="C26" s="17">
        <v>1.01325</v>
      </c>
      <c r="D26" s="17">
        <v>0</v>
      </c>
      <c r="E26" s="20">
        <f t="shared" si="3"/>
        <v>249.08891</v>
      </c>
      <c r="F26" s="20">
        <f t="shared" si="1"/>
        <v>101324.99999999999</v>
      </c>
      <c r="G26" s="20">
        <f t="shared" si="2"/>
        <v>0</v>
      </c>
    </row>
    <row r="27" spans="1:7" x14ac:dyDescent="0.25">
      <c r="A27" s="17" t="s">
        <v>260</v>
      </c>
      <c r="B27" s="17">
        <f>98066.5/1000000000</f>
        <v>9.80665E-5</v>
      </c>
      <c r="C27" s="17">
        <v>1.01325</v>
      </c>
      <c r="D27" s="17">
        <v>0</v>
      </c>
      <c r="E27" s="20">
        <f t="shared" si="3"/>
        <v>9.8066499999999994</v>
      </c>
      <c r="F27" s="20">
        <f t="shared" si="1"/>
        <v>101324.99999999999</v>
      </c>
      <c r="G27" s="20">
        <f t="shared" si="2"/>
        <v>0</v>
      </c>
    </row>
    <row r="28" spans="1:7" x14ac:dyDescent="0.25">
      <c r="A28" s="17" t="s">
        <v>262</v>
      </c>
      <c r="B28" s="17">
        <f>980665/1000000</f>
        <v>0.98066500000000001</v>
      </c>
      <c r="C28" s="17">
        <v>1.01325</v>
      </c>
      <c r="D28" s="17">
        <v>0</v>
      </c>
      <c r="E28" s="20">
        <f t="shared" si="3"/>
        <v>98066.5</v>
      </c>
      <c r="F28" s="20">
        <f t="shared" si="1"/>
        <v>101324.99999999999</v>
      </c>
      <c r="G28" s="20">
        <f t="shared" si="2"/>
        <v>0</v>
      </c>
    </row>
    <row r="31" spans="1:7" x14ac:dyDescent="0.25">
      <c r="A31" s="23" t="s">
        <v>21</v>
      </c>
      <c r="B31" s="17" t="s">
        <v>263</v>
      </c>
    </row>
    <row r="32" spans="1:7" x14ac:dyDescent="0.25">
      <c r="A32" s="17" t="s">
        <v>264</v>
      </c>
      <c r="B32" s="17">
        <v>1</v>
      </c>
      <c r="C32" s="55" t="s">
        <v>324</v>
      </c>
    </row>
    <row r="33" spans="1:3" x14ac:dyDescent="0.25">
      <c r="A33" s="17" t="s">
        <v>265</v>
      </c>
      <c r="B33" s="17">
        <v>16.018463374</v>
      </c>
    </row>
    <row r="34" spans="1:3" x14ac:dyDescent="0.25">
      <c r="A34" s="17" t="s">
        <v>266</v>
      </c>
      <c r="B34" s="17">
        <v>99.776372663000004</v>
      </c>
    </row>
    <row r="35" spans="1:3" x14ac:dyDescent="0.25">
      <c r="C35" s="21"/>
    </row>
    <row r="37" spans="1:3" x14ac:dyDescent="0.25">
      <c r="A37" s="18" t="s">
        <v>22</v>
      </c>
      <c r="B37" s="17" t="s">
        <v>267</v>
      </c>
      <c r="C37" s="17" t="s">
        <v>268</v>
      </c>
    </row>
    <row r="38" spans="1:3" x14ac:dyDescent="0.25">
      <c r="A38" s="17" t="s">
        <v>30</v>
      </c>
      <c r="B38" s="17">
        <v>1</v>
      </c>
      <c r="C38" s="17">
        <f>B38/B41</f>
        <v>1000</v>
      </c>
    </row>
    <row r="39" spans="1:3" x14ac:dyDescent="0.25">
      <c r="A39" s="17" t="s">
        <v>269</v>
      </c>
      <c r="B39" s="17">
        <v>1</v>
      </c>
      <c r="C39" s="17">
        <f>B39/B41</f>
        <v>1000</v>
      </c>
    </row>
    <row r="40" spans="1:3" x14ac:dyDescent="0.25">
      <c r="A40" s="17" t="s">
        <v>270</v>
      </c>
      <c r="B40" s="17">
        <v>0.1</v>
      </c>
      <c r="C40" s="17">
        <f>B40/B41</f>
        <v>100</v>
      </c>
    </row>
    <row r="41" spans="1:3" x14ac:dyDescent="0.25">
      <c r="A41" s="17" t="s">
        <v>271</v>
      </c>
      <c r="B41" s="17">
        <f>0.1/100</f>
        <v>1E-3</v>
      </c>
      <c r="C41" s="17">
        <f>B41/B41</f>
        <v>1</v>
      </c>
    </row>
    <row r="42" spans="1:3" x14ac:dyDescent="0.25">
      <c r="A42" s="17" t="s">
        <v>272</v>
      </c>
      <c r="B42" s="22">
        <f>47880.2595148*B41</f>
        <v>47.880259514799995</v>
      </c>
      <c r="C42" s="17">
        <f>B42/B41</f>
        <v>47880.259514799996</v>
      </c>
    </row>
    <row r="43" spans="1:3" x14ac:dyDescent="0.25">
      <c r="A43" s="17" t="s">
        <v>273</v>
      </c>
      <c r="B43" s="17">
        <f>1488.1639328*B41</f>
        <v>1.4881639328</v>
      </c>
      <c r="C43" s="17">
        <f>B43/B41</f>
        <v>1488.1639328000001</v>
      </c>
    </row>
    <row r="46" spans="1:3" x14ac:dyDescent="0.25">
      <c r="A46" s="18" t="s">
        <v>274</v>
      </c>
      <c r="B46" s="17" t="s">
        <v>275</v>
      </c>
      <c r="C46" s="17" t="s">
        <v>276</v>
      </c>
    </row>
    <row r="47" spans="1:3" x14ac:dyDescent="0.25">
      <c r="A47" s="17" t="s">
        <v>27</v>
      </c>
      <c r="B47" s="19">
        <v>1.0000000000000001E-5</v>
      </c>
      <c r="C47" s="20">
        <v>1</v>
      </c>
    </row>
    <row r="48" spans="1:3" x14ac:dyDescent="0.25">
      <c r="A48" s="17" t="s">
        <v>277</v>
      </c>
      <c r="B48" s="17">
        <f>1000*0.00001</f>
        <v>0.01</v>
      </c>
      <c r="C48" s="20">
        <f t="shared" ref="C48:C58" si="4">B48/$B$47</f>
        <v>999.99999999999989</v>
      </c>
    </row>
    <row r="49" spans="1:3" x14ac:dyDescent="0.25">
      <c r="A49" s="17" t="s">
        <v>278</v>
      </c>
      <c r="B49" s="19">
        <v>1.0000000000000001E-5</v>
      </c>
      <c r="C49" s="20">
        <f t="shared" si="4"/>
        <v>1</v>
      </c>
    </row>
    <row r="50" spans="1:3" x14ac:dyDescent="0.25">
      <c r="A50" s="17" t="s">
        <v>279</v>
      </c>
      <c r="B50" s="17">
        <f>1000*0.00001</f>
        <v>0.01</v>
      </c>
      <c r="C50" s="20">
        <f t="shared" si="4"/>
        <v>999.99999999999989</v>
      </c>
    </row>
    <row r="51" spans="1:3" x14ac:dyDescent="0.25">
      <c r="A51" s="17" t="s">
        <v>280</v>
      </c>
      <c r="B51" s="17">
        <v>1</v>
      </c>
      <c r="C51" s="20">
        <f t="shared" si="4"/>
        <v>99999.999999999985</v>
      </c>
    </row>
    <row r="52" spans="1:3" x14ac:dyDescent="0.25">
      <c r="A52" s="17" t="s">
        <v>281</v>
      </c>
      <c r="B52" s="17">
        <v>1E-3</v>
      </c>
      <c r="C52" s="20">
        <f t="shared" si="4"/>
        <v>100</v>
      </c>
    </row>
    <row r="53" spans="1:3" x14ac:dyDescent="0.25">
      <c r="A53" s="17" t="s">
        <v>282</v>
      </c>
      <c r="B53" s="17">
        <v>1.01325</v>
      </c>
      <c r="C53" s="20">
        <f t="shared" si="4"/>
        <v>101324.99999999999</v>
      </c>
    </row>
    <row r="54" spans="1:3" x14ac:dyDescent="0.25">
      <c r="A54" s="17" t="s">
        <v>283</v>
      </c>
      <c r="B54" s="17">
        <v>4.7880258999999999E-4</v>
      </c>
      <c r="C54" s="20">
        <f t="shared" si="4"/>
        <v>47.880258999999995</v>
      </c>
    </row>
    <row r="55" spans="1:3" x14ac:dyDescent="0.25">
      <c r="A55" s="17" t="s">
        <v>284</v>
      </c>
      <c r="B55" s="19">
        <v>6.8947999999999995E-2</v>
      </c>
      <c r="C55" s="20">
        <f t="shared" si="4"/>
        <v>6894.7999999999993</v>
      </c>
    </row>
    <row r="56" spans="1:3" x14ac:dyDescent="0.25">
      <c r="A56" s="17" t="s">
        <v>285</v>
      </c>
      <c r="B56" s="17">
        <f>2490889.1/1000000000</f>
        <v>2.4908891000000001E-3</v>
      </c>
      <c r="C56" s="20">
        <f t="shared" si="4"/>
        <v>249.08891</v>
      </c>
    </row>
    <row r="57" spans="1:3" x14ac:dyDescent="0.25">
      <c r="A57" s="17" t="s">
        <v>286</v>
      </c>
      <c r="B57" s="17">
        <f>98066.5/1000000000</f>
        <v>9.80665E-5</v>
      </c>
      <c r="C57" s="20">
        <f t="shared" si="4"/>
        <v>9.8066499999999994</v>
      </c>
    </row>
    <row r="58" spans="1:3" x14ac:dyDescent="0.25">
      <c r="A58" s="17" t="s">
        <v>287</v>
      </c>
      <c r="B58" s="17">
        <f>980665/1000000</f>
        <v>0.98066500000000001</v>
      </c>
      <c r="C58" s="20">
        <f t="shared" si="4"/>
        <v>98066.5</v>
      </c>
    </row>
    <row r="61" spans="1:3" x14ac:dyDescent="0.25">
      <c r="A61" s="18" t="s">
        <v>288</v>
      </c>
      <c r="B61" s="17" t="s">
        <v>289</v>
      </c>
    </row>
    <row r="62" spans="1:3" x14ac:dyDescent="0.25">
      <c r="A62" s="17" t="s">
        <v>31</v>
      </c>
      <c r="B62" s="17">
        <v>1</v>
      </c>
    </row>
    <row r="63" spans="1:3" x14ac:dyDescent="0.25">
      <c r="A63" s="17" t="s">
        <v>290</v>
      </c>
      <c r="B63" s="17">
        <v>0.01</v>
      </c>
    </row>
    <row r="64" spans="1:3" x14ac:dyDescent="0.25">
      <c r="A64" s="17" t="s">
        <v>291</v>
      </c>
      <c r="B64" s="17">
        <v>1E-3</v>
      </c>
    </row>
    <row r="65" spans="1:2" x14ac:dyDescent="0.25">
      <c r="A65" s="17" t="s">
        <v>292</v>
      </c>
      <c r="B65" s="17">
        <v>2.5399999999999999E-2</v>
      </c>
    </row>
    <row r="66" spans="1:2" x14ac:dyDescent="0.25">
      <c r="A66" s="17" t="s">
        <v>293</v>
      </c>
      <c r="B66" s="17">
        <v>0.30480000000000002</v>
      </c>
    </row>
    <row r="68" spans="1:2" x14ac:dyDescent="0.25">
      <c r="A68" s="24" t="s">
        <v>20</v>
      </c>
      <c r="B68" s="17" t="s">
        <v>296</v>
      </c>
    </row>
    <row r="69" spans="1:2" x14ac:dyDescent="0.25">
      <c r="A69" s="17" t="s">
        <v>28</v>
      </c>
      <c r="B69" s="17">
        <v>1</v>
      </c>
    </row>
    <row r="70" spans="1:2" x14ac:dyDescent="0.25">
      <c r="A70" s="17" t="s">
        <v>297</v>
      </c>
      <c r="B70" s="17">
        <f>B66</f>
        <v>0.30480000000000002</v>
      </c>
    </row>
    <row r="71" spans="1:2" x14ac:dyDescent="0.25">
      <c r="A71" s="17" t="s">
        <v>298</v>
      </c>
      <c r="B71" s="17">
        <f>B66/60</f>
        <v>5.0800000000000003E-3</v>
      </c>
    </row>
    <row r="73" spans="1:2" x14ac:dyDescent="0.25">
      <c r="A73" s="24" t="s">
        <v>19</v>
      </c>
    </row>
    <row r="74" spans="1:2" x14ac:dyDescent="0.25">
      <c r="A74" s="52" t="s">
        <v>317</v>
      </c>
      <c r="B74" s="53" t="s">
        <v>321</v>
      </c>
    </row>
    <row r="75" spans="1:2" x14ac:dyDescent="0.25">
      <c r="A75" s="17" t="s">
        <v>318</v>
      </c>
    </row>
    <row r="76" spans="1:2" x14ac:dyDescent="0.25">
      <c r="A76" s="17" t="s">
        <v>319</v>
      </c>
    </row>
    <row r="77" spans="1:2" x14ac:dyDescent="0.25">
      <c r="A77" s="17" t="s">
        <v>320</v>
      </c>
    </row>
  </sheetData>
  <dataConsolidate/>
  <phoneticPr fontId="0"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J80"/>
  <sheetViews>
    <sheetView zoomScaleNormal="100" workbookViewId="0">
      <selection activeCell="D14" sqref="D14"/>
    </sheetView>
  </sheetViews>
  <sheetFormatPr defaultColWidth="9.140625" defaultRowHeight="12.75" x14ac:dyDescent="0.2"/>
  <cols>
    <col min="1" max="1" width="9.140625" style="12"/>
    <col min="2" max="2" width="13.7109375" style="12" bestFit="1" customWidth="1"/>
    <col min="3" max="3" width="33.7109375" style="12" customWidth="1"/>
    <col min="4" max="4" width="11.140625" style="12" customWidth="1"/>
    <col min="5" max="5" width="31.7109375" style="12" customWidth="1"/>
    <col min="6" max="6" width="9.7109375" style="12" customWidth="1"/>
    <col min="7" max="7" width="18.5703125" style="12" customWidth="1"/>
    <col min="8" max="8" width="16.28515625" style="12" customWidth="1"/>
    <col min="9" max="9" width="22.140625" style="12" customWidth="1"/>
    <col min="10" max="10" width="29.28515625" style="12" customWidth="1"/>
    <col min="11" max="13" width="9.140625" style="12"/>
    <col min="14" max="14" width="12.42578125" style="12" bestFit="1" customWidth="1"/>
    <col min="15" max="15" width="9.140625" style="12"/>
    <col min="16" max="16" width="12.42578125" style="12" bestFit="1" customWidth="1"/>
    <col min="17" max="16384" width="9.140625" style="12"/>
  </cols>
  <sheetData>
    <row r="1" spans="1:14" ht="21" x14ac:dyDescent="0.35">
      <c r="A1" s="16" t="s">
        <v>303</v>
      </c>
    </row>
    <row r="3" spans="1:14" s="7" customFormat="1" ht="25.5" x14ac:dyDescent="0.2">
      <c r="B3" s="44" t="s">
        <v>25</v>
      </c>
      <c r="C3" s="312" t="s">
        <v>146</v>
      </c>
      <c r="D3" s="313"/>
      <c r="E3" s="314" t="s">
        <v>147</v>
      </c>
      <c r="F3" s="315"/>
      <c r="G3" s="31" t="s">
        <v>148</v>
      </c>
      <c r="H3" s="51"/>
      <c r="I3" s="32" t="s">
        <v>149</v>
      </c>
    </row>
    <row r="4" spans="1:14" ht="25.5" x14ac:dyDescent="0.2">
      <c r="A4" s="39" t="s">
        <v>123</v>
      </c>
      <c r="B4" s="40" t="s">
        <v>141</v>
      </c>
      <c r="C4" s="41" t="s">
        <v>188</v>
      </c>
      <c r="D4" s="42">
        <v>5</v>
      </c>
      <c r="E4" s="41" t="s">
        <v>208</v>
      </c>
      <c r="F4" s="42">
        <v>3</v>
      </c>
      <c r="G4" s="41" t="s">
        <v>204</v>
      </c>
      <c r="H4" s="48" t="s">
        <v>203</v>
      </c>
      <c r="I4" s="43">
        <v>7950</v>
      </c>
    </row>
    <row r="5" spans="1:14" ht="25.5" x14ac:dyDescent="0.2">
      <c r="A5" s="10" t="s">
        <v>124</v>
      </c>
      <c r="B5" s="11" t="s">
        <v>114</v>
      </c>
      <c r="C5" s="29" t="s">
        <v>188</v>
      </c>
      <c r="D5" s="30">
        <v>5</v>
      </c>
      <c r="E5" s="29" t="s">
        <v>210</v>
      </c>
      <c r="F5" s="30">
        <v>5</v>
      </c>
      <c r="G5" s="29" t="s">
        <v>204</v>
      </c>
      <c r="H5" s="49" t="s">
        <v>203</v>
      </c>
      <c r="I5" s="33">
        <v>7950</v>
      </c>
    </row>
    <row r="6" spans="1:14" ht="25.5" x14ac:dyDescent="0.2">
      <c r="A6" s="10" t="s">
        <v>125</v>
      </c>
      <c r="B6" s="11" t="s">
        <v>142</v>
      </c>
      <c r="C6" s="29" t="s">
        <v>188</v>
      </c>
      <c r="D6" s="30">
        <v>5</v>
      </c>
      <c r="E6" s="29" t="s">
        <v>213</v>
      </c>
      <c r="F6" s="30">
        <v>7</v>
      </c>
      <c r="G6" s="29" t="s">
        <v>204</v>
      </c>
      <c r="H6" s="49" t="s">
        <v>203</v>
      </c>
      <c r="I6" s="33">
        <v>7950</v>
      </c>
    </row>
    <row r="7" spans="1:14" ht="25.5" x14ac:dyDescent="0.2">
      <c r="A7" s="10" t="s">
        <v>126</v>
      </c>
      <c r="B7" s="11" t="s">
        <v>140</v>
      </c>
      <c r="C7" s="29" t="s">
        <v>188</v>
      </c>
      <c r="D7" s="30">
        <v>5</v>
      </c>
      <c r="E7" s="29" t="s">
        <v>214</v>
      </c>
      <c r="F7" s="30">
        <v>9</v>
      </c>
      <c r="G7" s="29" t="s">
        <v>204</v>
      </c>
      <c r="H7" s="49" t="s">
        <v>203</v>
      </c>
      <c r="I7" s="33">
        <v>7950</v>
      </c>
    </row>
    <row r="8" spans="1:14" ht="25.5" x14ac:dyDescent="0.2">
      <c r="A8" s="10" t="s">
        <v>127</v>
      </c>
      <c r="B8" s="11" t="s">
        <v>143</v>
      </c>
      <c r="C8" s="29" t="s">
        <v>188</v>
      </c>
      <c r="D8" s="30">
        <v>5</v>
      </c>
      <c r="E8" s="29" t="s">
        <v>216</v>
      </c>
      <c r="F8" s="30">
        <v>11</v>
      </c>
      <c r="G8" s="29" t="s">
        <v>204</v>
      </c>
      <c r="H8" s="49" t="s">
        <v>203</v>
      </c>
      <c r="I8" s="33">
        <v>7900</v>
      </c>
    </row>
    <row r="9" spans="1:14" ht="25.5" x14ac:dyDescent="0.2">
      <c r="A9" s="10" t="s">
        <v>128</v>
      </c>
      <c r="B9" s="11" t="s">
        <v>145</v>
      </c>
      <c r="C9" s="29" t="s">
        <v>188</v>
      </c>
      <c r="D9" s="30">
        <v>5</v>
      </c>
      <c r="E9" s="29" t="s">
        <v>218</v>
      </c>
      <c r="F9" s="30">
        <v>13</v>
      </c>
      <c r="G9" s="29" t="s">
        <v>204</v>
      </c>
      <c r="H9" s="49" t="s">
        <v>203</v>
      </c>
      <c r="I9" s="33">
        <v>7950</v>
      </c>
    </row>
    <row r="10" spans="1:14" ht="25.5" x14ac:dyDescent="0.2">
      <c r="A10" s="10" t="s">
        <v>129</v>
      </c>
      <c r="B10" s="11" t="s">
        <v>144</v>
      </c>
      <c r="C10" s="29" t="s">
        <v>188</v>
      </c>
      <c r="D10" s="30">
        <v>5</v>
      </c>
      <c r="E10" s="29" t="s">
        <v>220</v>
      </c>
      <c r="F10" s="30">
        <v>15</v>
      </c>
      <c r="G10" s="29" t="s">
        <v>204</v>
      </c>
      <c r="H10" s="49" t="s">
        <v>203</v>
      </c>
      <c r="I10" s="33">
        <v>7950</v>
      </c>
    </row>
    <row r="11" spans="1:14" ht="25.5" x14ac:dyDescent="0.2">
      <c r="A11" s="10" t="s">
        <v>130</v>
      </c>
      <c r="B11" s="11" t="s">
        <v>115</v>
      </c>
      <c r="C11" s="29" t="s">
        <v>189</v>
      </c>
      <c r="D11" s="30">
        <v>3</v>
      </c>
      <c r="E11" s="29" t="s">
        <v>206</v>
      </c>
      <c r="F11" s="30">
        <v>17</v>
      </c>
      <c r="G11" s="29" t="s">
        <v>205</v>
      </c>
      <c r="H11" s="49" t="s">
        <v>202</v>
      </c>
      <c r="I11" s="33">
        <v>7860</v>
      </c>
    </row>
    <row r="12" spans="1:14" ht="25.5" x14ac:dyDescent="0.2">
      <c r="A12" s="10" t="s">
        <v>131</v>
      </c>
      <c r="B12" s="11" t="s">
        <v>116</v>
      </c>
      <c r="C12" s="29"/>
      <c r="D12" s="30"/>
      <c r="E12" s="29" t="s">
        <v>221</v>
      </c>
      <c r="F12" s="30">
        <v>19</v>
      </c>
      <c r="G12" s="29" t="s">
        <v>205</v>
      </c>
      <c r="H12" s="49" t="s">
        <v>202</v>
      </c>
      <c r="I12" s="33">
        <v>7780</v>
      </c>
    </row>
    <row r="13" spans="1:14" ht="25.5" x14ac:dyDescent="0.2">
      <c r="A13" s="10" t="s">
        <v>132</v>
      </c>
      <c r="B13" s="11" t="s">
        <v>224</v>
      </c>
      <c r="C13" s="29"/>
      <c r="D13" s="30"/>
      <c r="E13" s="29" t="s">
        <v>225</v>
      </c>
      <c r="F13" s="30">
        <v>21</v>
      </c>
      <c r="G13" s="29" t="s">
        <v>205</v>
      </c>
      <c r="H13" s="49" t="s">
        <v>202</v>
      </c>
      <c r="I13" s="33">
        <v>7860</v>
      </c>
    </row>
    <row r="14" spans="1:14" ht="25.5" x14ac:dyDescent="0.2">
      <c r="A14" s="10" t="s">
        <v>133</v>
      </c>
      <c r="B14" s="11" t="s">
        <v>227</v>
      </c>
      <c r="C14" s="29"/>
      <c r="D14" s="30"/>
      <c r="E14" s="29" t="s">
        <v>231</v>
      </c>
      <c r="F14" s="30">
        <v>23</v>
      </c>
      <c r="G14" s="29" t="s">
        <v>205</v>
      </c>
      <c r="H14" s="49" t="s">
        <v>202</v>
      </c>
      <c r="I14" s="33">
        <v>7860</v>
      </c>
    </row>
    <row r="15" spans="1:14" ht="25.5" x14ac:dyDescent="0.2">
      <c r="A15" s="10" t="s">
        <v>134</v>
      </c>
      <c r="B15" s="13" t="s">
        <v>117</v>
      </c>
      <c r="C15" s="29"/>
      <c r="D15" s="30"/>
      <c r="E15" s="29" t="s">
        <v>222</v>
      </c>
      <c r="F15" s="30">
        <v>25</v>
      </c>
      <c r="G15" s="29" t="s">
        <v>205</v>
      </c>
      <c r="H15" s="49" t="s">
        <v>202</v>
      </c>
      <c r="I15" s="33">
        <v>7860</v>
      </c>
    </row>
    <row r="16" spans="1:14" ht="25.5" x14ac:dyDescent="0.2">
      <c r="A16" s="10" t="s">
        <v>135</v>
      </c>
      <c r="B16" s="11" t="s">
        <v>118</v>
      </c>
      <c r="C16" s="29" t="s">
        <v>193</v>
      </c>
      <c r="D16" s="30">
        <v>11</v>
      </c>
      <c r="E16" s="29" t="s">
        <v>223</v>
      </c>
      <c r="F16" s="30">
        <v>27</v>
      </c>
      <c r="G16" s="29" t="s">
        <v>204</v>
      </c>
      <c r="H16" s="49" t="s">
        <v>202</v>
      </c>
      <c r="I16" s="33">
        <v>8890</v>
      </c>
      <c r="N16" s="45"/>
    </row>
    <row r="17" spans="1:16" ht="25.5" x14ac:dyDescent="0.2">
      <c r="A17" s="10" t="s">
        <v>136</v>
      </c>
      <c r="B17" s="11" t="s">
        <v>119</v>
      </c>
      <c r="C17" s="29" t="s">
        <v>190</v>
      </c>
      <c r="D17" s="30">
        <v>7</v>
      </c>
      <c r="E17" s="29"/>
      <c r="F17" s="30">
        <v>29</v>
      </c>
      <c r="G17" s="29" t="s">
        <v>205</v>
      </c>
      <c r="H17" s="49" t="s">
        <v>202</v>
      </c>
      <c r="I17" s="33">
        <v>8830</v>
      </c>
    </row>
    <row r="18" spans="1:16" ht="25.5" x14ac:dyDescent="0.2">
      <c r="A18" s="10" t="s">
        <v>137</v>
      </c>
      <c r="B18" s="11" t="s">
        <v>120</v>
      </c>
      <c r="C18" s="29" t="s">
        <v>195</v>
      </c>
      <c r="D18" s="30">
        <v>15</v>
      </c>
      <c r="E18" s="29"/>
      <c r="F18" s="30">
        <v>31</v>
      </c>
      <c r="G18" s="29" t="s">
        <v>204</v>
      </c>
      <c r="H18" s="49" t="s">
        <v>202</v>
      </c>
      <c r="I18" s="33">
        <v>8420</v>
      </c>
    </row>
    <row r="19" spans="1:16" ht="25.5" x14ac:dyDescent="0.2">
      <c r="A19" s="10" t="s">
        <v>138</v>
      </c>
      <c r="B19" s="11" t="s">
        <v>121</v>
      </c>
      <c r="C19" s="29" t="s">
        <v>192</v>
      </c>
      <c r="D19" s="30">
        <v>13</v>
      </c>
      <c r="E19" s="29" t="s">
        <v>226</v>
      </c>
      <c r="F19" s="30">
        <v>33</v>
      </c>
      <c r="G19" s="29" t="s">
        <v>204</v>
      </c>
      <c r="H19" s="49" t="s">
        <v>202</v>
      </c>
      <c r="I19" s="33">
        <v>8440</v>
      </c>
    </row>
    <row r="20" spans="1:16" ht="25.5" x14ac:dyDescent="0.2">
      <c r="A20" s="34" t="s">
        <v>139</v>
      </c>
      <c r="B20" s="35" t="s">
        <v>122</v>
      </c>
      <c r="C20" s="36" t="s">
        <v>194</v>
      </c>
      <c r="D20" s="37">
        <v>9</v>
      </c>
      <c r="E20" s="36" t="s">
        <v>229</v>
      </c>
      <c r="F20" s="37">
        <v>35</v>
      </c>
      <c r="G20" s="36" t="s">
        <v>204</v>
      </c>
      <c r="H20" s="50" t="s">
        <v>202</v>
      </c>
      <c r="I20" s="38">
        <v>8000</v>
      </c>
    </row>
    <row r="21" spans="1:16" x14ac:dyDescent="0.2">
      <c r="A21" s="34" t="s">
        <v>366</v>
      </c>
      <c r="B21" s="35" t="s">
        <v>367</v>
      </c>
      <c r="C21" s="36"/>
      <c r="D21" s="37"/>
      <c r="E21" s="36"/>
      <c r="F21" s="37"/>
      <c r="G21" s="36"/>
      <c r="H21" s="50"/>
      <c r="I21" s="38"/>
    </row>
    <row r="22" spans="1:16" x14ac:dyDescent="0.2">
      <c r="A22" s="10"/>
      <c r="B22" s="11"/>
      <c r="C22" s="30"/>
      <c r="D22" s="30"/>
      <c r="E22" s="30"/>
      <c r="F22" s="30"/>
      <c r="G22" s="30"/>
      <c r="H22" s="105"/>
      <c r="I22" s="30"/>
    </row>
    <row r="23" spans="1:16" x14ac:dyDescent="0.2">
      <c r="A23" s="10"/>
      <c r="B23" s="11"/>
      <c r="C23" s="30"/>
      <c r="D23" s="30"/>
      <c r="E23" s="30"/>
      <c r="F23" s="30"/>
      <c r="G23" s="30"/>
      <c r="H23" s="30"/>
      <c r="I23" s="30"/>
      <c r="J23" s="30"/>
    </row>
    <row r="24" spans="1:16" x14ac:dyDescent="0.2">
      <c r="A24" s="46" t="s">
        <v>306</v>
      </c>
    </row>
    <row r="26" spans="1:16" ht="21" x14ac:dyDescent="0.35">
      <c r="A26" s="16" t="s">
        <v>304</v>
      </c>
      <c r="C26" s="12" t="s">
        <v>390</v>
      </c>
    </row>
    <row r="27" spans="1:16" x14ac:dyDescent="0.2">
      <c r="A27" s="309" t="s">
        <v>178</v>
      </c>
      <c r="B27" s="309"/>
      <c r="C27" s="307" t="s">
        <v>179</v>
      </c>
      <c r="D27" s="307"/>
      <c r="E27" s="307" t="s">
        <v>180</v>
      </c>
      <c r="F27" s="307"/>
      <c r="G27" s="307" t="s">
        <v>181</v>
      </c>
      <c r="H27" s="307"/>
      <c r="I27" s="307" t="s">
        <v>182</v>
      </c>
      <c r="J27" s="307"/>
      <c r="K27" s="307" t="s">
        <v>183</v>
      </c>
      <c r="L27" s="307"/>
      <c r="M27" s="311" t="s">
        <v>184</v>
      </c>
      <c r="N27" s="307"/>
      <c r="O27" s="311" t="s">
        <v>191</v>
      </c>
      <c r="P27" s="307"/>
    </row>
    <row r="28" spans="1:16" x14ac:dyDescent="0.2">
      <c r="A28" s="8" t="s">
        <v>185</v>
      </c>
      <c r="B28" s="8" t="s">
        <v>186</v>
      </c>
      <c r="C28" s="9" t="s">
        <v>187</v>
      </c>
      <c r="D28" s="9" t="s">
        <v>27</v>
      </c>
      <c r="E28" s="9" t="s">
        <v>187</v>
      </c>
      <c r="F28" s="9" t="s">
        <v>27</v>
      </c>
      <c r="G28" s="9" t="s">
        <v>187</v>
      </c>
      <c r="H28" s="9" t="s">
        <v>27</v>
      </c>
      <c r="I28" s="9" t="s">
        <v>187</v>
      </c>
      <c r="J28" s="9" t="s">
        <v>27</v>
      </c>
      <c r="K28" s="9" t="s">
        <v>187</v>
      </c>
      <c r="L28" s="9" t="s">
        <v>27</v>
      </c>
      <c r="M28" s="9" t="s">
        <v>187</v>
      </c>
      <c r="N28" s="9" t="s">
        <v>27</v>
      </c>
      <c r="O28" s="9" t="s">
        <v>187</v>
      </c>
      <c r="P28" s="9" t="s">
        <v>27</v>
      </c>
    </row>
    <row r="29" spans="1:16" x14ac:dyDescent="0.2">
      <c r="A29">
        <v>-325</v>
      </c>
      <c r="B29" s="8">
        <f t="shared" ref="B29:B46" si="0">(A29-32)*5/9</f>
        <v>-198.33333333333334</v>
      </c>
      <c r="C29">
        <v>31.4</v>
      </c>
      <c r="D29">
        <f t="shared" ref="D29:D42" si="1">C29*6894.75728*1000000</f>
        <v>216495378592</v>
      </c>
      <c r="E29">
        <v>30.3</v>
      </c>
      <c r="F29">
        <f t="shared" ref="F29:F46" si="2">E29*6894.75728*1000000</f>
        <v>208911145584</v>
      </c>
      <c r="G29">
        <v>27.8</v>
      </c>
      <c r="H29">
        <f t="shared" ref="H29:H43" si="3">G29*6894.75728*1000000</f>
        <v>191674252384</v>
      </c>
      <c r="I29">
        <v>30.5</v>
      </c>
      <c r="J29">
        <f t="shared" ref="J29:J43" si="4">I29*6894.75728*1000000</f>
        <v>210290097040</v>
      </c>
      <c r="K29">
        <v>31.6</v>
      </c>
      <c r="L29">
        <f t="shared" ref="L29:L43" si="5">K29*6894.75728*1000000</f>
        <v>217874330048</v>
      </c>
      <c r="M29">
        <v>32.1</v>
      </c>
      <c r="N29">
        <f>M29*6894.75728*1000000</f>
        <v>221321708688</v>
      </c>
      <c r="O29">
        <v>33.200000000000003</v>
      </c>
      <c r="P29">
        <f>O29*6894.75728*1000000</f>
        <v>228905941696.00003</v>
      </c>
    </row>
    <row r="30" spans="1:16" x14ac:dyDescent="0.2">
      <c r="A30">
        <v>-200</v>
      </c>
      <c r="B30" s="8">
        <f t="shared" si="0"/>
        <v>-128.88888888888889</v>
      </c>
      <c r="C30">
        <v>30.8</v>
      </c>
      <c r="D30">
        <f t="shared" si="1"/>
        <v>212358524224</v>
      </c>
      <c r="E30">
        <v>29.7</v>
      </c>
      <c r="F30">
        <f t="shared" si="2"/>
        <v>204774291215.99997</v>
      </c>
      <c r="G30">
        <v>27.3</v>
      </c>
      <c r="H30">
        <f t="shared" si="3"/>
        <v>188226873744</v>
      </c>
      <c r="I30">
        <v>29.9</v>
      </c>
      <c r="J30">
        <f t="shared" si="4"/>
        <v>206153242672</v>
      </c>
      <c r="K30">
        <v>31.3</v>
      </c>
      <c r="L30">
        <f t="shared" si="5"/>
        <v>215805902864</v>
      </c>
      <c r="M30">
        <v>31.5</v>
      </c>
      <c r="N30">
        <f t="shared" ref="N30:N43" si="6">M30*6894.75728*1000000</f>
        <v>217184854319.99997</v>
      </c>
      <c r="O30">
        <v>32.6</v>
      </c>
      <c r="P30">
        <f t="shared" ref="P30:P43" si="7">O30*6894.75728*1000000</f>
        <v>224769087328</v>
      </c>
    </row>
    <row r="31" spans="1:16" x14ac:dyDescent="0.2">
      <c r="A31">
        <v>-100</v>
      </c>
      <c r="B31" s="8">
        <f t="shared" si="0"/>
        <v>-73.333333333333329</v>
      </c>
      <c r="C31">
        <v>30.2</v>
      </c>
      <c r="D31">
        <f t="shared" si="1"/>
        <v>208221669856</v>
      </c>
      <c r="E31">
        <v>29</v>
      </c>
      <c r="F31">
        <f t="shared" si="2"/>
        <v>199947961120</v>
      </c>
      <c r="G31">
        <v>26.8</v>
      </c>
      <c r="H31">
        <f t="shared" si="3"/>
        <v>184779495104</v>
      </c>
      <c r="I31">
        <v>29.4</v>
      </c>
      <c r="J31">
        <f t="shared" si="4"/>
        <v>202705864031.99997</v>
      </c>
      <c r="K31">
        <v>30.6</v>
      </c>
      <c r="L31">
        <f t="shared" si="5"/>
        <v>210979572768</v>
      </c>
      <c r="M31">
        <v>30.9</v>
      </c>
      <c r="N31">
        <f t="shared" si="6"/>
        <v>213047999951.99997</v>
      </c>
      <c r="O31">
        <v>31.9</v>
      </c>
      <c r="P31">
        <f t="shared" si="7"/>
        <v>219942757231.99997</v>
      </c>
    </row>
    <row r="32" spans="1:16" x14ac:dyDescent="0.2">
      <c r="A32">
        <v>70</v>
      </c>
      <c r="B32" s="8">
        <f t="shared" si="0"/>
        <v>21.111111111111111</v>
      </c>
      <c r="C32">
        <v>29.5</v>
      </c>
      <c r="D32">
        <f t="shared" si="1"/>
        <v>203395339760</v>
      </c>
      <c r="E32">
        <v>28.3</v>
      </c>
      <c r="F32">
        <f t="shared" si="2"/>
        <v>195121631024</v>
      </c>
      <c r="G32">
        <v>26</v>
      </c>
      <c r="H32">
        <f t="shared" si="3"/>
        <v>179263689280</v>
      </c>
      <c r="I32">
        <v>28.5</v>
      </c>
      <c r="J32">
        <f t="shared" si="4"/>
        <v>196500582479.99997</v>
      </c>
      <c r="K32">
        <v>29.8</v>
      </c>
      <c r="L32">
        <f t="shared" si="5"/>
        <v>205463766944</v>
      </c>
      <c r="M32">
        <v>30</v>
      </c>
      <c r="N32">
        <f t="shared" si="6"/>
        <v>206842718399.99997</v>
      </c>
      <c r="O32">
        <v>31</v>
      </c>
      <c r="P32">
        <f t="shared" si="7"/>
        <v>213737475680</v>
      </c>
    </row>
    <row r="33" spans="1:16" x14ac:dyDescent="0.2">
      <c r="A33">
        <v>200</v>
      </c>
      <c r="B33" s="8">
        <f t="shared" si="0"/>
        <v>93.333333333333329</v>
      </c>
      <c r="C33">
        <v>28.8</v>
      </c>
      <c r="D33">
        <f t="shared" si="1"/>
        <v>198569009664</v>
      </c>
      <c r="E33">
        <v>27.6</v>
      </c>
      <c r="F33">
        <f t="shared" si="2"/>
        <v>190295300928</v>
      </c>
      <c r="G33">
        <v>25.4</v>
      </c>
      <c r="H33">
        <f t="shared" si="3"/>
        <v>175126834912</v>
      </c>
      <c r="I33">
        <v>27.8</v>
      </c>
      <c r="J33">
        <f t="shared" si="4"/>
        <v>191674252384</v>
      </c>
      <c r="K33">
        <v>29.1</v>
      </c>
      <c r="L33">
        <f t="shared" si="5"/>
        <v>200637436848</v>
      </c>
      <c r="M33">
        <v>29.3</v>
      </c>
      <c r="N33">
        <f t="shared" si="6"/>
        <v>202016388304</v>
      </c>
      <c r="O33">
        <v>30.2</v>
      </c>
      <c r="P33">
        <f t="shared" si="7"/>
        <v>208221669856</v>
      </c>
    </row>
    <row r="34" spans="1:16" x14ac:dyDescent="0.2">
      <c r="A34">
        <v>300</v>
      </c>
      <c r="B34" s="8">
        <f t="shared" si="0"/>
        <v>148.88888888888889</v>
      </c>
      <c r="C34">
        <v>28.3</v>
      </c>
      <c r="D34">
        <f t="shared" si="1"/>
        <v>195121631024</v>
      </c>
      <c r="E34">
        <v>27</v>
      </c>
      <c r="F34">
        <f t="shared" si="2"/>
        <v>186158446559.99997</v>
      </c>
      <c r="G34">
        <v>25</v>
      </c>
      <c r="H34">
        <f t="shared" si="3"/>
        <v>172368932000</v>
      </c>
      <c r="I34">
        <v>27.4</v>
      </c>
      <c r="J34">
        <f t="shared" si="4"/>
        <v>188916349471.99997</v>
      </c>
      <c r="K34">
        <v>28.6</v>
      </c>
      <c r="L34">
        <f t="shared" si="5"/>
        <v>197190058208</v>
      </c>
      <c r="M34">
        <v>28.8</v>
      </c>
      <c r="N34">
        <f t="shared" si="6"/>
        <v>198569009664</v>
      </c>
      <c r="O34">
        <v>29.9</v>
      </c>
      <c r="P34">
        <f t="shared" si="7"/>
        <v>206153242672</v>
      </c>
    </row>
    <row r="35" spans="1:16" x14ac:dyDescent="0.2">
      <c r="A35">
        <v>400</v>
      </c>
      <c r="B35" s="8">
        <f t="shared" si="0"/>
        <v>204.44444444444446</v>
      </c>
      <c r="C35">
        <v>27.7</v>
      </c>
      <c r="D35">
        <f t="shared" si="1"/>
        <v>190984776656</v>
      </c>
      <c r="E35">
        <v>26.5</v>
      </c>
      <c r="F35">
        <f t="shared" si="2"/>
        <v>182711067920</v>
      </c>
      <c r="G35">
        <v>24.7</v>
      </c>
      <c r="H35">
        <f t="shared" si="3"/>
        <v>170300504816</v>
      </c>
      <c r="I35">
        <v>27.1</v>
      </c>
      <c r="J35">
        <f t="shared" si="4"/>
        <v>186847922288</v>
      </c>
      <c r="K35">
        <v>28.3</v>
      </c>
      <c r="L35">
        <f t="shared" si="5"/>
        <v>195121631024</v>
      </c>
      <c r="M35">
        <v>28.5</v>
      </c>
      <c r="N35">
        <f t="shared" si="6"/>
        <v>196500582479.99997</v>
      </c>
      <c r="O35">
        <v>29.5</v>
      </c>
      <c r="P35">
        <f t="shared" si="7"/>
        <v>203395339760</v>
      </c>
    </row>
    <row r="36" spans="1:16" x14ac:dyDescent="0.2">
      <c r="A36">
        <v>500</v>
      </c>
      <c r="B36" s="8">
        <f t="shared" si="0"/>
        <v>260</v>
      </c>
      <c r="C36">
        <v>27.3</v>
      </c>
      <c r="D36">
        <f t="shared" si="1"/>
        <v>188226873744</v>
      </c>
      <c r="E36">
        <v>25.8</v>
      </c>
      <c r="F36">
        <f t="shared" si="2"/>
        <v>177884737824</v>
      </c>
      <c r="G36">
        <v>24.3</v>
      </c>
      <c r="H36">
        <f t="shared" si="3"/>
        <v>167542601904</v>
      </c>
      <c r="I36">
        <v>26.6</v>
      </c>
      <c r="J36">
        <f t="shared" si="4"/>
        <v>183400543648</v>
      </c>
      <c r="K36">
        <v>27.9</v>
      </c>
      <c r="L36">
        <f t="shared" si="5"/>
        <v>192363728111.99997</v>
      </c>
      <c r="M36">
        <v>28.1</v>
      </c>
      <c r="N36">
        <f t="shared" si="6"/>
        <v>193742679568</v>
      </c>
      <c r="O36">
        <v>29</v>
      </c>
      <c r="P36">
        <f t="shared" si="7"/>
        <v>199947961120</v>
      </c>
    </row>
    <row r="37" spans="1:16" x14ac:dyDescent="0.2">
      <c r="A37">
        <v>600</v>
      </c>
      <c r="B37" s="8">
        <f t="shared" si="0"/>
        <v>315.55555555555554</v>
      </c>
      <c r="C37">
        <v>26.7</v>
      </c>
      <c r="D37">
        <f t="shared" si="1"/>
        <v>184090019375.99997</v>
      </c>
      <c r="E37">
        <v>25.3</v>
      </c>
      <c r="F37">
        <f t="shared" si="2"/>
        <v>174437359184</v>
      </c>
      <c r="G37">
        <v>24.1</v>
      </c>
      <c r="H37">
        <f t="shared" si="3"/>
        <v>166163650448</v>
      </c>
      <c r="I37">
        <v>26.4</v>
      </c>
      <c r="J37">
        <f t="shared" si="4"/>
        <v>182021592191.99997</v>
      </c>
      <c r="K37">
        <v>27.6</v>
      </c>
      <c r="L37">
        <f t="shared" si="5"/>
        <v>190295300928</v>
      </c>
      <c r="M37">
        <v>27.8</v>
      </c>
      <c r="N37">
        <f t="shared" si="6"/>
        <v>191674252384</v>
      </c>
      <c r="O37">
        <v>28.7</v>
      </c>
      <c r="P37">
        <f t="shared" si="7"/>
        <v>197879533936</v>
      </c>
    </row>
    <row r="38" spans="1:16" x14ac:dyDescent="0.2">
      <c r="A38">
        <v>700</v>
      </c>
      <c r="B38" s="8">
        <f t="shared" si="0"/>
        <v>371.11111111111109</v>
      </c>
      <c r="C38">
        <v>25.5</v>
      </c>
      <c r="D38">
        <f t="shared" si="1"/>
        <v>175816310639.99997</v>
      </c>
      <c r="E38">
        <v>24.8</v>
      </c>
      <c r="F38">
        <f t="shared" si="2"/>
        <v>170989980544</v>
      </c>
      <c r="G38">
        <v>23.7</v>
      </c>
      <c r="H38">
        <f t="shared" si="3"/>
        <v>163405747535.99997</v>
      </c>
      <c r="I38">
        <v>25.9</v>
      </c>
      <c r="J38">
        <f t="shared" si="4"/>
        <v>178574213551.99997</v>
      </c>
      <c r="K38">
        <v>27.1</v>
      </c>
      <c r="L38">
        <f t="shared" si="5"/>
        <v>186847922288</v>
      </c>
      <c r="M38">
        <v>27.3</v>
      </c>
      <c r="N38">
        <f t="shared" si="6"/>
        <v>188226873744</v>
      </c>
      <c r="O38">
        <v>28.2</v>
      </c>
      <c r="P38">
        <f t="shared" si="7"/>
        <v>194432155295.99997</v>
      </c>
    </row>
    <row r="39" spans="1:16" x14ac:dyDescent="0.2">
      <c r="A39">
        <v>800</v>
      </c>
      <c r="B39" s="8">
        <f t="shared" si="0"/>
        <v>426.66666666666669</v>
      </c>
      <c r="C39">
        <v>24.2</v>
      </c>
      <c r="D39">
        <f t="shared" si="1"/>
        <v>166853126176</v>
      </c>
      <c r="E39">
        <v>24.1</v>
      </c>
      <c r="F39">
        <f t="shared" si="2"/>
        <v>166163650448</v>
      </c>
      <c r="G39">
        <v>23.1</v>
      </c>
      <c r="H39">
        <f t="shared" si="3"/>
        <v>159268893168</v>
      </c>
      <c r="I39">
        <v>25.4</v>
      </c>
      <c r="J39">
        <f t="shared" si="4"/>
        <v>175126834912</v>
      </c>
      <c r="K39">
        <v>26.5</v>
      </c>
      <c r="L39">
        <f t="shared" si="5"/>
        <v>182711067920</v>
      </c>
      <c r="M39">
        <v>26.7</v>
      </c>
      <c r="N39">
        <f t="shared" si="6"/>
        <v>184090019375.99997</v>
      </c>
      <c r="O39">
        <v>27.6</v>
      </c>
      <c r="P39">
        <f t="shared" si="7"/>
        <v>190295300928</v>
      </c>
    </row>
    <row r="40" spans="1:16" x14ac:dyDescent="0.2">
      <c r="A40">
        <v>900</v>
      </c>
      <c r="B40" s="8">
        <f t="shared" si="0"/>
        <v>482.22222222222223</v>
      </c>
      <c r="C40">
        <v>22.4</v>
      </c>
      <c r="D40">
        <f t="shared" si="1"/>
        <v>154442563072</v>
      </c>
      <c r="E40">
        <v>23.5</v>
      </c>
      <c r="F40">
        <f t="shared" si="2"/>
        <v>162026796080</v>
      </c>
      <c r="G40">
        <v>22.6</v>
      </c>
      <c r="H40">
        <f t="shared" si="3"/>
        <v>155821514528</v>
      </c>
      <c r="I40">
        <v>24.8</v>
      </c>
      <c r="J40">
        <f t="shared" si="4"/>
        <v>170989980544</v>
      </c>
      <c r="K40">
        <v>25.9</v>
      </c>
      <c r="L40">
        <f t="shared" si="5"/>
        <v>178574213551.99997</v>
      </c>
      <c r="M40">
        <v>26.1</v>
      </c>
      <c r="N40">
        <f t="shared" si="6"/>
        <v>179953165008</v>
      </c>
      <c r="O40">
        <v>27</v>
      </c>
      <c r="P40">
        <f t="shared" si="7"/>
        <v>186158446559.99997</v>
      </c>
    </row>
    <row r="41" spans="1:16" x14ac:dyDescent="0.2">
      <c r="A41">
        <v>1000</v>
      </c>
      <c r="B41" s="8">
        <f t="shared" si="0"/>
        <v>537.77777777777783</v>
      </c>
      <c r="C41">
        <v>20.399999999999999</v>
      </c>
      <c r="D41">
        <f t="shared" si="1"/>
        <v>140653048511.99997</v>
      </c>
      <c r="E41">
        <v>22.8</v>
      </c>
      <c r="F41">
        <f t="shared" si="2"/>
        <v>157200465984</v>
      </c>
      <c r="G41">
        <v>22.1</v>
      </c>
      <c r="H41">
        <f t="shared" si="3"/>
        <v>152374135888.00003</v>
      </c>
      <c r="I41">
        <v>24.2</v>
      </c>
      <c r="J41">
        <f t="shared" si="4"/>
        <v>166853126176</v>
      </c>
      <c r="K41">
        <v>25.3</v>
      </c>
      <c r="L41">
        <f t="shared" si="5"/>
        <v>174437359184</v>
      </c>
      <c r="M41">
        <v>25.5</v>
      </c>
      <c r="N41">
        <f t="shared" si="6"/>
        <v>175816310639.99997</v>
      </c>
      <c r="O41">
        <v>26.4</v>
      </c>
      <c r="P41">
        <f t="shared" si="7"/>
        <v>182021592191.99997</v>
      </c>
    </row>
    <row r="42" spans="1:16" x14ac:dyDescent="0.2">
      <c r="A42">
        <v>1100</v>
      </c>
      <c r="B42" s="8">
        <f t="shared" si="0"/>
        <v>593.33333333333337</v>
      </c>
      <c r="C42">
        <v>18</v>
      </c>
      <c r="D42">
        <f t="shared" si="1"/>
        <v>124105631040</v>
      </c>
      <c r="E42">
        <v>22.1</v>
      </c>
      <c r="F42">
        <f t="shared" si="2"/>
        <v>152374135888.00003</v>
      </c>
      <c r="G42">
        <v>21.7</v>
      </c>
      <c r="H42">
        <f t="shared" si="3"/>
        <v>149616232976</v>
      </c>
      <c r="I42">
        <v>23.8</v>
      </c>
      <c r="J42">
        <f t="shared" si="4"/>
        <v>164095223264</v>
      </c>
      <c r="K42">
        <v>24.9</v>
      </c>
      <c r="L42">
        <f t="shared" si="5"/>
        <v>171679456271.99997</v>
      </c>
      <c r="M42">
        <v>25.1</v>
      </c>
      <c r="N42">
        <f t="shared" si="6"/>
        <v>173058407728</v>
      </c>
      <c r="O42">
        <v>25.9</v>
      </c>
      <c r="P42">
        <f t="shared" si="7"/>
        <v>178574213551.99997</v>
      </c>
    </row>
    <row r="43" spans="1:16" x14ac:dyDescent="0.2">
      <c r="A43">
        <v>1200</v>
      </c>
      <c r="B43" s="8">
        <f t="shared" si="0"/>
        <v>648.88888888888891</v>
      </c>
      <c r="C43"/>
      <c r="D43"/>
      <c r="E43">
        <v>21.2</v>
      </c>
      <c r="F43">
        <f t="shared" si="2"/>
        <v>146168854336</v>
      </c>
      <c r="G43">
        <v>21.2</v>
      </c>
      <c r="H43">
        <f t="shared" si="3"/>
        <v>146168854336</v>
      </c>
      <c r="I43">
        <v>23.2</v>
      </c>
      <c r="J43">
        <f t="shared" si="4"/>
        <v>159958368896</v>
      </c>
      <c r="K43">
        <v>24.3</v>
      </c>
      <c r="L43">
        <f t="shared" si="5"/>
        <v>167542601904</v>
      </c>
      <c r="M43">
        <v>24.5</v>
      </c>
      <c r="N43">
        <f t="shared" si="6"/>
        <v>168921553360</v>
      </c>
      <c r="O43">
        <v>25.3</v>
      </c>
      <c r="P43">
        <f t="shared" si="7"/>
        <v>174437359184</v>
      </c>
    </row>
    <row r="44" spans="1:16" x14ac:dyDescent="0.2">
      <c r="A44">
        <v>1300</v>
      </c>
      <c r="B44" s="8">
        <f t="shared" si="0"/>
        <v>704.44444444444446</v>
      </c>
      <c r="C44"/>
      <c r="D44"/>
      <c r="E44">
        <v>20.2</v>
      </c>
      <c r="F44">
        <f t="shared" si="2"/>
        <v>139274097056</v>
      </c>
      <c r="G44"/>
      <c r="H44"/>
      <c r="I44"/>
      <c r="J44"/>
      <c r="K44"/>
      <c r="L44"/>
      <c r="M44"/>
      <c r="N44"/>
      <c r="O44"/>
      <c r="P44"/>
    </row>
    <row r="45" spans="1:16" x14ac:dyDescent="0.2">
      <c r="A45">
        <v>1400</v>
      </c>
      <c r="B45" s="8">
        <f t="shared" si="0"/>
        <v>760</v>
      </c>
      <c r="C45"/>
      <c r="D45"/>
      <c r="E45">
        <v>19.2</v>
      </c>
      <c r="F45">
        <f t="shared" si="2"/>
        <v>132379339775.99998</v>
      </c>
      <c r="G45"/>
      <c r="H45"/>
      <c r="I45"/>
      <c r="J45"/>
      <c r="K45"/>
      <c r="L45"/>
      <c r="M45"/>
      <c r="N45"/>
      <c r="O45"/>
      <c r="P45"/>
    </row>
    <row r="46" spans="1:16" x14ac:dyDescent="0.2">
      <c r="A46">
        <v>1500</v>
      </c>
      <c r="B46" s="8">
        <f t="shared" si="0"/>
        <v>815.55555555555554</v>
      </c>
      <c r="C46"/>
      <c r="D46"/>
      <c r="E46">
        <v>18.100000000000001</v>
      </c>
      <c r="F46">
        <f t="shared" si="2"/>
        <v>124795106768.00002</v>
      </c>
      <c r="G46"/>
      <c r="H46"/>
      <c r="I46"/>
      <c r="J46"/>
      <c r="K46"/>
      <c r="L46"/>
      <c r="M46"/>
      <c r="N46"/>
      <c r="O46"/>
      <c r="P46"/>
    </row>
    <row r="49" spans="1:36" ht="21" x14ac:dyDescent="0.35">
      <c r="A49" s="16" t="s">
        <v>305</v>
      </c>
      <c r="C49" s="12" t="s">
        <v>389</v>
      </c>
    </row>
    <row r="50" spans="1:36" s="253" customFormat="1" ht="14.25" customHeight="1" x14ac:dyDescent="0.2">
      <c r="A50" s="252"/>
      <c r="C50" s="310" t="s">
        <v>459</v>
      </c>
      <c r="D50" s="310"/>
      <c r="E50" s="308" t="s">
        <v>114</v>
      </c>
      <c r="F50" s="308"/>
      <c r="G50" s="308" t="s">
        <v>142</v>
      </c>
      <c r="H50" s="308"/>
      <c r="I50" s="308" t="s">
        <v>140</v>
      </c>
      <c r="J50" s="308"/>
      <c r="K50" s="308" t="s">
        <v>143</v>
      </c>
      <c r="L50" s="308"/>
      <c r="M50" s="308" t="s">
        <v>145</v>
      </c>
      <c r="N50" s="308"/>
      <c r="O50" s="308" t="s">
        <v>144</v>
      </c>
      <c r="P50" s="308"/>
      <c r="Q50" s="308" t="s">
        <v>115</v>
      </c>
      <c r="R50" s="308"/>
      <c r="S50" s="308" t="s">
        <v>116</v>
      </c>
      <c r="T50" s="308"/>
      <c r="U50" s="308" t="s">
        <v>224</v>
      </c>
      <c r="V50" s="308"/>
      <c r="W50" s="308" t="s">
        <v>227</v>
      </c>
      <c r="X50" s="308"/>
      <c r="Y50" s="316" t="s">
        <v>117</v>
      </c>
      <c r="Z50" s="316"/>
      <c r="AA50" s="308" t="s">
        <v>118</v>
      </c>
      <c r="AB50" s="308"/>
      <c r="AC50" s="308" t="s">
        <v>119</v>
      </c>
      <c r="AD50" s="308"/>
      <c r="AE50" s="308" t="s">
        <v>120</v>
      </c>
      <c r="AF50" s="308"/>
      <c r="AG50" s="308" t="s">
        <v>121</v>
      </c>
      <c r="AH50" s="308"/>
      <c r="AI50" s="308" t="s">
        <v>122</v>
      </c>
      <c r="AJ50" s="308"/>
    </row>
    <row r="51" spans="1:36" x14ac:dyDescent="0.2">
      <c r="A51" s="309"/>
      <c r="B51" s="309"/>
      <c r="C51" s="307" t="s">
        <v>207</v>
      </c>
      <c r="D51" s="307"/>
      <c r="E51" s="307" t="s">
        <v>209</v>
      </c>
      <c r="F51" s="307"/>
      <c r="G51" s="307" t="s">
        <v>211</v>
      </c>
      <c r="H51" s="307"/>
      <c r="I51" s="307" t="s">
        <v>212</v>
      </c>
      <c r="J51" s="307"/>
      <c r="K51" s="307" t="s">
        <v>215</v>
      </c>
      <c r="L51" s="307"/>
      <c r="M51" s="307" t="s">
        <v>217</v>
      </c>
      <c r="N51" s="307"/>
      <c r="O51" s="307" t="s">
        <v>219</v>
      </c>
      <c r="P51" s="307"/>
      <c r="Q51" s="307" t="s">
        <v>115</v>
      </c>
      <c r="R51" s="307"/>
      <c r="S51" s="307" t="s">
        <v>116</v>
      </c>
      <c r="T51" s="307"/>
      <c r="U51" s="307" t="s">
        <v>224</v>
      </c>
      <c r="V51" s="307"/>
      <c r="W51" s="307" t="s">
        <v>227</v>
      </c>
      <c r="X51" s="307"/>
      <c r="Y51" s="307" t="s">
        <v>117</v>
      </c>
      <c r="Z51" s="307"/>
      <c r="AA51" s="307" t="s">
        <v>183</v>
      </c>
      <c r="AB51" s="307"/>
      <c r="AC51" s="307" t="s">
        <v>181</v>
      </c>
      <c r="AD51" s="307"/>
      <c r="AE51" s="311" t="s">
        <v>191</v>
      </c>
      <c r="AF51" s="307"/>
      <c r="AG51" s="311" t="s">
        <v>228</v>
      </c>
      <c r="AH51" s="307"/>
      <c r="AI51" s="307" t="s">
        <v>230</v>
      </c>
      <c r="AJ51" s="307"/>
    </row>
    <row r="52" spans="1:36" x14ac:dyDescent="0.2">
      <c r="A52" s="8" t="s">
        <v>185</v>
      </c>
      <c r="B52" s="8" t="s">
        <v>186</v>
      </c>
      <c r="C52" s="9" t="s">
        <v>391</v>
      </c>
      <c r="D52" s="9" t="s">
        <v>27</v>
      </c>
      <c r="E52" s="9" t="s">
        <v>391</v>
      </c>
      <c r="F52" s="9" t="s">
        <v>27</v>
      </c>
      <c r="G52" s="9" t="s">
        <v>391</v>
      </c>
      <c r="H52" s="9" t="s">
        <v>27</v>
      </c>
      <c r="I52" s="9" t="s">
        <v>391</v>
      </c>
      <c r="J52" s="9" t="s">
        <v>27</v>
      </c>
      <c r="K52" s="9" t="s">
        <v>391</v>
      </c>
      <c r="L52" s="9" t="s">
        <v>27</v>
      </c>
      <c r="M52" s="9" t="s">
        <v>391</v>
      </c>
      <c r="N52" s="9" t="s">
        <v>27</v>
      </c>
      <c r="O52" s="9" t="s">
        <v>391</v>
      </c>
      <c r="P52" s="9" t="s">
        <v>27</v>
      </c>
      <c r="Q52" s="9" t="s">
        <v>392</v>
      </c>
      <c r="R52" s="9" t="s">
        <v>27</v>
      </c>
      <c r="S52" s="9" t="s">
        <v>393</v>
      </c>
      <c r="T52" s="9" t="s">
        <v>27</v>
      </c>
      <c r="U52" s="9" t="s">
        <v>393</v>
      </c>
      <c r="V52" s="9" t="s">
        <v>27</v>
      </c>
      <c r="W52" s="9" t="s">
        <v>393</v>
      </c>
      <c r="X52" s="9" t="s">
        <v>27</v>
      </c>
      <c r="Y52" s="9" t="s">
        <v>393</v>
      </c>
      <c r="Z52" s="9" t="s">
        <v>27</v>
      </c>
      <c r="AA52" s="9" t="s">
        <v>394</v>
      </c>
      <c r="AB52" s="9" t="s">
        <v>27</v>
      </c>
      <c r="AC52" s="9" t="s">
        <v>394</v>
      </c>
      <c r="AD52" s="9" t="s">
        <v>27</v>
      </c>
      <c r="AE52" s="9" t="s">
        <v>394</v>
      </c>
      <c r="AF52" s="9" t="s">
        <v>27</v>
      </c>
      <c r="AG52" s="9" t="s">
        <v>394</v>
      </c>
      <c r="AH52" s="9" t="s">
        <v>27</v>
      </c>
      <c r="AI52" s="9" t="s">
        <v>394</v>
      </c>
      <c r="AJ52" s="9" t="s">
        <v>27</v>
      </c>
    </row>
    <row r="53" spans="1:36" x14ac:dyDescent="0.2">
      <c r="A53">
        <v>-425</v>
      </c>
      <c r="B53" s="8">
        <f t="shared" ref="B53:B80" si="8">(A53-32)*5/9</f>
        <v>-253.88888888888889</v>
      </c>
      <c r="C53" s="136"/>
      <c r="D53" s="136"/>
      <c r="E53" s="137">
        <v>16.7</v>
      </c>
      <c r="F53" s="137">
        <f t="shared" ref="F53:F74" si="9">E53*6894.75728*1000</f>
        <v>115142446.57599999</v>
      </c>
      <c r="G53" s="137">
        <v>20</v>
      </c>
      <c r="H53" s="137">
        <f>G53*6894.75728*1000</f>
        <v>137895145.59999999</v>
      </c>
      <c r="I53" s="136"/>
      <c r="J53" s="136"/>
      <c r="K53" s="136"/>
      <c r="L53" s="136"/>
      <c r="M53" s="137">
        <v>20</v>
      </c>
      <c r="N53" s="137">
        <f>M53*6894.75728*1000</f>
        <v>137895145.59999999</v>
      </c>
      <c r="O53" s="137">
        <v>20</v>
      </c>
      <c r="P53" s="137">
        <f>O53*6894.75728*1000</f>
        <v>137895145.59999999</v>
      </c>
      <c r="Q53" s="136"/>
      <c r="R53" s="136"/>
      <c r="S53" s="136"/>
      <c r="T53" s="136"/>
      <c r="U53" s="136"/>
      <c r="V53" s="136"/>
      <c r="W53" s="136"/>
      <c r="X53" s="136"/>
      <c r="Y53" s="136"/>
      <c r="Z53" s="136"/>
      <c r="AA53" s="136"/>
      <c r="AB53" s="136"/>
      <c r="AC53" s="136"/>
      <c r="AD53" s="136"/>
      <c r="AE53" s="136"/>
      <c r="AF53" s="136"/>
      <c r="AG53" s="136"/>
      <c r="AH53" s="136"/>
      <c r="AI53" s="136"/>
      <c r="AJ53" s="136"/>
    </row>
    <row r="54" spans="1:36" x14ac:dyDescent="0.2">
      <c r="A54">
        <v>-325</v>
      </c>
      <c r="B54" s="8">
        <f>(A54-32)*5/9</f>
        <v>-198.33333333333334</v>
      </c>
      <c r="C54" s="137">
        <v>20</v>
      </c>
      <c r="D54" s="137">
        <f>C54*6894.75728*1000</f>
        <v>137895145.59999999</v>
      </c>
      <c r="E54" s="137">
        <v>16.7</v>
      </c>
      <c r="F54" s="137">
        <f t="shared" si="9"/>
        <v>115142446.57599999</v>
      </c>
      <c r="G54" s="137">
        <v>20</v>
      </c>
      <c r="H54" s="137">
        <f>G54*6894.75728*1000</f>
        <v>137895145.59999999</v>
      </c>
      <c r="I54" s="137">
        <v>16.7</v>
      </c>
      <c r="J54" s="137">
        <f>I54*6894.75728*1000</f>
        <v>115142446.57599999</v>
      </c>
      <c r="K54" s="137">
        <v>20</v>
      </c>
      <c r="L54" s="137">
        <f>K54*6894.75728*1000</f>
        <v>137895145.59999999</v>
      </c>
      <c r="M54" s="137">
        <v>20</v>
      </c>
      <c r="N54" s="137">
        <f>M54*6894.75728*1000</f>
        <v>137895145.59999999</v>
      </c>
      <c r="O54" s="137">
        <v>20</v>
      </c>
      <c r="P54" s="137">
        <f>O54*6894.75728*1000</f>
        <v>137895145.59999999</v>
      </c>
      <c r="Q54" s="136"/>
      <c r="R54" s="136"/>
      <c r="S54" s="136"/>
      <c r="T54" s="136"/>
      <c r="U54" s="136"/>
      <c r="V54" s="136"/>
      <c r="W54" s="136"/>
      <c r="X54" s="136"/>
      <c r="Y54" s="136"/>
      <c r="Z54" s="136"/>
      <c r="AA54" s="137">
        <v>27.3</v>
      </c>
      <c r="AB54" s="137">
        <f>AA54*6894.75728*1000</f>
        <v>188226873.74400002</v>
      </c>
      <c r="AC54" s="136"/>
      <c r="AD54" s="136"/>
      <c r="AE54" s="136"/>
      <c r="AF54" s="136"/>
      <c r="AG54" s="137">
        <v>31.4</v>
      </c>
      <c r="AH54" s="137">
        <f>AG54*6894.75728*1000</f>
        <v>216495378.59200001</v>
      </c>
      <c r="AI54" s="137">
        <v>20</v>
      </c>
      <c r="AJ54" s="137">
        <f>AI54*6894.75728*1000</f>
        <v>137895145.59999999</v>
      </c>
    </row>
    <row r="55" spans="1:36" x14ac:dyDescent="0.2">
      <c r="A55">
        <v>-20</v>
      </c>
      <c r="B55" s="8">
        <f>(A55-32)*5/9</f>
        <v>-28.888888888888889</v>
      </c>
      <c r="C55" s="137">
        <v>20</v>
      </c>
      <c r="D55" s="137">
        <f>C55*6894.75728*1000</f>
        <v>137895145.59999999</v>
      </c>
      <c r="E55" s="137">
        <v>16.7</v>
      </c>
      <c r="F55" s="137">
        <f t="shared" si="9"/>
        <v>115142446.57599999</v>
      </c>
      <c r="G55" s="137">
        <v>20</v>
      </c>
      <c r="H55" s="137">
        <f>G55*6894.75728*1000</f>
        <v>137895145.59999999</v>
      </c>
      <c r="I55" s="137">
        <v>16.7</v>
      </c>
      <c r="J55" s="137">
        <f>I55*6894.75728*1000</f>
        <v>115142446.57599999</v>
      </c>
      <c r="K55" s="137">
        <v>20</v>
      </c>
      <c r="L55" s="137">
        <f>K55*6894.75728*1000</f>
        <v>137895145.59999999</v>
      </c>
      <c r="M55" s="137">
        <v>20</v>
      </c>
      <c r="N55" s="137">
        <f>M55*6894.75728*1000</f>
        <v>137895145.59999999</v>
      </c>
      <c r="O55" s="137">
        <v>20</v>
      </c>
      <c r="P55" s="137">
        <f>O55*6894.75728*1000</f>
        <v>137895145.59999999</v>
      </c>
      <c r="Q55" s="137">
        <v>20</v>
      </c>
      <c r="R55" s="137">
        <f>Q55*6894.75728*1000</f>
        <v>137895145.59999999</v>
      </c>
      <c r="S55" s="137">
        <v>20</v>
      </c>
      <c r="T55" s="137">
        <f>S55*6894.75728*1000</f>
        <v>137895145.59999999</v>
      </c>
      <c r="U55" s="137">
        <v>17.100000000000001</v>
      </c>
      <c r="V55" s="137">
        <f>U55*6894.75728*1000</f>
        <v>117900349.48800001</v>
      </c>
      <c r="W55" s="137">
        <v>17.100000000000001</v>
      </c>
      <c r="X55" s="137">
        <f>W55*6894.75728*1000</f>
        <v>117900349.48800001</v>
      </c>
      <c r="Y55" s="137">
        <v>24.3</v>
      </c>
      <c r="Z55" s="137">
        <f>Y55*6894.75728*1000</f>
        <v>167542601.90400001</v>
      </c>
      <c r="AA55" s="137">
        <v>27.3</v>
      </c>
      <c r="AB55" s="137">
        <f>AA55*6894.75728*1000</f>
        <v>188226873.74400002</v>
      </c>
      <c r="AC55" s="136"/>
      <c r="AD55" s="136"/>
      <c r="AE55" s="136"/>
      <c r="AF55" s="136"/>
      <c r="AG55" s="137">
        <v>31.4</v>
      </c>
      <c r="AH55" s="137">
        <f>AG55*6894.75728*1000</f>
        <v>216495378.59200001</v>
      </c>
      <c r="AI55" s="137">
        <v>20</v>
      </c>
      <c r="AJ55" s="137">
        <f>AI55*6894.75728*1000</f>
        <v>137895145.59999999</v>
      </c>
    </row>
    <row r="56" spans="1:36" x14ac:dyDescent="0.2">
      <c r="A56">
        <v>0</v>
      </c>
      <c r="B56" s="8">
        <f>(A56-32)*5/9</f>
        <v>-17.777777777777779</v>
      </c>
      <c r="C56" s="137">
        <v>20</v>
      </c>
      <c r="D56" s="137">
        <f t="shared" ref="D56:D74" si="10">C56*6894.75728*1000</f>
        <v>137895145.59999999</v>
      </c>
      <c r="E56" s="137">
        <v>16.7</v>
      </c>
      <c r="F56" s="137">
        <f t="shared" si="9"/>
        <v>115142446.57599999</v>
      </c>
      <c r="G56" s="137">
        <v>20</v>
      </c>
      <c r="H56" s="137">
        <f t="shared" ref="H56:H74" si="11">G56*6894.75728*1000</f>
        <v>137895145.59999999</v>
      </c>
      <c r="I56" s="137">
        <v>16.7</v>
      </c>
      <c r="J56" s="137">
        <f t="shared" ref="J56:J66" si="12">I56*6894.75728*1000</f>
        <v>115142446.57599999</v>
      </c>
      <c r="K56" s="137">
        <v>20</v>
      </c>
      <c r="L56" s="137">
        <f t="shared" ref="L56:L74" si="13">K56*6894.75728*1000</f>
        <v>137895145.59999999</v>
      </c>
      <c r="M56" s="137">
        <v>20</v>
      </c>
      <c r="N56" s="137">
        <f t="shared" ref="N56:N74" si="14">M56*6894.75728*1000</f>
        <v>137895145.59999999</v>
      </c>
      <c r="O56" s="137">
        <v>20</v>
      </c>
      <c r="P56" s="137">
        <f t="shared" ref="P56:P74" si="15">O56*6894.75728*1000</f>
        <v>137895145.59999999</v>
      </c>
      <c r="Q56" s="137">
        <v>20</v>
      </c>
      <c r="R56" s="137">
        <f t="shared" ref="R56:R66" si="16">Q56*6894.75728*1000</f>
        <v>137895145.59999999</v>
      </c>
      <c r="S56" s="137">
        <v>20</v>
      </c>
      <c r="T56" s="137">
        <f t="shared" ref="T56:T74" si="17">S56*6894.75728*1000</f>
        <v>137895145.59999999</v>
      </c>
      <c r="U56" s="137">
        <v>17.100000000000001</v>
      </c>
      <c r="V56" s="137">
        <f t="shared" ref="V56:V72" si="18">U56*6894.75728*1000</f>
        <v>117900349.48800001</v>
      </c>
      <c r="W56" s="137">
        <v>17.100000000000001</v>
      </c>
      <c r="X56" s="137">
        <f t="shared" ref="X56:X72" si="19">W56*6894.75728*1000</f>
        <v>117900349.48800001</v>
      </c>
      <c r="Y56" s="137">
        <v>24.3</v>
      </c>
      <c r="Z56" s="137">
        <f t="shared" ref="Z56:Z74" si="20">Y56*6894.75728*1000</f>
        <v>167542601.90400001</v>
      </c>
      <c r="AA56" s="137">
        <v>27.3</v>
      </c>
      <c r="AB56" s="137">
        <f t="shared" ref="AB56:AB70" si="21">AA56*6894.75728*1000</f>
        <v>188226873.74400002</v>
      </c>
      <c r="AC56" s="136"/>
      <c r="AD56" s="136"/>
      <c r="AE56" s="136"/>
      <c r="AF56" s="136"/>
      <c r="AG56" s="137">
        <v>31.4</v>
      </c>
      <c r="AH56" s="137">
        <f t="shared" ref="AH56:AH74" si="22">AG56*6894.75728*1000</f>
        <v>216495378.59200001</v>
      </c>
      <c r="AI56" s="137">
        <v>20</v>
      </c>
      <c r="AJ56" s="137">
        <f t="shared" ref="AJ56:AJ74" si="23">AI56*6894.75728*1000</f>
        <v>137895145.59999999</v>
      </c>
    </row>
    <row r="57" spans="1:36" x14ac:dyDescent="0.2">
      <c r="A57">
        <v>100</v>
      </c>
      <c r="B57" s="8">
        <f>(A57-32)*5/9</f>
        <v>37.777777777777779</v>
      </c>
      <c r="C57" s="137">
        <v>20</v>
      </c>
      <c r="D57" s="137">
        <f>C57*6894.75728*1000</f>
        <v>137895145.59999999</v>
      </c>
      <c r="E57" s="137">
        <v>16.7</v>
      </c>
      <c r="F57" s="137">
        <f t="shared" si="9"/>
        <v>115142446.57599999</v>
      </c>
      <c r="G57" s="137">
        <v>20</v>
      </c>
      <c r="H57" s="137">
        <f>G57*6894.75728*1000</f>
        <v>137895145.59999999</v>
      </c>
      <c r="I57" s="137">
        <v>16.7</v>
      </c>
      <c r="J57" s="137">
        <f>I57*6894.75728*1000</f>
        <v>115142446.57599999</v>
      </c>
      <c r="K57" s="137">
        <v>20</v>
      </c>
      <c r="L57" s="137">
        <f>K57*6894.75728*1000</f>
        <v>137895145.59999999</v>
      </c>
      <c r="M57" s="137">
        <v>20</v>
      </c>
      <c r="N57" s="137">
        <f>M57*6894.75728*1000</f>
        <v>137895145.59999999</v>
      </c>
      <c r="O57" s="137">
        <v>20</v>
      </c>
      <c r="P57" s="137">
        <f>O57*6894.75728*1000</f>
        <v>137895145.59999999</v>
      </c>
      <c r="Q57" s="137">
        <v>20</v>
      </c>
      <c r="R57" s="137">
        <f>Q57*6894.75728*1000</f>
        <v>137895145.59999999</v>
      </c>
      <c r="S57" s="137">
        <v>20</v>
      </c>
      <c r="T57" s="137">
        <f>S57*6894.75728*1000</f>
        <v>137895145.59999999</v>
      </c>
      <c r="U57" s="137">
        <v>17.100000000000001</v>
      </c>
      <c r="V57" s="137">
        <f>U57*6894.75728*1000</f>
        <v>117900349.48800001</v>
      </c>
      <c r="W57" s="137">
        <v>17.100000000000001</v>
      </c>
      <c r="X57" s="137">
        <f>W57*6894.75728*1000</f>
        <v>117900349.48800001</v>
      </c>
      <c r="Y57" s="137">
        <v>24.3</v>
      </c>
      <c r="Z57" s="137">
        <f>Y57*6894.75728*1000</f>
        <v>167542601.90400001</v>
      </c>
      <c r="AA57" s="137">
        <v>27.3</v>
      </c>
      <c r="AB57" s="137">
        <f>AA57*6894.75728*1000</f>
        <v>188226873.74400002</v>
      </c>
      <c r="AC57" s="136"/>
      <c r="AD57" s="136"/>
      <c r="AE57" s="136"/>
      <c r="AF57" s="136"/>
      <c r="AG57" s="137">
        <v>31.4</v>
      </c>
      <c r="AH57" s="137">
        <f>AG57*6894.75728*1000</f>
        <v>216495378.59200001</v>
      </c>
      <c r="AI57" s="137">
        <v>20</v>
      </c>
      <c r="AJ57" s="137">
        <f>AI57*6894.75728*1000</f>
        <v>137895145.59999999</v>
      </c>
    </row>
    <row r="58" spans="1:36" x14ac:dyDescent="0.2">
      <c r="A58">
        <v>200</v>
      </c>
      <c r="B58" s="8">
        <f t="shared" si="8"/>
        <v>93.333333333333329</v>
      </c>
      <c r="C58" s="137">
        <v>17.3</v>
      </c>
      <c r="D58" s="137">
        <f t="shared" si="10"/>
        <v>119279300.94400001</v>
      </c>
      <c r="E58" s="137">
        <v>14.1</v>
      </c>
      <c r="F58" s="137">
        <f t="shared" si="9"/>
        <v>97216077.647999987</v>
      </c>
      <c r="G58" s="137">
        <v>16.7</v>
      </c>
      <c r="H58" s="137">
        <f t="shared" si="11"/>
        <v>115142446.57599999</v>
      </c>
      <c r="I58" s="137">
        <v>14.3</v>
      </c>
      <c r="J58" s="137">
        <f t="shared" si="12"/>
        <v>98595029.104000002</v>
      </c>
      <c r="K58" s="137">
        <v>17.600000000000001</v>
      </c>
      <c r="L58" s="137">
        <f t="shared" si="13"/>
        <v>121347728.12800001</v>
      </c>
      <c r="M58" s="137">
        <v>18</v>
      </c>
      <c r="N58" s="137">
        <f t="shared" si="14"/>
        <v>124105631.03999999</v>
      </c>
      <c r="O58" s="137">
        <v>18.399999999999999</v>
      </c>
      <c r="P58" s="137">
        <f t="shared" si="15"/>
        <v>126863533.95199998</v>
      </c>
      <c r="Q58" s="137">
        <v>20</v>
      </c>
      <c r="R58" s="137">
        <f t="shared" si="16"/>
        <v>137895145.59999999</v>
      </c>
      <c r="S58" s="137">
        <v>20</v>
      </c>
      <c r="T58" s="137">
        <f t="shared" si="17"/>
        <v>137895145.59999999</v>
      </c>
      <c r="U58" s="137">
        <v>17.100000000000001</v>
      </c>
      <c r="V58" s="137">
        <f t="shared" si="18"/>
        <v>117900349.48800001</v>
      </c>
      <c r="W58" s="137">
        <v>17.100000000000001</v>
      </c>
      <c r="X58" s="137">
        <f t="shared" si="19"/>
        <v>117900349.48800001</v>
      </c>
      <c r="Y58" s="137">
        <v>24.3</v>
      </c>
      <c r="Z58" s="137">
        <f t="shared" si="20"/>
        <v>167542601.90400001</v>
      </c>
      <c r="AA58" s="137">
        <v>24.9</v>
      </c>
      <c r="AB58" s="137">
        <f t="shared" si="21"/>
        <v>171679456.27199998</v>
      </c>
      <c r="AC58" s="136"/>
      <c r="AD58" s="136"/>
      <c r="AE58" s="136"/>
      <c r="AF58" s="136"/>
      <c r="AG58" s="137">
        <v>31.4</v>
      </c>
      <c r="AH58" s="137">
        <f t="shared" si="22"/>
        <v>216495378.59200001</v>
      </c>
      <c r="AI58" s="137">
        <v>18.5</v>
      </c>
      <c r="AJ58" s="137">
        <f t="shared" si="23"/>
        <v>127553009.68000001</v>
      </c>
    </row>
    <row r="59" spans="1:36" x14ac:dyDescent="0.2">
      <c r="A59">
        <v>300</v>
      </c>
      <c r="B59" s="8">
        <f t="shared" si="8"/>
        <v>148.88888888888889</v>
      </c>
      <c r="C59" s="137">
        <v>15.6</v>
      </c>
      <c r="D59" s="137">
        <f t="shared" si="10"/>
        <v>107558213.56799999</v>
      </c>
      <c r="E59" s="137">
        <v>12.7</v>
      </c>
      <c r="F59" s="137">
        <f t="shared" si="9"/>
        <v>87563417.456</v>
      </c>
      <c r="G59" s="137">
        <v>15</v>
      </c>
      <c r="H59" s="137">
        <f t="shared" si="11"/>
        <v>103421359.19999999</v>
      </c>
      <c r="I59" s="137">
        <v>12.8</v>
      </c>
      <c r="J59" s="137">
        <f t="shared" si="12"/>
        <v>88252893.184</v>
      </c>
      <c r="K59" s="137">
        <v>16.100000000000001</v>
      </c>
      <c r="L59" s="137">
        <f t="shared" si="13"/>
        <v>111005592.208</v>
      </c>
      <c r="M59" s="137">
        <v>16.5</v>
      </c>
      <c r="N59" s="137">
        <f t="shared" si="14"/>
        <v>113763495.11999999</v>
      </c>
      <c r="O59" s="137">
        <v>17.100000000000001</v>
      </c>
      <c r="P59" s="137">
        <f t="shared" si="15"/>
        <v>117900349.48800001</v>
      </c>
      <c r="Q59" s="137">
        <v>20</v>
      </c>
      <c r="R59" s="137">
        <f t="shared" si="16"/>
        <v>137895145.59999999</v>
      </c>
      <c r="S59" s="137">
        <v>19.399999999999999</v>
      </c>
      <c r="T59" s="137">
        <f t="shared" si="17"/>
        <v>133758291.23199999</v>
      </c>
      <c r="U59" s="137">
        <v>17.100000000000001</v>
      </c>
      <c r="V59" s="137">
        <f t="shared" si="18"/>
        <v>117900349.48800001</v>
      </c>
      <c r="W59" s="137">
        <v>16.600000000000001</v>
      </c>
      <c r="X59" s="137">
        <f t="shared" si="19"/>
        <v>114452970.848</v>
      </c>
      <c r="Y59" s="137">
        <v>24.3</v>
      </c>
      <c r="Z59" s="137">
        <f t="shared" si="20"/>
        <v>167542601.90400001</v>
      </c>
      <c r="AA59" s="137">
        <v>23</v>
      </c>
      <c r="AB59" s="137">
        <f t="shared" si="21"/>
        <v>158579417.44</v>
      </c>
      <c r="AC59" s="136"/>
      <c r="AD59" s="136"/>
      <c r="AE59" s="136"/>
      <c r="AF59" s="136"/>
      <c r="AG59" s="137">
        <v>31.4</v>
      </c>
      <c r="AH59" s="137">
        <f t="shared" si="22"/>
        <v>216495378.59200001</v>
      </c>
      <c r="AI59" s="137">
        <v>17.8</v>
      </c>
      <c r="AJ59" s="137">
        <f t="shared" si="23"/>
        <v>122726679.58399999</v>
      </c>
    </row>
    <row r="60" spans="1:36" x14ac:dyDescent="0.2">
      <c r="A60">
        <v>400</v>
      </c>
      <c r="B60" s="8">
        <f t="shared" si="8"/>
        <v>204.44444444444446</v>
      </c>
      <c r="C60" s="137">
        <v>14.3</v>
      </c>
      <c r="D60" s="137">
        <f t="shared" si="10"/>
        <v>98595029.104000002</v>
      </c>
      <c r="E60" s="137">
        <v>11.7</v>
      </c>
      <c r="F60" s="137">
        <f t="shared" si="9"/>
        <v>80668660.175999984</v>
      </c>
      <c r="G60" s="137">
        <v>13.8</v>
      </c>
      <c r="H60" s="137">
        <f t="shared" si="11"/>
        <v>95147650.464000002</v>
      </c>
      <c r="I60" s="137">
        <v>11.7</v>
      </c>
      <c r="J60" s="137">
        <f t="shared" si="12"/>
        <v>80668660.175999984</v>
      </c>
      <c r="K60" s="137">
        <v>15.1</v>
      </c>
      <c r="L60" s="137">
        <f t="shared" si="13"/>
        <v>104110834.928</v>
      </c>
      <c r="M60" s="137">
        <v>15.3</v>
      </c>
      <c r="N60" s="137">
        <f t="shared" si="14"/>
        <v>105489786.384</v>
      </c>
      <c r="O60" s="137">
        <v>16</v>
      </c>
      <c r="P60" s="137">
        <f t="shared" si="15"/>
        <v>110316116.48</v>
      </c>
      <c r="Q60" s="137">
        <v>20</v>
      </c>
      <c r="R60" s="137">
        <f t="shared" si="16"/>
        <v>137895145.59999999</v>
      </c>
      <c r="S60" s="137">
        <v>19.2</v>
      </c>
      <c r="T60" s="137">
        <f t="shared" si="17"/>
        <v>132379339.77599998</v>
      </c>
      <c r="U60" s="137">
        <v>16.8</v>
      </c>
      <c r="V60" s="137">
        <f t="shared" si="18"/>
        <v>115831922.30400001</v>
      </c>
      <c r="W60" s="137">
        <v>16.600000000000001</v>
      </c>
      <c r="X60" s="137">
        <f t="shared" si="19"/>
        <v>114452970.848</v>
      </c>
      <c r="Y60" s="137">
        <v>24.2</v>
      </c>
      <c r="Z60" s="137">
        <f t="shared" si="20"/>
        <v>166853126.176</v>
      </c>
      <c r="AA60" s="137">
        <v>21.3</v>
      </c>
      <c r="AB60" s="137">
        <f t="shared" si="21"/>
        <v>146858330.06400001</v>
      </c>
      <c r="AC60" s="136"/>
      <c r="AD60" s="136"/>
      <c r="AE60" s="136"/>
      <c r="AF60" s="136"/>
      <c r="AG60" s="137">
        <v>30.8</v>
      </c>
      <c r="AH60" s="137">
        <f t="shared" si="22"/>
        <v>212358524.22400001</v>
      </c>
      <c r="AI60" s="137">
        <v>17.2</v>
      </c>
      <c r="AJ60" s="137">
        <f t="shared" si="23"/>
        <v>118589825.21599999</v>
      </c>
    </row>
    <row r="61" spans="1:36" x14ac:dyDescent="0.2">
      <c r="A61">
        <v>500</v>
      </c>
      <c r="B61" s="8">
        <f t="shared" si="8"/>
        <v>260</v>
      </c>
      <c r="C61" s="137">
        <v>13.3</v>
      </c>
      <c r="D61" s="137">
        <f t="shared" si="10"/>
        <v>91700271.824000001</v>
      </c>
      <c r="E61" s="137">
        <v>10.9</v>
      </c>
      <c r="F61" s="137">
        <f t="shared" si="9"/>
        <v>75152854.351999998</v>
      </c>
      <c r="G61" s="137">
        <v>12.9</v>
      </c>
      <c r="H61" s="137">
        <f t="shared" si="11"/>
        <v>88942368.912</v>
      </c>
      <c r="I61" s="137">
        <v>10.9</v>
      </c>
      <c r="J61" s="137">
        <f t="shared" si="12"/>
        <v>75152854.351999998</v>
      </c>
      <c r="K61" s="137">
        <v>14.3</v>
      </c>
      <c r="L61" s="137">
        <f t="shared" si="13"/>
        <v>98595029.104000002</v>
      </c>
      <c r="M61" s="137">
        <v>14.3</v>
      </c>
      <c r="N61" s="137">
        <f t="shared" si="14"/>
        <v>98595029.104000002</v>
      </c>
      <c r="O61" s="137">
        <v>15</v>
      </c>
      <c r="P61" s="137">
        <f t="shared" si="15"/>
        <v>103421359.19999999</v>
      </c>
      <c r="Q61" s="137">
        <v>19.600000000000001</v>
      </c>
      <c r="R61" s="137">
        <f t="shared" si="16"/>
        <v>135137242.68799999</v>
      </c>
      <c r="S61" s="137">
        <v>19.2</v>
      </c>
      <c r="T61" s="137">
        <f t="shared" si="17"/>
        <v>132379339.77599998</v>
      </c>
      <c r="U61" s="137">
        <v>16.2</v>
      </c>
      <c r="V61" s="137">
        <f t="shared" si="18"/>
        <v>111695067.93599999</v>
      </c>
      <c r="W61" s="137">
        <v>16.600000000000001</v>
      </c>
      <c r="X61" s="137">
        <f t="shared" si="19"/>
        <v>114452970.848</v>
      </c>
      <c r="Y61" s="137">
        <v>24.1</v>
      </c>
      <c r="Z61" s="137">
        <f t="shared" si="20"/>
        <v>166163650.44800001</v>
      </c>
      <c r="AA61" s="137">
        <v>19.899999999999999</v>
      </c>
      <c r="AB61" s="137">
        <f t="shared" si="21"/>
        <v>137205669.87200001</v>
      </c>
      <c r="AC61" s="136"/>
      <c r="AD61" s="136"/>
      <c r="AE61" s="136"/>
      <c r="AF61" s="136"/>
      <c r="AG61" s="137">
        <v>30.2</v>
      </c>
      <c r="AH61" s="137">
        <f t="shared" si="22"/>
        <v>208221669.85600001</v>
      </c>
      <c r="AI61" s="137">
        <v>16.8</v>
      </c>
      <c r="AJ61" s="137">
        <f t="shared" si="23"/>
        <v>115831922.30400001</v>
      </c>
    </row>
    <row r="62" spans="1:36" x14ac:dyDescent="0.2">
      <c r="A62">
        <v>600</v>
      </c>
      <c r="B62" s="8">
        <f t="shared" si="8"/>
        <v>315.55555555555554</v>
      </c>
      <c r="C62" s="137">
        <v>12.6</v>
      </c>
      <c r="D62" s="137">
        <f t="shared" si="10"/>
        <v>86873941.727999985</v>
      </c>
      <c r="E62" s="137">
        <v>10.4</v>
      </c>
      <c r="F62" s="137">
        <f t="shared" si="9"/>
        <v>71705475.711999997</v>
      </c>
      <c r="G62" s="137">
        <v>12.3</v>
      </c>
      <c r="H62" s="137">
        <f t="shared" si="11"/>
        <v>84805514.544</v>
      </c>
      <c r="I62" s="137">
        <v>10.4</v>
      </c>
      <c r="J62" s="137">
        <f t="shared" si="12"/>
        <v>71705475.711999997</v>
      </c>
      <c r="K62" s="137">
        <v>13.7</v>
      </c>
      <c r="L62" s="137">
        <f t="shared" si="13"/>
        <v>94458174.735999987</v>
      </c>
      <c r="M62" s="137">
        <v>13.5</v>
      </c>
      <c r="N62" s="137">
        <f t="shared" si="14"/>
        <v>93079223.279999986</v>
      </c>
      <c r="O62" s="137">
        <v>14.3</v>
      </c>
      <c r="P62" s="137">
        <f t="shared" si="15"/>
        <v>98595029.104000002</v>
      </c>
      <c r="Q62" s="137">
        <v>18.399999999999999</v>
      </c>
      <c r="R62" s="137">
        <f t="shared" si="16"/>
        <v>126863533.95199998</v>
      </c>
      <c r="S62" s="137">
        <v>18.899999999999999</v>
      </c>
      <c r="T62" s="137">
        <f t="shared" si="17"/>
        <v>130310912.59199999</v>
      </c>
      <c r="U62" s="137">
        <v>15.7</v>
      </c>
      <c r="V62" s="137">
        <f t="shared" si="18"/>
        <v>108247689.296</v>
      </c>
      <c r="W62" s="137">
        <v>16.600000000000001</v>
      </c>
      <c r="X62" s="137">
        <f t="shared" si="19"/>
        <v>114452970.848</v>
      </c>
      <c r="Y62" s="137">
        <v>23.7</v>
      </c>
      <c r="Z62" s="137">
        <f t="shared" si="20"/>
        <v>163405747.53599998</v>
      </c>
      <c r="AA62" s="137">
        <v>18.8</v>
      </c>
      <c r="AB62" s="137">
        <f t="shared" si="21"/>
        <v>129621436.86400001</v>
      </c>
      <c r="AC62" s="136"/>
      <c r="AD62" s="136"/>
      <c r="AE62" s="136"/>
      <c r="AF62" s="136"/>
      <c r="AG62" s="137">
        <v>29.7</v>
      </c>
      <c r="AH62" s="137">
        <f t="shared" si="22"/>
        <v>204774291.21599999</v>
      </c>
      <c r="AI62" s="137">
        <v>16.3</v>
      </c>
      <c r="AJ62" s="137">
        <f t="shared" si="23"/>
        <v>112384543.664</v>
      </c>
    </row>
    <row r="63" spans="1:36" x14ac:dyDescent="0.2">
      <c r="A63">
        <v>650</v>
      </c>
      <c r="B63" s="8">
        <f t="shared" si="8"/>
        <v>343.33333333333331</v>
      </c>
      <c r="C63" s="137">
        <v>12.3</v>
      </c>
      <c r="D63" s="137">
        <f t="shared" si="10"/>
        <v>84805514.544</v>
      </c>
      <c r="E63" s="137">
        <v>10.199999999999999</v>
      </c>
      <c r="F63" s="137">
        <f t="shared" si="9"/>
        <v>70326524.255999982</v>
      </c>
      <c r="G63" s="137">
        <v>12</v>
      </c>
      <c r="H63" s="137">
        <f t="shared" si="11"/>
        <v>82737087.359999999</v>
      </c>
      <c r="I63" s="137">
        <v>10.199999999999999</v>
      </c>
      <c r="J63" s="137">
        <f t="shared" si="12"/>
        <v>70326524.255999982</v>
      </c>
      <c r="K63" s="137">
        <v>13.5</v>
      </c>
      <c r="L63" s="137">
        <f t="shared" si="13"/>
        <v>93079223.279999986</v>
      </c>
      <c r="M63" s="137">
        <v>13.2</v>
      </c>
      <c r="N63" s="137">
        <f t="shared" si="14"/>
        <v>91010796.095999986</v>
      </c>
      <c r="O63" s="137">
        <v>14</v>
      </c>
      <c r="P63" s="137">
        <f t="shared" si="15"/>
        <v>96526601.920000002</v>
      </c>
      <c r="Q63" s="137">
        <v>17.8</v>
      </c>
      <c r="R63" s="137">
        <f t="shared" si="16"/>
        <v>122726679.58399999</v>
      </c>
      <c r="S63" s="137">
        <v>18.600000000000001</v>
      </c>
      <c r="T63" s="137">
        <f t="shared" si="17"/>
        <v>128242485.40800001</v>
      </c>
      <c r="U63" s="137">
        <v>15.4</v>
      </c>
      <c r="V63" s="137">
        <f t="shared" si="18"/>
        <v>106179262.112</v>
      </c>
      <c r="W63" s="137">
        <v>16.600000000000001</v>
      </c>
      <c r="X63" s="137">
        <f t="shared" si="19"/>
        <v>114452970.848</v>
      </c>
      <c r="Y63" s="137">
        <v>23.4</v>
      </c>
      <c r="Z63" s="137">
        <f t="shared" si="20"/>
        <v>161337320.35199997</v>
      </c>
      <c r="AA63" s="137">
        <v>18.2</v>
      </c>
      <c r="AB63" s="137">
        <f t="shared" si="21"/>
        <v>125484582.49599999</v>
      </c>
      <c r="AC63" s="136"/>
      <c r="AD63" s="136"/>
      <c r="AE63" s="136"/>
      <c r="AF63" s="136"/>
      <c r="AG63" s="137">
        <v>29.4</v>
      </c>
      <c r="AH63" s="137">
        <f t="shared" si="22"/>
        <v>202705864.03199998</v>
      </c>
      <c r="AI63" s="137">
        <v>16.100000000000001</v>
      </c>
      <c r="AJ63" s="137">
        <f t="shared" si="23"/>
        <v>111005592.208</v>
      </c>
    </row>
    <row r="64" spans="1:36" x14ac:dyDescent="0.2">
      <c r="A64">
        <v>700</v>
      </c>
      <c r="B64" s="8">
        <f t="shared" si="8"/>
        <v>371.11111111111109</v>
      </c>
      <c r="C64" s="137">
        <v>12.1</v>
      </c>
      <c r="D64" s="137">
        <f t="shared" si="10"/>
        <v>83426563.088</v>
      </c>
      <c r="E64" s="137">
        <v>10</v>
      </c>
      <c r="F64" s="137">
        <f t="shared" si="9"/>
        <v>68947572.799999997</v>
      </c>
      <c r="G64" s="137">
        <v>11.7</v>
      </c>
      <c r="H64" s="137">
        <f t="shared" si="11"/>
        <v>80668660.175999984</v>
      </c>
      <c r="I64" s="137">
        <v>10</v>
      </c>
      <c r="J64" s="137">
        <f t="shared" si="12"/>
        <v>68947572.799999997</v>
      </c>
      <c r="K64" s="137">
        <v>13.3</v>
      </c>
      <c r="L64" s="137">
        <f t="shared" si="13"/>
        <v>91700271.824000001</v>
      </c>
      <c r="M64" s="137">
        <v>13</v>
      </c>
      <c r="N64" s="137">
        <f t="shared" si="14"/>
        <v>89631844.640000001</v>
      </c>
      <c r="O64" s="137">
        <v>13.8</v>
      </c>
      <c r="P64" s="137">
        <f t="shared" si="15"/>
        <v>95147650.464000002</v>
      </c>
      <c r="Q64" s="137">
        <v>17.2</v>
      </c>
      <c r="R64" s="137">
        <f t="shared" si="16"/>
        <v>118589825.21599999</v>
      </c>
      <c r="S64" s="137">
        <v>18.2</v>
      </c>
      <c r="T64" s="137">
        <f t="shared" si="17"/>
        <v>125484582.49599999</v>
      </c>
      <c r="U64" s="137">
        <v>15.1</v>
      </c>
      <c r="V64" s="137">
        <f t="shared" si="18"/>
        <v>104110834.928</v>
      </c>
      <c r="W64" s="137">
        <v>16.600000000000001</v>
      </c>
      <c r="X64" s="137">
        <f t="shared" si="19"/>
        <v>114452970.848</v>
      </c>
      <c r="Y64" s="137">
        <v>22.9</v>
      </c>
      <c r="Z64" s="137">
        <f t="shared" si="20"/>
        <v>157889941.71200001</v>
      </c>
      <c r="AA64" s="137">
        <v>17.8</v>
      </c>
      <c r="AB64" s="137">
        <f t="shared" si="21"/>
        <v>122726679.58399999</v>
      </c>
      <c r="AC64" s="136"/>
      <c r="AD64" s="136"/>
      <c r="AE64" s="136"/>
      <c r="AF64" s="136"/>
      <c r="AG64" s="137">
        <v>29.1</v>
      </c>
      <c r="AH64" s="137">
        <f t="shared" si="22"/>
        <v>200637436.84800002</v>
      </c>
      <c r="AI64" s="137">
        <v>15.9</v>
      </c>
      <c r="AJ64" s="137">
        <f t="shared" si="23"/>
        <v>109626640.752</v>
      </c>
    </row>
    <row r="65" spans="1:36" x14ac:dyDescent="0.2">
      <c r="A65">
        <v>750</v>
      </c>
      <c r="B65" s="8">
        <f t="shared" si="8"/>
        <v>398.88888888888891</v>
      </c>
      <c r="C65" s="137">
        <v>11.9</v>
      </c>
      <c r="D65" s="137">
        <f t="shared" si="10"/>
        <v>82047611.631999999</v>
      </c>
      <c r="E65" s="137">
        <v>9.8000000000000007</v>
      </c>
      <c r="F65" s="137">
        <f t="shared" si="9"/>
        <v>67568621.343999997</v>
      </c>
      <c r="G65" s="137">
        <v>11.5</v>
      </c>
      <c r="H65" s="137">
        <f t="shared" si="11"/>
        <v>79289708.719999999</v>
      </c>
      <c r="I65" s="137">
        <v>9.8000000000000007</v>
      </c>
      <c r="J65" s="137">
        <f t="shared" si="12"/>
        <v>67568621.343999997</v>
      </c>
      <c r="K65" s="137">
        <v>13.1</v>
      </c>
      <c r="L65" s="137">
        <f t="shared" si="13"/>
        <v>90321320.368000001</v>
      </c>
      <c r="M65" s="137">
        <v>12.7</v>
      </c>
      <c r="N65" s="137">
        <f t="shared" si="14"/>
        <v>87563417.456</v>
      </c>
      <c r="O65" s="137">
        <v>13.7</v>
      </c>
      <c r="P65" s="137">
        <f t="shared" si="15"/>
        <v>94458174.735999987</v>
      </c>
      <c r="Q65" s="137">
        <v>14.8</v>
      </c>
      <c r="R65" s="137">
        <f t="shared" si="16"/>
        <v>102042407.744</v>
      </c>
      <c r="S65" s="137">
        <v>17.600000000000001</v>
      </c>
      <c r="T65" s="137">
        <f t="shared" si="17"/>
        <v>121347728.12800001</v>
      </c>
      <c r="U65" s="137">
        <v>14.8</v>
      </c>
      <c r="V65" s="137">
        <f t="shared" si="18"/>
        <v>102042407.744</v>
      </c>
      <c r="W65" s="137">
        <v>16.600000000000001</v>
      </c>
      <c r="X65" s="137">
        <f t="shared" si="19"/>
        <v>114452970.848</v>
      </c>
      <c r="Y65" s="137">
        <v>22.2</v>
      </c>
      <c r="Z65" s="137">
        <f t="shared" si="20"/>
        <v>153063611.61599997</v>
      </c>
      <c r="AA65" s="137">
        <v>17.399999999999999</v>
      </c>
      <c r="AB65" s="137">
        <f t="shared" si="21"/>
        <v>119968776.67199999</v>
      </c>
      <c r="AC65" s="136"/>
      <c r="AD65" s="136"/>
      <c r="AE65" s="136"/>
      <c r="AF65" s="136"/>
      <c r="AG65" s="137">
        <v>28.9</v>
      </c>
      <c r="AH65" s="137">
        <f t="shared" si="22"/>
        <v>199258485.39199996</v>
      </c>
      <c r="AI65" s="137">
        <v>15.7</v>
      </c>
      <c r="AJ65" s="137">
        <f t="shared" si="23"/>
        <v>108247689.296</v>
      </c>
    </row>
    <row r="66" spans="1:36" x14ac:dyDescent="0.2">
      <c r="A66">
        <v>800</v>
      </c>
      <c r="B66" s="8">
        <f t="shared" si="8"/>
        <v>426.66666666666669</v>
      </c>
      <c r="C66" s="137">
        <v>11.8</v>
      </c>
      <c r="D66" s="137">
        <f t="shared" si="10"/>
        <v>81358135.904000014</v>
      </c>
      <c r="E66" s="137">
        <v>9.6</v>
      </c>
      <c r="F66" s="137">
        <f t="shared" si="9"/>
        <v>66189669.887999989</v>
      </c>
      <c r="G66" s="137">
        <v>11.2</v>
      </c>
      <c r="H66" s="137">
        <f t="shared" si="11"/>
        <v>77221281.535999998</v>
      </c>
      <c r="I66" s="137">
        <v>9.6999999999999993</v>
      </c>
      <c r="J66" s="137">
        <f t="shared" si="12"/>
        <v>66879145.615999997</v>
      </c>
      <c r="K66" s="137">
        <v>12.9</v>
      </c>
      <c r="L66" s="137">
        <f t="shared" si="13"/>
        <v>88942368.912</v>
      </c>
      <c r="M66" s="137">
        <v>12.6</v>
      </c>
      <c r="N66" s="137">
        <f t="shared" si="14"/>
        <v>86873941.727999985</v>
      </c>
      <c r="O66" s="137">
        <v>13.6</v>
      </c>
      <c r="P66" s="137">
        <f t="shared" si="15"/>
        <v>93768699.008000001</v>
      </c>
      <c r="Q66" s="137">
        <v>12</v>
      </c>
      <c r="R66" s="137">
        <f t="shared" si="16"/>
        <v>82737087.359999999</v>
      </c>
      <c r="S66" s="137">
        <v>17</v>
      </c>
      <c r="T66" s="137">
        <f t="shared" si="17"/>
        <v>117210873.76000001</v>
      </c>
      <c r="U66" s="137">
        <v>14.4</v>
      </c>
      <c r="V66" s="137">
        <f t="shared" si="18"/>
        <v>99284504.832000002</v>
      </c>
      <c r="W66" s="137">
        <v>16.600000000000001</v>
      </c>
      <c r="X66" s="137">
        <f t="shared" si="19"/>
        <v>114452970.848</v>
      </c>
      <c r="Y66" s="137">
        <v>21.3</v>
      </c>
      <c r="Z66" s="137">
        <f t="shared" si="20"/>
        <v>146858330.06400001</v>
      </c>
      <c r="AA66" s="137">
        <v>17.100000000000001</v>
      </c>
      <c r="AB66" s="137">
        <f t="shared" si="21"/>
        <v>117900349.48800001</v>
      </c>
      <c r="AC66" s="136"/>
      <c r="AD66" s="136"/>
      <c r="AE66" s="136"/>
      <c r="AF66" s="136"/>
      <c r="AG66" s="137">
        <v>28.6</v>
      </c>
      <c r="AH66" s="137">
        <f t="shared" si="22"/>
        <v>197190058.208</v>
      </c>
      <c r="AI66" s="137">
        <v>15.5</v>
      </c>
      <c r="AJ66" s="137">
        <f t="shared" si="23"/>
        <v>106868737.84</v>
      </c>
    </row>
    <row r="67" spans="1:36" x14ac:dyDescent="0.2">
      <c r="A67">
        <v>850</v>
      </c>
      <c r="B67" s="8">
        <f t="shared" si="8"/>
        <v>454.44444444444446</v>
      </c>
      <c r="C67" s="137">
        <v>11.6</v>
      </c>
      <c r="D67" s="137">
        <f t="shared" si="10"/>
        <v>79979184.447999999</v>
      </c>
      <c r="E67" s="137">
        <v>9.4</v>
      </c>
      <c r="F67" s="137">
        <f t="shared" si="9"/>
        <v>64810718.432000004</v>
      </c>
      <c r="G67" s="137">
        <v>11</v>
      </c>
      <c r="H67" s="137">
        <f t="shared" si="11"/>
        <v>75842330.079999998</v>
      </c>
      <c r="I67" s="136"/>
      <c r="J67" s="136"/>
      <c r="K67" s="137">
        <v>12.7</v>
      </c>
      <c r="L67" s="137">
        <f t="shared" si="13"/>
        <v>87563417.456</v>
      </c>
      <c r="M67" s="137">
        <v>12.4</v>
      </c>
      <c r="N67" s="137">
        <f t="shared" si="14"/>
        <v>85494990.272</v>
      </c>
      <c r="O67" s="137">
        <v>13.5</v>
      </c>
      <c r="P67" s="137">
        <f t="shared" si="15"/>
        <v>93079223.279999986</v>
      </c>
      <c r="Q67" s="136"/>
      <c r="R67" s="136"/>
      <c r="S67" s="137">
        <v>14.3</v>
      </c>
      <c r="T67" s="137">
        <f t="shared" si="17"/>
        <v>98595029.104000002</v>
      </c>
      <c r="U67" s="137">
        <v>14</v>
      </c>
      <c r="V67" s="137">
        <f t="shared" si="18"/>
        <v>96526601.920000002</v>
      </c>
      <c r="W67" s="137">
        <v>16.600000000000001</v>
      </c>
      <c r="X67" s="137">
        <f t="shared" si="19"/>
        <v>114452970.848</v>
      </c>
      <c r="Y67" s="137">
        <v>20.3</v>
      </c>
      <c r="Z67" s="137">
        <f t="shared" si="20"/>
        <v>139963572.78399998</v>
      </c>
      <c r="AA67" s="137">
        <v>16.899999999999999</v>
      </c>
      <c r="AB67" s="137">
        <f t="shared" si="21"/>
        <v>116521398.03199998</v>
      </c>
      <c r="AC67" s="136"/>
      <c r="AD67" s="136"/>
      <c r="AE67" s="136"/>
      <c r="AF67" s="136"/>
      <c r="AG67" s="137">
        <v>28.3</v>
      </c>
      <c r="AH67" s="137">
        <f t="shared" si="22"/>
        <v>195121631.02399999</v>
      </c>
      <c r="AI67" s="137">
        <v>15.3</v>
      </c>
      <c r="AJ67" s="137">
        <f t="shared" si="23"/>
        <v>105489786.384</v>
      </c>
    </row>
    <row r="68" spans="1:36" x14ac:dyDescent="0.2">
      <c r="A68">
        <v>900</v>
      </c>
      <c r="B68" s="8">
        <f t="shared" si="8"/>
        <v>482.22222222222223</v>
      </c>
      <c r="C68" s="137">
        <v>11.5</v>
      </c>
      <c r="D68" s="137">
        <f t="shared" si="10"/>
        <v>79289708.719999999</v>
      </c>
      <c r="E68" s="137">
        <v>9.1999999999999993</v>
      </c>
      <c r="F68" s="137">
        <f t="shared" si="9"/>
        <v>63431766.975999989</v>
      </c>
      <c r="G68" s="137">
        <v>10.8</v>
      </c>
      <c r="H68" s="137">
        <f t="shared" si="11"/>
        <v>74463378.623999998</v>
      </c>
      <c r="I68" s="136"/>
      <c r="J68" s="136"/>
      <c r="K68" s="137">
        <v>12.5</v>
      </c>
      <c r="L68" s="137">
        <f t="shared" si="13"/>
        <v>86184466</v>
      </c>
      <c r="M68" s="137">
        <v>12.3</v>
      </c>
      <c r="N68" s="137">
        <f t="shared" si="14"/>
        <v>84805514.544</v>
      </c>
      <c r="O68" s="137">
        <v>13.4</v>
      </c>
      <c r="P68" s="137">
        <f t="shared" si="15"/>
        <v>92389747.552000001</v>
      </c>
      <c r="Q68" s="136"/>
      <c r="R68" s="136"/>
      <c r="S68" s="137">
        <v>10.9</v>
      </c>
      <c r="T68" s="137">
        <f t="shared" si="17"/>
        <v>75152854.351999998</v>
      </c>
      <c r="U68" s="137">
        <v>13.6</v>
      </c>
      <c r="V68" s="137">
        <f t="shared" si="18"/>
        <v>93768699.008000001</v>
      </c>
      <c r="W68" s="137">
        <v>13.6</v>
      </c>
      <c r="X68" s="137">
        <f t="shared" si="19"/>
        <v>93768699.008000001</v>
      </c>
      <c r="Y68" s="137">
        <v>19.100000000000001</v>
      </c>
      <c r="Z68" s="137">
        <f t="shared" si="20"/>
        <v>131689864.04800002</v>
      </c>
      <c r="AA68" s="137">
        <v>16.7</v>
      </c>
      <c r="AB68" s="137">
        <f t="shared" si="21"/>
        <v>115142446.57599999</v>
      </c>
      <c r="AC68" s="136"/>
      <c r="AD68" s="136"/>
      <c r="AE68" s="136"/>
      <c r="AF68" s="136"/>
      <c r="AG68" s="137">
        <v>28</v>
      </c>
      <c r="AH68" s="137">
        <f t="shared" si="22"/>
        <v>193053203.84</v>
      </c>
      <c r="AI68" s="137">
        <v>15.1</v>
      </c>
      <c r="AJ68" s="137">
        <f t="shared" si="23"/>
        <v>104110834.928</v>
      </c>
    </row>
    <row r="69" spans="1:36" x14ac:dyDescent="0.2">
      <c r="A69">
        <v>950</v>
      </c>
      <c r="B69" s="8">
        <f t="shared" si="8"/>
        <v>510</v>
      </c>
      <c r="C69" s="137">
        <v>11.4</v>
      </c>
      <c r="D69" s="137">
        <f t="shared" si="10"/>
        <v>78600232.991999999</v>
      </c>
      <c r="E69" s="137">
        <v>8.9</v>
      </c>
      <c r="F69" s="137">
        <f t="shared" si="9"/>
        <v>61363339.791999996</v>
      </c>
      <c r="G69" s="137">
        <v>10.6</v>
      </c>
      <c r="H69" s="137">
        <f t="shared" si="11"/>
        <v>73084427.167999998</v>
      </c>
      <c r="I69" s="136"/>
      <c r="J69" s="136"/>
      <c r="K69" s="137">
        <v>12.3</v>
      </c>
      <c r="L69" s="137">
        <f t="shared" si="13"/>
        <v>84805514.544</v>
      </c>
      <c r="M69" s="137">
        <v>12.1</v>
      </c>
      <c r="N69" s="137">
        <f t="shared" si="14"/>
        <v>83426563.088</v>
      </c>
      <c r="O69" s="137">
        <v>13.4</v>
      </c>
      <c r="P69" s="137">
        <f t="shared" si="15"/>
        <v>92389747.552000001</v>
      </c>
      <c r="Q69" s="136"/>
      <c r="R69" s="136"/>
      <c r="S69" s="137">
        <v>8</v>
      </c>
      <c r="T69" s="137">
        <f t="shared" si="17"/>
        <v>55158058.240000002</v>
      </c>
      <c r="U69" s="137">
        <v>9.3000000000000007</v>
      </c>
      <c r="V69" s="137">
        <f t="shared" si="18"/>
        <v>64121242.704000004</v>
      </c>
      <c r="W69" s="137">
        <v>10.8</v>
      </c>
      <c r="X69" s="137">
        <f t="shared" si="19"/>
        <v>74463378.623999998</v>
      </c>
      <c r="Y69" s="137">
        <v>17.8</v>
      </c>
      <c r="Z69" s="137">
        <f t="shared" si="20"/>
        <v>122726679.58399999</v>
      </c>
      <c r="AA69" s="137">
        <v>16.600000000000001</v>
      </c>
      <c r="AB69" s="137">
        <f t="shared" si="21"/>
        <v>114452970.848</v>
      </c>
      <c r="AC69" s="136"/>
      <c r="AD69" s="136"/>
      <c r="AE69" s="136"/>
      <c r="AF69" s="136"/>
      <c r="AG69" s="137">
        <v>27.7</v>
      </c>
      <c r="AH69" s="137">
        <f t="shared" si="22"/>
        <v>190984776.65599999</v>
      </c>
      <c r="AI69" s="137">
        <v>14.9</v>
      </c>
      <c r="AJ69" s="137">
        <f t="shared" si="23"/>
        <v>102731883.472</v>
      </c>
    </row>
    <row r="70" spans="1:36" x14ac:dyDescent="0.2">
      <c r="A70">
        <v>1000</v>
      </c>
      <c r="B70" s="8">
        <f t="shared" si="8"/>
        <v>537.77777777777783</v>
      </c>
      <c r="C70" s="137">
        <v>11.3</v>
      </c>
      <c r="D70" s="137">
        <f t="shared" si="10"/>
        <v>77910757.263999999</v>
      </c>
      <c r="E70" s="137">
        <v>8.8000000000000007</v>
      </c>
      <c r="F70" s="137">
        <f t="shared" si="9"/>
        <v>60673864.064000003</v>
      </c>
      <c r="G70" s="137">
        <v>10.4</v>
      </c>
      <c r="H70" s="137">
        <f t="shared" si="11"/>
        <v>71705475.711999997</v>
      </c>
      <c r="I70" s="136"/>
      <c r="J70" s="136"/>
      <c r="K70" s="137">
        <v>9.9</v>
      </c>
      <c r="L70" s="137">
        <f t="shared" si="13"/>
        <v>68258097.071999997</v>
      </c>
      <c r="M70" s="137">
        <v>12</v>
      </c>
      <c r="N70" s="137">
        <f t="shared" si="14"/>
        <v>82737087.359999999</v>
      </c>
      <c r="O70" s="137">
        <v>13.4</v>
      </c>
      <c r="P70" s="137">
        <f t="shared" si="15"/>
        <v>92389747.552000001</v>
      </c>
      <c r="Q70" s="136"/>
      <c r="R70" s="136"/>
      <c r="S70" s="137">
        <v>5.8</v>
      </c>
      <c r="T70" s="137">
        <f t="shared" si="17"/>
        <v>39989592.223999999</v>
      </c>
      <c r="U70" s="137">
        <v>6.3</v>
      </c>
      <c r="V70" s="137">
        <f t="shared" si="18"/>
        <v>43436970.863999993</v>
      </c>
      <c r="W70" s="137">
        <v>8</v>
      </c>
      <c r="X70" s="137">
        <f t="shared" si="19"/>
        <v>55158058.240000002</v>
      </c>
      <c r="Y70" s="137">
        <v>16.3</v>
      </c>
      <c r="Z70" s="137">
        <f t="shared" si="20"/>
        <v>112384543.664</v>
      </c>
      <c r="AA70" s="137">
        <v>16.5</v>
      </c>
      <c r="AB70" s="137">
        <f t="shared" si="21"/>
        <v>113763495.11999999</v>
      </c>
      <c r="AC70" s="136"/>
      <c r="AD70" s="136"/>
      <c r="AE70" s="136"/>
      <c r="AF70" s="136"/>
      <c r="AG70" s="137">
        <v>27.4</v>
      </c>
      <c r="AH70" s="137">
        <f t="shared" si="22"/>
        <v>188916349.47199997</v>
      </c>
      <c r="AI70" s="137">
        <v>14.7</v>
      </c>
      <c r="AJ70" s="137">
        <f t="shared" si="23"/>
        <v>101352932.01599999</v>
      </c>
    </row>
    <row r="71" spans="1:36" x14ac:dyDescent="0.2">
      <c r="A71">
        <v>1050</v>
      </c>
      <c r="B71" s="8">
        <f t="shared" si="8"/>
        <v>565.55555555555554</v>
      </c>
      <c r="C71" s="137">
        <v>11.2</v>
      </c>
      <c r="D71" s="137">
        <f t="shared" si="10"/>
        <v>77221281.535999998</v>
      </c>
      <c r="E71" s="137">
        <v>8</v>
      </c>
      <c r="F71" s="137">
        <f t="shared" si="9"/>
        <v>55158058.240000002</v>
      </c>
      <c r="G71" s="137">
        <v>10.1</v>
      </c>
      <c r="H71" s="137">
        <f t="shared" si="11"/>
        <v>69637048.527999997</v>
      </c>
      <c r="I71" s="136"/>
      <c r="J71" s="136"/>
      <c r="K71" s="137">
        <v>7.1</v>
      </c>
      <c r="L71" s="137">
        <f t="shared" si="13"/>
        <v>48952776.688000001</v>
      </c>
      <c r="M71" s="137">
        <v>9.6</v>
      </c>
      <c r="N71" s="137">
        <f t="shared" si="14"/>
        <v>66189669.887999989</v>
      </c>
      <c r="O71" s="137">
        <v>12.1</v>
      </c>
      <c r="P71" s="137">
        <f t="shared" si="15"/>
        <v>83426563.088</v>
      </c>
      <c r="Q71" s="136"/>
      <c r="R71" s="136"/>
      <c r="S71" s="137">
        <v>4.2</v>
      </c>
      <c r="T71" s="137">
        <f t="shared" si="17"/>
        <v>28957980.576000001</v>
      </c>
      <c r="U71" s="137">
        <v>4.2</v>
      </c>
      <c r="V71" s="137">
        <f t="shared" si="18"/>
        <v>28957980.576000001</v>
      </c>
      <c r="W71" s="137">
        <v>5.7</v>
      </c>
      <c r="X71" s="137">
        <f t="shared" si="19"/>
        <v>39300116.495999999</v>
      </c>
      <c r="Y71" s="137">
        <v>14</v>
      </c>
      <c r="Z71" s="137">
        <f t="shared" si="20"/>
        <v>96526601.920000002</v>
      </c>
      <c r="AA71" s="136"/>
      <c r="AB71" s="136"/>
      <c r="AC71" s="136"/>
      <c r="AD71" s="136"/>
      <c r="AE71" s="136"/>
      <c r="AF71" s="136"/>
      <c r="AG71" s="137">
        <v>27</v>
      </c>
      <c r="AH71" s="137">
        <f t="shared" si="22"/>
        <v>186158446.55999997</v>
      </c>
      <c r="AI71" s="137">
        <v>14.5</v>
      </c>
      <c r="AJ71" s="137">
        <f t="shared" si="23"/>
        <v>99973980.560000002</v>
      </c>
    </row>
    <row r="72" spans="1:36" x14ac:dyDescent="0.2">
      <c r="A72">
        <v>1100</v>
      </c>
      <c r="B72" s="8">
        <f t="shared" si="8"/>
        <v>593.33333333333337</v>
      </c>
      <c r="C72" s="137">
        <v>11.1</v>
      </c>
      <c r="D72" s="137">
        <f t="shared" si="10"/>
        <v>76531805.807999983</v>
      </c>
      <c r="E72" s="137">
        <v>7.9</v>
      </c>
      <c r="F72" s="137">
        <f t="shared" si="9"/>
        <v>54468582.512000002</v>
      </c>
      <c r="G72" s="137">
        <v>9.8000000000000007</v>
      </c>
      <c r="H72" s="137">
        <f t="shared" si="11"/>
        <v>67568621.343999997</v>
      </c>
      <c r="I72" s="136"/>
      <c r="J72" s="136"/>
      <c r="K72" s="137">
        <v>5</v>
      </c>
      <c r="L72" s="137">
        <f t="shared" si="13"/>
        <v>34473786.399999999</v>
      </c>
      <c r="M72" s="137">
        <v>6.9</v>
      </c>
      <c r="N72" s="137">
        <f t="shared" si="14"/>
        <v>47573825.232000001</v>
      </c>
      <c r="O72" s="137">
        <v>9.1</v>
      </c>
      <c r="P72" s="137">
        <f t="shared" si="15"/>
        <v>62742291.247999996</v>
      </c>
      <c r="Q72" s="136"/>
      <c r="R72" s="136"/>
      <c r="S72" s="137">
        <v>2.9</v>
      </c>
      <c r="T72" s="137">
        <f t="shared" si="17"/>
        <v>19994796.112</v>
      </c>
      <c r="U72" s="137">
        <v>2.8</v>
      </c>
      <c r="V72" s="137">
        <f t="shared" si="18"/>
        <v>19305320.384</v>
      </c>
      <c r="W72" s="137">
        <v>3.5</v>
      </c>
      <c r="X72" s="137">
        <f t="shared" si="19"/>
        <v>24131650.48</v>
      </c>
      <c r="Y72" s="137">
        <v>10.3</v>
      </c>
      <c r="Z72" s="137">
        <f t="shared" si="20"/>
        <v>71015999.984000012</v>
      </c>
      <c r="AA72" s="136"/>
      <c r="AB72" s="136"/>
      <c r="AC72" s="136"/>
      <c r="AD72" s="136"/>
      <c r="AE72" s="136"/>
      <c r="AF72" s="136"/>
      <c r="AG72" s="137">
        <v>26.6</v>
      </c>
      <c r="AH72" s="137">
        <f t="shared" si="22"/>
        <v>183400543.648</v>
      </c>
      <c r="AI72" s="137">
        <v>13</v>
      </c>
      <c r="AJ72" s="137">
        <f t="shared" si="23"/>
        <v>89631844.640000001</v>
      </c>
    </row>
    <row r="73" spans="1:36" x14ac:dyDescent="0.2">
      <c r="A73">
        <v>1150</v>
      </c>
      <c r="B73" s="8">
        <f t="shared" si="8"/>
        <v>621.11111111111109</v>
      </c>
      <c r="C73" s="137">
        <v>9.5</v>
      </c>
      <c r="D73" s="137">
        <f t="shared" si="10"/>
        <v>65500194.159999996</v>
      </c>
      <c r="E73" s="137">
        <v>6.5</v>
      </c>
      <c r="F73" s="137">
        <f t="shared" si="9"/>
        <v>44815922.32</v>
      </c>
      <c r="G73" s="137">
        <v>7.7</v>
      </c>
      <c r="H73" s="137">
        <f t="shared" si="11"/>
        <v>53089631.056000002</v>
      </c>
      <c r="I73" s="136"/>
      <c r="J73" s="136"/>
      <c r="K73" s="137">
        <v>3.6</v>
      </c>
      <c r="L73" s="137">
        <f t="shared" si="13"/>
        <v>24821126.208000001</v>
      </c>
      <c r="M73" s="137">
        <v>5</v>
      </c>
      <c r="N73" s="137">
        <f t="shared" si="14"/>
        <v>34473786.399999999</v>
      </c>
      <c r="O73" s="137">
        <v>6.1</v>
      </c>
      <c r="P73" s="137">
        <f t="shared" si="15"/>
        <v>42058019.407999992</v>
      </c>
      <c r="Q73" s="136"/>
      <c r="R73" s="136"/>
      <c r="S73" s="137">
        <v>1.8</v>
      </c>
      <c r="T73" s="137">
        <f t="shared" si="17"/>
        <v>12410563.104</v>
      </c>
      <c r="U73" s="136"/>
      <c r="V73" s="136"/>
      <c r="W73" s="136"/>
      <c r="X73" s="136"/>
      <c r="Y73" s="137">
        <v>7</v>
      </c>
      <c r="Z73" s="137">
        <f t="shared" si="20"/>
        <v>48263300.960000001</v>
      </c>
      <c r="AA73" s="136"/>
      <c r="AB73" s="136"/>
      <c r="AC73" s="136"/>
      <c r="AD73" s="136"/>
      <c r="AE73" s="136"/>
      <c r="AF73" s="136"/>
      <c r="AG73" s="137">
        <v>21</v>
      </c>
      <c r="AH73" s="137">
        <f t="shared" si="22"/>
        <v>144789902.88</v>
      </c>
      <c r="AI73" s="137">
        <v>9.8000000000000007</v>
      </c>
      <c r="AJ73" s="137">
        <f t="shared" si="23"/>
        <v>67568621.343999997</v>
      </c>
    </row>
    <row r="74" spans="1:36" x14ac:dyDescent="0.2">
      <c r="A74">
        <v>1200</v>
      </c>
      <c r="B74" s="8">
        <f t="shared" si="8"/>
        <v>648.88888888888891</v>
      </c>
      <c r="C74" s="137">
        <v>7.4</v>
      </c>
      <c r="D74" s="137">
        <f t="shared" si="10"/>
        <v>51021203.872000001</v>
      </c>
      <c r="E74" s="137">
        <v>6.4</v>
      </c>
      <c r="F74" s="137">
        <f t="shared" si="9"/>
        <v>44126446.592</v>
      </c>
      <c r="G74" s="137">
        <v>6.1</v>
      </c>
      <c r="H74" s="137">
        <f t="shared" si="11"/>
        <v>42058019.407999992</v>
      </c>
      <c r="I74" s="136"/>
      <c r="J74" s="136"/>
      <c r="K74" s="137">
        <v>2.5</v>
      </c>
      <c r="L74" s="137">
        <f t="shared" si="13"/>
        <v>17236893.199999999</v>
      </c>
      <c r="M74" s="137">
        <v>3.6</v>
      </c>
      <c r="N74" s="137">
        <f t="shared" si="14"/>
        <v>24821126.208000001</v>
      </c>
      <c r="O74" s="137">
        <v>4.4000000000000004</v>
      </c>
      <c r="P74" s="137">
        <f t="shared" si="15"/>
        <v>30336932.032000002</v>
      </c>
      <c r="Q74" s="136"/>
      <c r="R74" s="136"/>
      <c r="S74" s="137">
        <v>1</v>
      </c>
      <c r="T74" s="137">
        <f t="shared" si="17"/>
        <v>6894757.2800000003</v>
      </c>
      <c r="U74" s="136"/>
      <c r="V74" s="136"/>
      <c r="W74" s="136"/>
      <c r="X74" s="136"/>
      <c r="Y74" s="137">
        <v>4.3</v>
      </c>
      <c r="Z74" s="137">
        <f t="shared" si="20"/>
        <v>29647456.303999998</v>
      </c>
      <c r="AA74" s="136"/>
      <c r="AB74" s="136"/>
      <c r="AC74" s="136"/>
      <c r="AD74" s="136"/>
      <c r="AE74" s="136"/>
      <c r="AF74" s="136"/>
      <c r="AG74" s="137">
        <v>13.2</v>
      </c>
      <c r="AH74" s="137">
        <f t="shared" si="22"/>
        <v>91010796.095999986</v>
      </c>
      <c r="AI74" s="137">
        <v>6.6</v>
      </c>
      <c r="AJ74" s="137">
        <f t="shared" si="23"/>
        <v>45505398.047999993</v>
      </c>
    </row>
    <row r="75" spans="1:36" x14ac:dyDescent="0.2">
      <c r="A75">
        <v>1250</v>
      </c>
      <c r="B75" s="8">
        <f t="shared" si="8"/>
        <v>676.66666666666663</v>
      </c>
      <c r="C75" s="136"/>
      <c r="D75" s="136"/>
      <c r="E75" s="136"/>
      <c r="F75" s="136"/>
      <c r="G75" s="136"/>
      <c r="H75" s="136"/>
      <c r="I75" s="136"/>
      <c r="J75" s="136"/>
      <c r="K75" s="136"/>
      <c r="L75" s="136"/>
      <c r="M75" s="136"/>
      <c r="N75" s="136"/>
      <c r="O75" s="136"/>
      <c r="P75" s="136"/>
      <c r="Q75" s="136"/>
      <c r="R75" s="136"/>
      <c r="S75" s="136"/>
      <c r="T75" s="136"/>
      <c r="U75" s="136"/>
      <c r="V75" s="136"/>
      <c r="W75" s="136"/>
      <c r="X75" s="136"/>
      <c r="Y75" s="136"/>
      <c r="Z75" s="136"/>
      <c r="AA75" s="136"/>
      <c r="AB75" s="136"/>
      <c r="AC75" s="136"/>
      <c r="AD75" s="136"/>
      <c r="AE75" s="136"/>
      <c r="AF75" s="136"/>
      <c r="AG75" s="136"/>
      <c r="AH75" s="136"/>
      <c r="AI75" s="136"/>
      <c r="AJ75" s="136"/>
    </row>
    <row r="76" spans="1:36" x14ac:dyDescent="0.2">
      <c r="A76">
        <v>1300</v>
      </c>
      <c r="B76" s="8">
        <f t="shared" si="8"/>
        <v>704.44444444444446</v>
      </c>
      <c r="C76" s="136"/>
      <c r="D76" s="136"/>
      <c r="E76" s="136"/>
      <c r="F76" s="136"/>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c r="AD76" s="136"/>
      <c r="AE76" s="136"/>
      <c r="AF76" s="136"/>
      <c r="AG76" s="136"/>
      <c r="AH76" s="136"/>
      <c r="AI76" s="136"/>
      <c r="AJ76" s="136"/>
    </row>
    <row r="77" spans="1:36" x14ac:dyDescent="0.2">
      <c r="A77">
        <v>1350</v>
      </c>
      <c r="B77" s="8">
        <f t="shared" si="8"/>
        <v>732.22222222222217</v>
      </c>
      <c r="C77" s="136"/>
      <c r="D77" s="136"/>
      <c r="E77" s="136"/>
      <c r="F77" s="136"/>
      <c r="G77" s="136"/>
      <c r="H77" s="136"/>
      <c r="I77" s="136"/>
      <c r="J77" s="136"/>
      <c r="K77" s="136"/>
      <c r="L77" s="136"/>
      <c r="M77" s="136"/>
      <c r="N77" s="136"/>
      <c r="O77" s="136"/>
      <c r="P77" s="136"/>
      <c r="Q77" s="136"/>
      <c r="R77" s="136"/>
      <c r="S77" s="136"/>
      <c r="T77" s="136"/>
      <c r="U77" s="136"/>
      <c r="V77" s="136"/>
      <c r="W77" s="136"/>
      <c r="X77" s="136"/>
      <c r="Y77" s="136"/>
      <c r="Z77" s="136"/>
      <c r="AA77" s="136"/>
      <c r="AB77" s="136"/>
      <c r="AC77" s="136"/>
      <c r="AD77" s="136"/>
      <c r="AE77" s="136"/>
      <c r="AF77" s="136"/>
      <c r="AG77" s="136"/>
      <c r="AH77" s="136"/>
      <c r="AI77" s="136"/>
      <c r="AJ77" s="136"/>
    </row>
    <row r="78" spans="1:36" x14ac:dyDescent="0.2">
      <c r="A78">
        <v>1400</v>
      </c>
      <c r="B78" s="8">
        <f t="shared" si="8"/>
        <v>760</v>
      </c>
      <c r="C78" s="136"/>
      <c r="D78" s="136"/>
      <c r="E78" s="136"/>
      <c r="F78" s="136"/>
      <c r="G78" s="136"/>
      <c r="H78" s="136"/>
      <c r="I78" s="136"/>
      <c r="J78" s="136"/>
      <c r="K78" s="136"/>
      <c r="L78" s="136"/>
      <c r="M78" s="136"/>
      <c r="N78" s="136"/>
      <c r="O78" s="136"/>
      <c r="P78" s="136"/>
      <c r="Q78" s="136"/>
      <c r="R78" s="136"/>
      <c r="S78" s="136"/>
      <c r="T78" s="136"/>
      <c r="U78" s="136"/>
      <c r="V78" s="136"/>
      <c r="W78" s="136"/>
      <c r="X78" s="136"/>
      <c r="Y78" s="136"/>
      <c r="Z78" s="136"/>
      <c r="AA78" s="136"/>
      <c r="AB78" s="136"/>
      <c r="AC78" s="136"/>
      <c r="AD78" s="136"/>
      <c r="AE78" s="136"/>
      <c r="AF78" s="136"/>
      <c r="AG78" s="136"/>
      <c r="AH78" s="136"/>
      <c r="AI78" s="136"/>
      <c r="AJ78" s="136"/>
    </row>
    <row r="79" spans="1:36" x14ac:dyDescent="0.2">
      <c r="A79">
        <v>1450</v>
      </c>
      <c r="B79" s="8">
        <f t="shared" si="8"/>
        <v>787.77777777777783</v>
      </c>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c r="AD79" s="136"/>
      <c r="AE79" s="136"/>
      <c r="AF79" s="136"/>
      <c r="AG79" s="136"/>
      <c r="AH79" s="136"/>
      <c r="AI79" s="136"/>
      <c r="AJ79" s="136"/>
    </row>
    <row r="80" spans="1:36" x14ac:dyDescent="0.2">
      <c r="A80">
        <v>1500</v>
      </c>
      <c r="B80" s="8">
        <f t="shared" si="8"/>
        <v>815.55555555555554</v>
      </c>
      <c r="C80" s="136"/>
      <c r="D80" s="136"/>
      <c r="E80" s="136"/>
      <c r="F80" s="136"/>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c r="AD80" s="136"/>
      <c r="AE80" s="136"/>
      <c r="AF80" s="136"/>
      <c r="AG80" s="136"/>
      <c r="AH80" s="136"/>
      <c r="AI80" s="136"/>
      <c r="AJ80" s="136"/>
    </row>
  </sheetData>
  <mergeCells count="45">
    <mergeCell ref="AI50:AJ50"/>
    <mergeCell ref="AG50:AH50"/>
    <mergeCell ref="AE50:AF50"/>
    <mergeCell ref="AC50:AD50"/>
    <mergeCell ref="C3:D3"/>
    <mergeCell ref="E3:F3"/>
    <mergeCell ref="E27:F27"/>
    <mergeCell ref="G27:H27"/>
    <mergeCell ref="AA50:AB50"/>
    <mergeCell ref="Y50:Z50"/>
    <mergeCell ref="Q50:R50"/>
    <mergeCell ref="W50:X50"/>
    <mergeCell ref="U50:V50"/>
    <mergeCell ref="S50:T50"/>
    <mergeCell ref="M27:N27"/>
    <mergeCell ref="O27:P27"/>
    <mergeCell ref="AI51:AJ51"/>
    <mergeCell ref="AA51:AB51"/>
    <mergeCell ref="AG51:AH51"/>
    <mergeCell ref="AE51:AF51"/>
    <mergeCell ref="AC51:AD51"/>
    <mergeCell ref="A27:B27"/>
    <mergeCell ref="C51:D51"/>
    <mergeCell ref="C27:D27"/>
    <mergeCell ref="A51:B51"/>
    <mergeCell ref="E51:F51"/>
    <mergeCell ref="C50:D50"/>
    <mergeCell ref="E50:F50"/>
    <mergeCell ref="G51:H51"/>
    <mergeCell ref="M51:N51"/>
    <mergeCell ref="I50:J50"/>
    <mergeCell ref="K50:L50"/>
    <mergeCell ref="M50:N50"/>
    <mergeCell ref="G50:H50"/>
    <mergeCell ref="K51:L51"/>
    <mergeCell ref="I51:J51"/>
    <mergeCell ref="O51:P51"/>
    <mergeCell ref="O50:P50"/>
    <mergeCell ref="K27:L27"/>
    <mergeCell ref="I27:J27"/>
    <mergeCell ref="Y51:Z51"/>
    <mergeCell ref="U51:V51"/>
    <mergeCell ref="W51:X51"/>
    <mergeCell ref="Q51:R51"/>
    <mergeCell ref="S51:T51"/>
  </mergeCells>
  <phoneticPr fontId="0" type="noConversion"/>
  <pageMargins left="0.75" right="0.75" top="1" bottom="1" header="0.5" footer="0.5"/>
  <pageSetup paperSize="9"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dimension ref="A1:E62"/>
  <sheetViews>
    <sheetView topLeftCell="A16" workbookViewId="0">
      <selection activeCell="C49" sqref="C49"/>
    </sheetView>
  </sheetViews>
  <sheetFormatPr defaultColWidth="9.140625" defaultRowHeight="12.75" x14ac:dyDescent="0.2"/>
  <cols>
    <col min="1" max="1" width="23.42578125" bestFit="1" customWidth="1"/>
    <col min="2" max="3" width="18.28515625" customWidth="1"/>
  </cols>
  <sheetData>
    <row r="1" spans="1:5" x14ac:dyDescent="0.2">
      <c r="A1" s="2" t="s">
        <v>11</v>
      </c>
      <c r="B1" s="317" t="s">
        <v>3</v>
      </c>
      <c r="C1" s="317"/>
    </row>
    <row r="2" spans="1:5" x14ac:dyDescent="0.2">
      <c r="A2" s="2"/>
      <c r="B2" s="3" t="s">
        <v>1</v>
      </c>
      <c r="C2" s="3" t="s">
        <v>2</v>
      </c>
    </row>
    <row r="3" spans="1:5" x14ac:dyDescent="0.2">
      <c r="A3" s="2" t="s">
        <v>0</v>
      </c>
      <c r="B3" s="3">
        <v>63.5</v>
      </c>
      <c r="C3" s="3">
        <v>609.6</v>
      </c>
      <c r="D3" s="1"/>
      <c r="E3" s="1"/>
    </row>
    <row r="4" spans="1:5" x14ac:dyDescent="0.2">
      <c r="A4" s="2" t="s">
        <v>6</v>
      </c>
      <c r="B4" s="3">
        <v>3.1749999999999998</v>
      </c>
      <c r="C4" s="3">
        <v>20.954999999999998</v>
      </c>
      <c r="D4" s="1"/>
      <c r="E4" s="1"/>
    </row>
    <row r="5" spans="1:5" x14ac:dyDescent="0.2">
      <c r="A5" s="2" t="s">
        <v>5</v>
      </c>
      <c r="B5" s="3">
        <v>9.1999999999999993</v>
      </c>
      <c r="C5" s="3">
        <v>46.5</v>
      </c>
      <c r="D5" s="1"/>
      <c r="E5" s="1"/>
    </row>
    <row r="6" spans="1:5" x14ac:dyDescent="0.2">
      <c r="A6" s="2" t="s">
        <v>7</v>
      </c>
      <c r="B6" s="3">
        <v>0.57999999999999996</v>
      </c>
      <c r="C6" s="3">
        <v>1</v>
      </c>
      <c r="D6" s="1"/>
      <c r="E6" s="1"/>
    </row>
    <row r="7" spans="1:5" x14ac:dyDescent="0.2">
      <c r="A7" s="2" t="s">
        <v>8</v>
      </c>
      <c r="B7" s="3">
        <v>0.16</v>
      </c>
      <c r="C7" s="3">
        <v>0.71</v>
      </c>
      <c r="D7" s="1"/>
      <c r="E7" s="1"/>
    </row>
    <row r="8" spans="1:5" x14ac:dyDescent="0.2">
      <c r="A8" s="2" t="s">
        <v>9</v>
      </c>
      <c r="B8" s="3">
        <v>2</v>
      </c>
      <c r="C8" s="4" t="s">
        <v>12</v>
      </c>
      <c r="D8" s="1"/>
      <c r="E8" s="1"/>
    </row>
    <row r="9" spans="1:5" x14ac:dyDescent="0.2">
      <c r="A9" s="2" t="s">
        <v>10</v>
      </c>
      <c r="B9" s="3">
        <v>3</v>
      </c>
      <c r="C9" s="4" t="s">
        <v>12</v>
      </c>
      <c r="D9" s="1"/>
      <c r="E9" s="1"/>
    </row>
    <row r="10" spans="1:5" x14ac:dyDescent="0.2">
      <c r="A10" s="2"/>
      <c r="B10" s="2"/>
      <c r="C10" s="2"/>
    </row>
    <row r="11" spans="1:5" x14ac:dyDescent="0.2">
      <c r="A11" s="2"/>
      <c r="B11" s="317" t="s">
        <v>4</v>
      </c>
      <c r="C11" s="317"/>
    </row>
    <row r="12" spans="1:5" x14ac:dyDescent="0.2">
      <c r="A12" s="2"/>
      <c r="B12" s="3" t="s">
        <v>1</v>
      </c>
      <c r="C12" s="3" t="s">
        <v>2</v>
      </c>
    </row>
    <row r="13" spans="1:5" x14ac:dyDescent="0.2">
      <c r="A13" s="2" t="s">
        <v>0</v>
      </c>
      <c r="B13" s="3">
        <v>127</v>
      </c>
      <c r="C13" s="3">
        <v>609.6</v>
      </c>
    </row>
    <row r="14" spans="1:5" x14ac:dyDescent="0.2">
      <c r="A14" s="2" t="s">
        <v>6</v>
      </c>
      <c r="B14" s="3">
        <v>6.1</v>
      </c>
      <c r="C14" s="3">
        <v>6.7</v>
      </c>
    </row>
    <row r="15" spans="1:5" x14ac:dyDescent="0.2">
      <c r="A15" s="2" t="s">
        <v>13</v>
      </c>
      <c r="B15" s="3">
        <v>0.5</v>
      </c>
      <c r="C15" s="3">
        <v>0.8</v>
      </c>
    </row>
    <row r="16" spans="1:5" x14ac:dyDescent="0.2">
      <c r="A16" s="2" t="s">
        <v>14</v>
      </c>
      <c r="B16" s="3">
        <v>0.58299999999999996</v>
      </c>
      <c r="C16" s="3">
        <v>0.875</v>
      </c>
    </row>
    <row r="17" spans="1:3" x14ac:dyDescent="0.2">
      <c r="A17" s="2" t="s">
        <v>15</v>
      </c>
      <c r="B17" s="3">
        <v>0</v>
      </c>
      <c r="C17" s="3">
        <v>0.6</v>
      </c>
    </row>
    <row r="18" spans="1:3" x14ac:dyDescent="0.2">
      <c r="A18" s="2" t="s">
        <v>10</v>
      </c>
      <c r="B18" s="3">
        <v>3</v>
      </c>
      <c r="C18" s="4" t="s">
        <v>12</v>
      </c>
    </row>
    <row r="21" spans="1:3" x14ac:dyDescent="0.2">
      <c r="A21" t="s">
        <v>52</v>
      </c>
    </row>
    <row r="23" spans="1:3" x14ac:dyDescent="0.2">
      <c r="A23" t="s">
        <v>53</v>
      </c>
      <c r="B23" t="s">
        <v>65</v>
      </c>
      <c r="C23" t="s">
        <v>64</v>
      </c>
    </row>
    <row r="24" spans="1:3" x14ac:dyDescent="0.2">
      <c r="A24" t="s">
        <v>54</v>
      </c>
      <c r="B24">
        <v>1.41</v>
      </c>
      <c r="C24">
        <v>1.407</v>
      </c>
    </row>
    <row r="25" spans="1:3" x14ac:dyDescent="0.2">
      <c r="A25" t="s">
        <v>55</v>
      </c>
      <c r="B25">
        <v>-0.94899999999999995</v>
      </c>
      <c r="C25">
        <v>-0.83899999999999997</v>
      </c>
    </row>
    <row r="26" spans="1:3" x14ac:dyDescent="0.2">
      <c r="A26" t="s">
        <v>56</v>
      </c>
      <c r="B26">
        <v>-9.0999999999999998E-2</v>
      </c>
      <c r="C26">
        <v>-2.1999999999999999E-2</v>
      </c>
    </row>
    <row r="27" spans="1:3" x14ac:dyDescent="0.2">
      <c r="A27" t="s">
        <v>57</v>
      </c>
      <c r="B27">
        <v>1.1319999999999999</v>
      </c>
      <c r="C27">
        <v>1.022</v>
      </c>
    </row>
    <row r="28" spans="1:3" x14ac:dyDescent="0.2">
      <c r="A28" t="s">
        <v>58</v>
      </c>
      <c r="B28">
        <v>-1.714</v>
      </c>
      <c r="C28">
        <v>-2.2280000000000002</v>
      </c>
    </row>
    <row r="29" spans="1:3" x14ac:dyDescent="0.2">
      <c r="A29" t="s">
        <v>59</v>
      </c>
      <c r="B29">
        <v>0.86499999999999999</v>
      </c>
      <c r="C29">
        <v>1.5940000000000001</v>
      </c>
    </row>
    <row r="30" spans="1:3" x14ac:dyDescent="0.2">
      <c r="A30" t="s">
        <v>60</v>
      </c>
      <c r="B30">
        <v>0.86099999999999999</v>
      </c>
      <c r="C30">
        <v>1.3129999999999999</v>
      </c>
    </row>
    <row r="31" spans="1:3" x14ac:dyDescent="0.2">
      <c r="A31" t="s">
        <v>61</v>
      </c>
      <c r="B31">
        <v>1</v>
      </c>
      <c r="C31">
        <v>0.36199999999999999</v>
      </c>
    </row>
    <row r="32" spans="1:3" x14ac:dyDescent="0.2">
      <c r="A32" t="s">
        <v>62</v>
      </c>
      <c r="B32">
        <v>9.2750000000000004</v>
      </c>
      <c r="C32">
        <v>8.2989999999999995</v>
      </c>
    </row>
    <row r="33" spans="1:4" x14ac:dyDescent="0.2">
      <c r="A33" t="s">
        <v>63</v>
      </c>
      <c r="B33">
        <v>-7.4660000000000002</v>
      </c>
      <c r="C33">
        <v>-5.3760000000000003</v>
      </c>
    </row>
    <row r="36" spans="1:4" ht="14.25" x14ac:dyDescent="0.25">
      <c r="A36" s="5"/>
      <c r="B36" s="28" t="s">
        <v>307</v>
      </c>
    </row>
    <row r="37" spans="1:4" x14ac:dyDescent="0.2">
      <c r="A37" t="s">
        <v>99</v>
      </c>
      <c r="B37" s="6" t="s">
        <v>101</v>
      </c>
    </row>
    <row r="38" spans="1:4" x14ac:dyDescent="0.2">
      <c r="A38" t="s">
        <v>100</v>
      </c>
      <c r="B38" t="s">
        <v>101</v>
      </c>
    </row>
    <row r="39" spans="1:4" x14ac:dyDescent="0.2">
      <c r="A39" t="s">
        <v>4</v>
      </c>
      <c r="B39" t="s">
        <v>102</v>
      </c>
    </row>
    <row r="42" spans="1:4" s="7" customFormat="1" ht="39.75" x14ac:dyDescent="0.2">
      <c r="B42" s="47" t="s">
        <v>314</v>
      </c>
      <c r="C42" s="47" t="s">
        <v>315</v>
      </c>
      <c r="D42" s="47" t="s">
        <v>199</v>
      </c>
    </row>
    <row r="43" spans="1:4" x14ac:dyDescent="0.2">
      <c r="A43" t="s">
        <v>104</v>
      </c>
      <c r="B43" t="s">
        <v>108</v>
      </c>
      <c r="C43">
        <v>2.2999999999999998</v>
      </c>
      <c r="D43" t="s">
        <v>196</v>
      </c>
    </row>
    <row r="44" spans="1:4" x14ac:dyDescent="0.2">
      <c r="A44" t="s">
        <v>105</v>
      </c>
      <c r="B44" t="s">
        <v>109</v>
      </c>
      <c r="C44">
        <v>2.2000000000000002</v>
      </c>
      <c r="D44" t="s">
        <v>197</v>
      </c>
    </row>
    <row r="45" spans="1:4" x14ac:dyDescent="0.2">
      <c r="A45" s="196" t="s">
        <v>418</v>
      </c>
      <c r="B45" t="s">
        <v>109</v>
      </c>
      <c r="C45">
        <v>2.2000000000000002</v>
      </c>
      <c r="D45" t="s">
        <v>198</v>
      </c>
    </row>
    <row r="46" spans="1:4" x14ac:dyDescent="0.2">
      <c r="A46" s="196" t="s">
        <v>419</v>
      </c>
      <c r="B46" t="s">
        <v>109</v>
      </c>
      <c r="C46">
        <v>2.2000000000000002</v>
      </c>
      <c r="D46" t="s">
        <v>198</v>
      </c>
    </row>
    <row r="47" spans="1:4" x14ac:dyDescent="0.2">
      <c r="A47" s="196" t="s">
        <v>420</v>
      </c>
      <c r="B47" t="s">
        <v>109</v>
      </c>
      <c r="C47">
        <v>2.2000000000000002</v>
      </c>
      <c r="D47" t="s">
        <v>198</v>
      </c>
    </row>
    <row r="48" spans="1:4" x14ac:dyDescent="0.2">
      <c r="A48" t="s">
        <v>106</v>
      </c>
      <c r="B48" t="s">
        <v>109</v>
      </c>
      <c r="C48">
        <v>2.2000000000000002</v>
      </c>
      <c r="D48" t="s">
        <v>197</v>
      </c>
    </row>
    <row r="49" spans="1:4" x14ac:dyDescent="0.2">
      <c r="A49" t="s">
        <v>107</v>
      </c>
      <c r="B49" t="s">
        <v>109</v>
      </c>
      <c r="C49">
        <v>2.2000000000000002</v>
      </c>
      <c r="D49" t="s">
        <v>196</v>
      </c>
    </row>
    <row r="53" spans="1:4" x14ac:dyDescent="0.2">
      <c r="A53" t="s">
        <v>200</v>
      </c>
    </row>
    <row r="54" spans="1:4" ht="14.25" x14ac:dyDescent="0.25">
      <c r="A54" s="54" t="s">
        <v>201</v>
      </c>
      <c r="B54" s="54" t="s">
        <v>199</v>
      </c>
      <c r="C54" s="54" t="s">
        <v>323</v>
      </c>
    </row>
    <row r="55" spans="1:4" x14ac:dyDescent="0.2">
      <c r="A55" s="14" t="s">
        <v>202</v>
      </c>
      <c r="B55" s="14" t="s">
        <v>196</v>
      </c>
      <c r="C55" s="14">
        <v>20.7</v>
      </c>
    </row>
    <row r="56" spans="1:4" x14ac:dyDescent="0.2">
      <c r="A56" s="14" t="s">
        <v>202</v>
      </c>
      <c r="B56" s="14" t="s">
        <v>198</v>
      </c>
      <c r="C56" s="14">
        <v>32.4</v>
      </c>
    </row>
    <row r="57" spans="1:4" x14ac:dyDescent="0.2">
      <c r="A57" s="14" t="s">
        <v>202</v>
      </c>
      <c r="B57" s="14" t="s">
        <v>197</v>
      </c>
      <c r="C57" s="14">
        <v>48.3</v>
      </c>
    </row>
    <row r="58" spans="1:4" x14ac:dyDescent="0.2">
      <c r="A58" s="14"/>
      <c r="B58" s="14"/>
      <c r="C58" s="14"/>
    </row>
    <row r="59" spans="1:4" x14ac:dyDescent="0.2">
      <c r="A59" s="14" t="s">
        <v>203</v>
      </c>
      <c r="B59" s="14" t="s">
        <v>196</v>
      </c>
      <c r="C59" s="14">
        <v>37.200000000000003</v>
      </c>
    </row>
    <row r="60" spans="1:4" x14ac:dyDescent="0.2">
      <c r="A60" s="14" t="s">
        <v>203</v>
      </c>
      <c r="B60" s="14" t="s">
        <v>198</v>
      </c>
      <c r="C60" s="14">
        <v>62.8</v>
      </c>
    </row>
    <row r="61" spans="1:4" x14ac:dyDescent="0.2">
      <c r="A61" s="14" t="s">
        <v>203</v>
      </c>
      <c r="B61" s="14" t="s">
        <v>197</v>
      </c>
      <c r="C61" s="14">
        <v>93.8</v>
      </c>
    </row>
    <row r="62" spans="1:4" x14ac:dyDescent="0.2">
      <c r="A62" s="15"/>
      <c r="B62" s="15"/>
      <c r="C62" s="15"/>
    </row>
  </sheetData>
  <mergeCells count="2">
    <mergeCell ref="B1:C1"/>
    <mergeCell ref="B11:C11"/>
  </mergeCells>
  <phoneticPr fontId="0" type="noConversion"/>
  <pageMargins left="0.75" right="0.75" top="1" bottom="1" header="0.5" footer="0.5"/>
  <pageSetup paperSize="9"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B1:Q66"/>
  <sheetViews>
    <sheetView view="pageBreakPreview" zoomScale="75" zoomScaleNormal="100" zoomScaleSheetLayoutView="100" workbookViewId="0">
      <selection activeCell="C12" sqref="C12"/>
    </sheetView>
  </sheetViews>
  <sheetFormatPr defaultColWidth="0" defaultRowHeight="12.75" zeroHeight="1" x14ac:dyDescent="0.2"/>
  <cols>
    <col min="1" max="1" width="3.85546875" customWidth="1"/>
    <col min="2" max="2" width="38.28515625" customWidth="1"/>
    <col min="3" max="3" width="24.7109375" customWidth="1"/>
    <col min="4" max="4" width="10.140625" customWidth="1"/>
    <col min="5" max="5" width="34.28515625" customWidth="1"/>
    <col min="6" max="7" width="3.42578125" customWidth="1"/>
    <col min="8" max="8" width="34.42578125" customWidth="1"/>
    <col min="9" max="9" width="27" customWidth="1"/>
    <col min="10" max="10" width="10.28515625" customWidth="1"/>
    <col min="11" max="11" width="39.140625" customWidth="1"/>
    <col min="12" max="12" width="4.42578125" customWidth="1"/>
  </cols>
  <sheetData>
    <row r="1" spans="2:17" x14ac:dyDescent="0.2"/>
    <row r="2" spans="2:17" ht="86.25" x14ac:dyDescent="0.2">
      <c r="B2" s="184" t="s">
        <v>398</v>
      </c>
      <c r="C2" s="65" t="s">
        <v>360</v>
      </c>
      <c r="D2" s="63"/>
      <c r="E2" s="63"/>
      <c r="F2" s="63"/>
      <c r="H2" s="233" t="s">
        <v>398</v>
      </c>
      <c r="I2" s="323" t="s">
        <v>360</v>
      </c>
      <c r="J2" s="323"/>
      <c r="K2" s="324"/>
      <c r="L2" s="63"/>
      <c r="M2" s="184" t="s">
        <v>398</v>
      </c>
      <c r="N2" s="65" t="s">
        <v>360</v>
      </c>
      <c r="O2" s="63"/>
      <c r="P2" s="63"/>
      <c r="Q2" s="63"/>
    </row>
    <row r="3" spans="2:17" x14ac:dyDescent="0.2">
      <c r="B3" s="255" t="str">
        <f>CONCATENATE("(Version/Date ",SS_VERSION," ",TEXT(SS_DATE,"dd/mmm/yyyy"),")")</f>
        <v>(Version/Date V3.03 03/Jan/2020)</v>
      </c>
      <c r="C3" s="325" t="str">
        <f>'Front Page'!E3</f>
        <v>In accordance with ASME PTC 19.3 TW-2016</v>
      </c>
      <c r="D3" s="325"/>
      <c r="E3" s="325"/>
      <c r="F3" s="210"/>
      <c r="H3" s="254" t="str">
        <f>CONCATENATE("(Version/Date ",SS_VERSION," ",TEXT(SS_DATE,"dd/mmm/yyyy"),")")</f>
        <v>(Version/Date V3.03 03/Jan/2020)</v>
      </c>
      <c r="I3" s="321" t="s">
        <v>434</v>
      </c>
      <c r="J3" s="321"/>
      <c r="K3" s="322"/>
      <c r="L3" s="210"/>
      <c r="M3" s="63"/>
      <c r="N3" s="318" t="s">
        <v>388</v>
      </c>
      <c r="O3" s="319"/>
      <c r="P3" s="319"/>
      <c r="Q3" s="210"/>
    </row>
    <row r="4" spans="2:17" ht="8.25" customHeight="1" x14ac:dyDescent="0.2">
      <c r="B4" s="60"/>
      <c r="C4" s="63"/>
      <c r="D4" s="63"/>
      <c r="E4" s="63"/>
      <c r="F4" s="63"/>
      <c r="H4" s="228"/>
      <c r="I4" s="15"/>
      <c r="J4" s="15"/>
      <c r="K4" s="216"/>
      <c r="L4" s="63"/>
      <c r="M4" s="60"/>
      <c r="N4" s="63"/>
      <c r="O4" s="63"/>
      <c r="P4" s="63"/>
      <c r="Q4" s="63"/>
    </row>
    <row r="5" spans="2:17" ht="15.75" x14ac:dyDescent="0.2">
      <c r="B5" s="116" t="s">
        <v>327</v>
      </c>
      <c r="C5" s="320" t="str">
        <f>IF('Front Page'!E8=0," ",'Front Page'!E8)</f>
        <v xml:space="preserve"> </v>
      </c>
      <c r="D5" s="320"/>
      <c r="E5" s="114"/>
      <c r="F5" s="114"/>
      <c r="H5" s="58" t="s">
        <v>332</v>
      </c>
      <c r="I5" s="68">
        <f>REPORT_ITEM_NUMBER</f>
        <v>1</v>
      </c>
      <c r="J5" s="113" t="s">
        <v>333</v>
      </c>
      <c r="K5" s="234" t="str">
        <f>REPORT_ISSUE</f>
        <v xml:space="preserve"> </v>
      </c>
      <c r="L5" s="114"/>
      <c r="M5" s="60" t="s">
        <v>327</v>
      </c>
      <c r="N5" s="320" t="str">
        <f>IF('Front Page'!K8=0," ",'Front Page'!K8)</f>
        <v xml:space="preserve"> </v>
      </c>
      <c r="O5" s="320"/>
      <c r="P5" s="114"/>
      <c r="Q5" s="114"/>
    </row>
    <row r="6" spans="2:17" ht="15.75" x14ac:dyDescent="0.2">
      <c r="B6" s="116" t="s">
        <v>329</v>
      </c>
      <c r="C6" s="320" t="str">
        <f>IF('Front Page'!E10=0," ",'Front Page'!E10)</f>
        <v xml:space="preserve"> </v>
      </c>
      <c r="D6" s="320"/>
      <c r="E6" s="114"/>
      <c r="F6" s="114"/>
      <c r="H6" s="58" t="s">
        <v>334</v>
      </c>
      <c r="I6" s="76" t="str">
        <f>REPORT_TAG_NUMBER</f>
        <v>Test</v>
      </c>
      <c r="J6" s="113" t="s">
        <v>335</v>
      </c>
      <c r="K6" s="235" t="str">
        <f>REPORT_DATE</f>
        <v xml:space="preserve"> </v>
      </c>
      <c r="L6" s="114"/>
      <c r="M6" s="60" t="s">
        <v>329</v>
      </c>
      <c r="N6" s="320" t="str">
        <f>IF('Front Page'!K10=0," ",'Front Page'!K10)</f>
        <v xml:space="preserve"> </v>
      </c>
      <c r="O6" s="320"/>
      <c r="P6" s="114"/>
      <c r="Q6" s="114"/>
    </row>
    <row r="7" spans="2:17" ht="15.75" x14ac:dyDescent="0.2">
      <c r="B7" s="116" t="s">
        <v>331</v>
      </c>
      <c r="C7" s="320" t="str">
        <f>IF('Front Page'!E9=0," ",'Front Page'!E9)</f>
        <v xml:space="preserve"> </v>
      </c>
      <c r="D7" s="320"/>
      <c r="E7" s="266" t="s">
        <v>462</v>
      </c>
      <c r="F7" s="76"/>
      <c r="H7" s="58" t="s">
        <v>103</v>
      </c>
      <c r="I7" s="76" t="s">
        <v>474</v>
      </c>
      <c r="J7" s="15"/>
      <c r="K7" s="216"/>
      <c r="L7" s="76"/>
      <c r="M7" s="60" t="s">
        <v>331</v>
      </c>
      <c r="N7" s="320" t="str">
        <f>IF('Front Page'!K9=0," ",'Front Page'!K9)</f>
        <v xml:space="preserve"> </v>
      </c>
      <c r="O7" s="320"/>
      <c r="P7" s="76"/>
      <c r="Q7" s="76"/>
    </row>
    <row r="8" spans="2:17" ht="15.75" x14ac:dyDescent="0.2">
      <c r="B8" s="116" t="s">
        <v>328</v>
      </c>
      <c r="C8" s="68" t="str">
        <f>IF('Front Page'!E11=0," ",'Front Page'!E11)</f>
        <v xml:space="preserve"> </v>
      </c>
      <c r="D8" s="268" t="s">
        <v>463</v>
      </c>
      <c r="E8" s="267" t="str">
        <f>IF('Front Page'!E15=0," ",'Front Page'!E15)</f>
        <v xml:space="preserve"> </v>
      </c>
      <c r="F8" s="76"/>
      <c r="H8" s="228"/>
      <c r="I8" s="15"/>
      <c r="J8" s="15"/>
      <c r="K8" s="216"/>
      <c r="L8" s="76"/>
      <c r="M8" s="60" t="s">
        <v>328</v>
      </c>
      <c r="N8" s="68" t="str">
        <f>IF('Front Page'!K11=0," ",'Front Page'!K11)</f>
        <v xml:space="preserve"> </v>
      </c>
      <c r="O8" s="76"/>
      <c r="P8" s="76"/>
      <c r="Q8" s="76"/>
    </row>
    <row r="9" spans="2:17" ht="15.75" x14ac:dyDescent="0.2">
      <c r="B9" s="116" t="s">
        <v>330</v>
      </c>
      <c r="C9" s="68" t="str">
        <f>IF('Front Page'!E12=0," ",'Front Page'!E12)</f>
        <v xml:space="preserve"> </v>
      </c>
      <c r="D9" s="268" t="s">
        <v>464</v>
      </c>
      <c r="E9" s="267" t="str">
        <f>IF('Front Page'!E16=0," ",'Front Page'!E16)</f>
        <v xml:space="preserve"> </v>
      </c>
      <c r="F9" s="76"/>
      <c r="H9" s="228"/>
      <c r="I9" s="15"/>
      <c r="J9" s="15"/>
      <c r="K9" s="216"/>
      <c r="L9" s="76"/>
      <c r="M9" s="60" t="s">
        <v>330</v>
      </c>
      <c r="N9" s="68" t="str">
        <f>IF('Front Page'!K12=0," ",'Front Page'!K12)</f>
        <v xml:space="preserve"> </v>
      </c>
      <c r="O9" s="76"/>
      <c r="P9" s="76"/>
      <c r="Q9" s="76"/>
    </row>
    <row r="10" spans="2:17" ht="15.75" x14ac:dyDescent="0.2">
      <c r="B10" s="116" t="s">
        <v>332</v>
      </c>
      <c r="C10" s="68">
        <v>1</v>
      </c>
      <c r="D10" s="269" t="s">
        <v>333</v>
      </c>
      <c r="E10" s="68" t="str">
        <f>IF('Front Page'!E13=0," ",'Front Page'!E13)</f>
        <v xml:space="preserve"> </v>
      </c>
      <c r="F10" s="68"/>
      <c r="H10" s="228"/>
      <c r="I10" s="15"/>
      <c r="J10" s="15"/>
      <c r="K10" s="216"/>
      <c r="L10" s="68"/>
      <c r="M10" s="60" t="s">
        <v>332</v>
      </c>
      <c r="N10" s="68">
        <v>1</v>
      </c>
      <c r="O10" s="113" t="s">
        <v>333</v>
      </c>
      <c r="P10" s="68" t="str">
        <f>IF('Front Page'!K13=0," ",'Front Page'!K13)</f>
        <v xml:space="preserve"> </v>
      </c>
      <c r="Q10" s="68"/>
    </row>
    <row r="11" spans="2:17" ht="15.75" x14ac:dyDescent="0.2">
      <c r="B11" s="116" t="s">
        <v>334</v>
      </c>
      <c r="C11" s="76" t="s">
        <v>472</v>
      </c>
      <c r="D11" s="269" t="s">
        <v>335</v>
      </c>
      <c r="E11" s="115" t="str">
        <f>IF('Front Page'!E14=0," ",'Front Page'!E14)</f>
        <v xml:space="preserve"> </v>
      </c>
      <c r="F11" s="115"/>
      <c r="H11" s="228"/>
      <c r="I11" s="15"/>
      <c r="J11" s="15"/>
      <c r="K11" s="216"/>
      <c r="L11" s="115"/>
      <c r="M11" s="60" t="s">
        <v>334</v>
      </c>
      <c r="N11" s="76" t="s">
        <v>413</v>
      </c>
      <c r="O11" s="113" t="s">
        <v>335</v>
      </c>
      <c r="P11" s="115" t="str">
        <f>IF('Front Page'!K14=0," ",'Front Page'!K14)</f>
        <v xml:space="preserve"> </v>
      </c>
      <c r="Q11" s="115"/>
    </row>
    <row r="12" spans="2:17" ht="8.25" customHeight="1" x14ac:dyDescent="0.2">
      <c r="B12" s="63"/>
      <c r="C12" s="15"/>
      <c r="D12" s="63"/>
      <c r="E12" s="60"/>
      <c r="F12" s="60"/>
      <c r="H12" s="228"/>
      <c r="I12" s="15"/>
      <c r="J12" s="15"/>
      <c r="K12" s="216"/>
      <c r="L12" s="60"/>
      <c r="M12" s="63"/>
      <c r="N12" s="15"/>
      <c r="O12" s="63"/>
      <c r="P12" s="60"/>
      <c r="Q12" s="60"/>
    </row>
    <row r="13" spans="2:17" ht="18" x14ac:dyDescent="0.2">
      <c r="C13" s="144" t="s">
        <v>336</v>
      </c>
      <c r="D13" s="148"/>
      <c r="E13" s="148"/>
      <c r="F13" s="148"/>
      <c r="H13" s="228"/>
      <c r="I13" s="15"/>
      <c r="J13" s="15"/>
      <c r="K13" s="216"/>
      <c r="L13" s="148"/>
      <c r="N13" s="144" t="s">
        <v>336</v>
      </c>
      <c r="O13" s="148"/>
      <c r="P13" s="148"/>
      <c r="Q13" s="148"/>
    </row>
    <row r="14" spans="2:17" ht="15.75" x14ac:dyDescent="0.2">
      <c r="B14" s="116" t="s">
        <v>337</v>
      </c>
      <c r="C14" s="63"/>
      <c r="D14" s="63"/>
      <c r="E14" s="63"/>
      <c r="F14" s="63"/>
      <c r="H14" s="228"/>
      <c r="I14" s="15"/>
      <c r="J14" s="15"/>
      <c r="K14" s="216"/>
      <c r="L14" s="63"/>
      <c r="M14" s="116" t="s">
        <v>337</v>
      </c>
      <c r="N14" s="63"/>
      <c r="O14" s="63"/>
      <c r="P14" s="63"/>
      <c r="Q14" s="63"/>
    </row>
    <row r="15" spans="2:17" ht="7.5" customHeight="1" x14ac:dyDescent="0.2">
      <c r="B15" s="63"/>
      <c r="C15" s="63"/>
      <c r="D15" s="63"/>
      <c r="E15" s="63"/>
      <c r="F15" s="63"/>
      <c r="H15" s="228"/>
      <c r="I15" s="15"/>
      <c r="J15" s="15"/>
      <c r="K15" s="216"/>
      <c r="L15" s="63"/>
      <c r="M15" s="63"/>
      <c r="N15" s="63"/>
      <c r="O15" s="63"/>
      <c r="P15" s="63"/>
      <c r="Q15" s="63"/>
    </row>
    <row r="16" spans="2:17" ht="15.75" x14ac:dyDescent="0.2">
      <c r="B16" s="57" t="s">
        <v>338</v>
      </c>
      <c r="C16" s="69"/>
      <c r="D16" s="69"/>
      <c r="E16" s="70"/>
      <c r="F16" s="60"/>
      <c r="H16" s="228"/>
      <c r="I16" s="15"/>
      <c r="J16" s="15"/>
      <c r="K16" s="216"/>
      <c r="L16" s="60"/>
      <c r="M16" s="57" t="s">
        <v>338</v>
      </c>
      <c r="N16" s="69"/>
      <c r="O16" s="69"/>
      <c r="P16" s="70"/>
      <c r="Q16" s="60"/>
    </row>
    <row r="17" spans="2:17" ht="15" x14ac:dyDescent="0.2">
      <c r="B17" s="58" t="s">
        <v>339</v>
      </c>
      <c r="C17" s="113" t="s">
        <v>471</v>
      </c>
      <c r="D17" s="60"/>
      <c r="E17" s="66"/>
      <c r="F17" s="60"/>
      <c r="H17" s="228"/>
      <c r="I17" s="15"/>
      <c r="J17" s="15"/>
      <c r="K17" s="216"/>
      <c r="L17" s="60"/>
      <c r="M17" s="58" t="s">
        <v>339</v>
      </c>
      <c r="N17" s="113" t="s">
        <v>414</v>
      </c>
      <c r="O17" s="60"/>
      <c r="P17" s="66"/>
      <c r="Q17" s="60"/>
    </row>
    <row r="18" spans="2:17" ht="15" x14ac:dyDescent="0.2">
      <c r="B18" s="58" t="s">
        <v>340</v>
      </c>
      <c r="C18" s="138">
        <v>5</v>
      </c>
      <c r="D18" s="60" t="s">
        <v>248</v>
      </c>
      <c r="E18" s="66"/>
      <c r="F18" s="60"/>
      <c r="H18" s="228"/>
      <c r="I18" s="15"/>
      <c r="J18" s="15"/>
      <c r="K18" s="216"/>
      <c r="L18" s="60"/>
      <c r="M18" s="58" t="s">
        <v>340</v>
      </c>
      <c r="N18" s="138">
        <v>10.3</v>
      </c>
      <c r="O18" s="60" t="s">
        <v>248</v>
      </c>
      <c r="P18" s="66"/>
      <c r="Q18" s="60"/>
    </row>
    <row r="19" spans="2:17" ht="15" x14ac:dyDescent="0.2">
      <c r="B19" s="58" t="s">
        <v>341</v>
      </c>
      <c r="C19" s="138">
        <v>20</v>
      </c>
      <c r="D19" s="60" t="s">
        <v>26</v>
      </c>
      <c r="E19" s="66"/>
      <c r="F19" s="60"/>
      <c r="H19" s="228"/>
      <c r="I19" s="15"/>
      <c r="J19" s="15"/>
      <c r="K19" s="216"/>
      <c r="L19" s="60"/>
      <c r="M19" s="58" t="s">
        <v>341</v>
      </c>
      <c r="N19" s="138">
        <v>175</v>
      </c>
      <c r="O19" s="60" t="s">
        <v>26</v>
      </c>
      <c r="P19" s="66"/>
      <c r="Q19" s="60"/>
    </row>
    <row r="20" spans="2:17" ht="15" x14ac:dyDescent="0.2">
      <c r="B20" s="58" t="s">
        <v>20</v>
      </c>
      <c r="C20" s="138">
        <v>5</v>
      </c>
      <c r="D20" s="60" t="s">
        <v>28</v>
      </c>
      <c r="E20" s="66"/>
      <c r="F20" s="60"/>
      <c r="H20" s="228"/>
      <c r="I20" s="15"/>
      <c r="J20" s="15"/>
      <c r="K20" s="216"/>
      <c r="L20" s="60"/>
      <c r="M20" s="58" t="s">
        <v>20</v>
      </c>
      <c r="N20" s="138">
        <v>16.57</v>
      </c>
      <c r="O20" s="60" t="s">
        <v>28</v>
      </c>
      <c r="P20" s="66"/>
      <c r="Q20" s="60"/>
    </row>
    <row r="21" spans="2:17" ht="15" x14ac:dyDescent="0.2">
      <c r="B21" s="58" t="s">
        <v>342</v>
      </c>
      <c r="C21" s="138">
        <v>1000</v>
      </c>
      <c r="D21" s="60" t="s">
        <v>264</v>
      </c>
      <c r="E21" s="66"/>
      <c r="F21" s="60"/>
      <c r="H21" s="228"/>
      <c r="I21" s="15"/>
      <c r="J21" s="15"/>
      <c r="K21" s="216"/>
      <c r="L21" s="60"/>
      <c r="M21" s="58" t="s">
        <v>342</v>
      </c>
      <c r="N21" s="138">
        <v>3.13</v>
      </c>
      <c r="O21" s="60" t="s">
        <v>264</v>
      </c>
      <c r="P21" s="66"/>
      <c r="Q21" s="60"/>
    </row>
    <row r="22" spans="2:17" ht="15" x14ac:dyDescent="0.2">
      <c r="B22" s="58" t="s">
        <v>22</v>
      </c>
      <c r="C22" s="138">
        <v>1</v>
      </c>
      <c r="D22" s="60" t="s">
        <v>271</v>
      </c>
      <c r="E22" s="66"/>
      <c r="F22" s="60"/>
      <c r="H22" s="228"/>
      <c r="I22" s="15"/>
      <c r="J22" s="15"/>
      <c r="K22" s="216"/>
      <c r="L22" s="60"/>
      <c r="M22" s="58" t="s">
        <v>22</v>
      </c>
      <c r="N22" s="138">
        <v>0.01</v>
      </c>
      <c r="O22" s="60" t="s">
        <v>271</v>
      </c>
      <c r="P22" s="66"/>
      <c r="Q22" s="60"/>
    </row>
    <row r="23" spans="2:17" ht="15" x14ac:dyDescent="0.2">
      <c r="B23" s="58" t="s">
        <v>466</v>
      </c>
      <c r="C23" s="138">
        <v>100000</v>
      </c>
      <c r="D23" s="60"/>
      <c r="E23" s="66"/>
      <c r="F23" s="60"/>
      <c r="H23" s="228"/>
      <c r="I23" s="15"/>
      <c r="J23" s="15"/>
      <c r="K23" s="216"/>
      <c r="L23" s="60"/>
      <c r="M23" s="58"/>
      <c r="N23" s="138"/>
      <c r="O23" s="60"/>
      <c r="P23" s="66"/>
      <c r="Q23" s="60"/>
    </row>
    <row r="24" spans="2:17" ht="15" x14ac:dyDescent="0.2">
      <c r="B24" s="58" t="s">
        <v>467</v>
      </c>
      <c r="C24" s="138">
        <v>0.18851799999999999</v>
      </c>
      <c r="D24" s="60"/>
      <c r="E24" s="66"/>
      <c r="F24" s="60"/>
      <c r="H24" s="228"/>
      <c r="I24" s="15"/>
      <c r="J24" s="15"/>
      <c r="K24" s="216"/>
      <c r="L24" s="60"/>
      <c r="M24" s="58"/>
      <c r="N24" s="138"/>
      <c r="O24" s="60"/>
      <c r="P24" s="66"/>
      <c r="Q24" s="60"/>
    </row>
    <row r="25" spans="2:17" ht="8.25" customHeight="1" x14ac:dyDescent="0.2">
      <c r="B25" s="58"/>
      <c r="C25" s="138"/>
      <c r="D25" s="60"/>
      <c r="E25" s="66"/>
      <c r="F25" s="60"/>
      <c r="H25" s="228"/>
      <c r="I25" s="15"/>
      <c r="J25" s="15"/>
      <c r="K25" s="216"/>
      <c r="L25" s="60"/>
      <c r="M25" s="58"/>
      <c r="N25" s="138"/>
      <c r="O25" s="60"/>
      <c r="P25" s="66"/>
      <c r="Q25" s="60"/>
    </row>
    <row r="26" spans="2:17" ht="15.75" x14ac:dyDescent="0.2">
      <c r="B26" s="59" t="s">
        <v>23</v>
      </c>
      <c r="C26" s="138"/>
      <c r="D26" s="60"/>
      <c r="E26" s="66"/>
      <c r="F26" s="60"/>
      <c r="H26" s="228"/>
      <c r="I26" s="15"/>
      <c r="J26" s="15"/>
      <c r="K26" s="216"/>
      <c r="L26" s="60"/>
      <c r="M26" s="59" t="s">
        <v>23</v>
      </c>
      <c r="N26" s="138"/>
      <c r="O26" s="60"/>
      <c r="P26" s="66"/>
      <c r="Q26" s="60"/>
    </row>
    <row r="27" spans="2:17" ht="15" x14ac:dyDescent="0.2">
      <c r="B27" s="58" t="s">
        <v>103</v>
      </c>
      <c r="C27" s="208" t="s">
        <v>473</v>
      </c>
      <c r="D27" s="60"/>
      <c r="E27" s="66"/>
      <c r="F27" s="60"/>
      <c r="H27" s="228"/>
      <c r="I27" s="15"/>
      <c r="J27" s="15"/>
      <c r="K27" s="216"/>
      <c r="L27" s="60"/>
      <c r="M27" s="58" t="s">
        <v>103</v>
      </c>
      <c r="N27" s="208" t="s">
        <v>415</v>
      </c>
      <c r="O27" s="60"/>
      <c r="P27" s="66"/>
      <c r="Q27" s="60"/>
    </row>
    <row r="28" spans="2:17" ht="15" x14ac:dyDescent="0.2">
      <c r="B28" s="58" t="s">
        <v>343</v>
      </c>
      <c r="C28" s="138">
        <v>26</v>
      </c>
      <c r="D28" s="60" t="s">
        <v>291</v>
      </c>
      <c r="E28" s="66"/>
      <c r="F28" s="60"/>
      <c r="H28" s="228"/>
      <c r="I28" s="15"/>
      <c r="J28" s="15"/>
      <c r="K28" s="216"/>
      <c r="L28" s="60"/>
      <c r="M28" s="58" t="s">
        <v>343</v>
      </c>
      <c r="N28" s="138">
        <v>30</v>
      </c>
      <c r="O28" s="60" t="s">
        <v>291</v>
      </c>
      <c r="P28" s="66"/>
      <c r="Q28" s="60"/>
    </row>
    <row r="29" spans="2:17" ht="15" x14ac:dyDescent="0.2">
      <c r="B29" s="58" t="s">
        <v>33</v>
      </c>
      <c r="C29" s="138">
        <v>20</v>
      </c>
      <c r="D29" s="60" t="s">
        <v>291</v>
      </c>
      <c r="E29" s="66"/>
      <c r="F29" s="60"/>
      <c r="H29" s="228"/>
      <c r="I29" s="15"/>
      <c r="J29" s="15"/>
      <c r="K29" s="216"/>
      <c r="L29" s="60"/>
      <c r="M29" s="58" t="s">
        <v>33</v>
      </c>
      <c r="N29" s="138">
        <v>1.6</v>
      </c>
      <c r="O29" s="60" t="s">
        <v>290</v>
      </c>
      <c r="P29" s="66"/>
      <c r="Q29" s="60"/>
    </row>
    <row r="30" spans="2:17" ht="15" x14ac:dyDescent="0.2">
      <c r="B30" s="58" t="s">
        <v>344</v>
      </c>
      <c r="C30" s="138">
        <v>6</v>
      </c>
      <c r="D30" s="60" t="s">
        <v>291</v>
      </c>
      <c r="E30" s="66"/>
      <c r="F30" s="60"/>
      <c r="H30" s="228"/>
      <c r="I30" s="15"/>
      <c r="J30" s="15"/>
      <c r="K30" s="216"/>
      <c r="L30" s="60"/>
      <c r="M30" s="58" t="s">
        <v>344</v>
      </c>
      <c r="N30" s="138">
        <v>10</v>
      </c>
      <c r="O30" s="60" t="s">
        <v>291</v>
      </c>
      <c r="P30" s="66"/>
      <c r="Q30" s="60"/>
    </row>
    <row r="31" spans="2:17" ht="15" x14ac:dyDescent="0.2">
      <c r="B31" s="58" t="s">
        <v>34</v>
      </c>
      <c r="C31" s="138">
        <v>3</v>
      </c>
      <c r="D31" s="60" t="s">
        <v>291</v>
      </c>
      <c r="E31" s="71"/>
      <c r="F31" s="114"/>
      <c r="H31" s="228"/>
      <c r="I31" s="15"/>
      <c r="J31" s="15"/>
      <c r="K31" s="216"/>
      <c r="L31" s="114"/>
      <c r="M31" s="58" t="s">
        <v>34</v>
      </c>
      <c r="N31" s="138">
        <v>0.03</v>
      </c>
      <c r="O31" s="60" t="s">
        <v>31</v>
      </c>
      <c r="P31" s="71"/>
      <c r="Q31" s="114"/>
    </row>
    <row r="32" spans="2:17" ht="15" x14ac:dyDescent="0.2">
      <c r="B32" s="58" t="s">
        <v>36</v>
      </c>
      <c r="C32" s="138">
        <v>200</v>
      </c>
      <c r="D32" s="60" t="s">
        <v>291</v>
      </c>
      <c r="E32" s="71"/>
      <c r="F32" s="114"/>
      <c r="H32" s="228"/>
      <c r="I32" s="15"/>
      <c r="J32" s="15"/>
      <c r="K32" s="216"/>
      <c r="L32" s="114"/>
      <c r="M32" s="58" t="s">
        <v>36</v>
      </c>
      <c r="N32" s="138">
        <v>30.5</v>
      </c>
      <c r="O32" s="60" t="s">
        <v>290</v>
      </c>
      <c r="P32" s="71"/>
      <c r="Q32" s="114"/>
    </row>
    <row r="33" spans="2:17" ht="15" x14ac:dyDescent="0.2">
      <c r="B33" s="58" t="s">
        <v>458</v>
      </c>
      <c r="C33" s="138">
        <v>6</v>
      </c>
      <c r="D33" s="60" t="s">
        <v>291</v>
      </c>
      <c r="E33" s="66"/>
      <c r="F33" s="60"/>
      <c r="H33" s="228"/>
      <c r="I33" s="15"/>
      <c r="J33" s="15"/>
      <c r="K33" s="216"/>
      <c r="L33" s="60"/>
      <c r="M33" s="58" t="s">
        <v>347</v>
      </c>
      <c r="N33" s="138">
        <v>5.0000000000000001E-3</v>
      </c>
      <c r="O33" s="60" t="s">
        <v>291</v>
      </c>
      <c r="P33" s="66"/>
      <c r="Q33" s="60"/>
    </row>
    <row r="34" spans="2:17" ht="19.5" hidden="1" x14ac:dyDescent="0.2">
      <c r="B34" s="58" t="s">
        <v>345</v>
      </c>
      <c r="C34" s="139"/>
      <c r="D34" s="72" t="s">
        <v>291</v>
      </c>
      <c r="E34" s="73"/>
      <c r="F34" s="72"/>
      <c r="H34" s="228"/>
      <c r="I34" s="15"/>
      <c r="J34" s="15"/>
      <c r="K34" s="216"/>
      <c r="L34" s="72"/>
      <c r="M34" s="58" t="s">
        <v>345</v>
      </c>
      <c r="N34" s="139"/>
      <c r="O34" s="72" t="s">
        <v>291</v>
      </c>
      <c r="P34" s="73"/>
      <c r="Q34" s="72"/>
    </row>
    <row r="35" spans="2:17" ht="19.5" hidden="1" x14ac:dyDescent="0.2">
      <c r="B35" s="58" t="s">
        <v>346</v>
      </c>
      <c r="C35" s="139"/>
      <c r="D35" s="72" t="s">
        <v>291</v>
      </c>
      <c r="E35" s="73"/>
      <c r="F35" s="72"/>
      <c r="H35" s="228"/>
      <c r="I35" s="15"/>
      <c r="J35" s="15"/>
      <c r="K35" s="216"/>
      <c r="L35" s="72"/>
      <c r="M35" s="58" t="s">
        <v>346</v>
      </c>
      <c r="N35" s="139"/>
      <c r="O35" s="72" t="s">
        <v>291</v>
      </c>
      <c r="P35" s="73"/>
      <c r="Q35" s="72"/>
    </row>
    <row r="36" spans="2:17" ht="15" customHeight="1" x14ac:dyDescent="0.2">
      <c r="B36" s="58" t="s">
        <v>455</v>
      </c>
      <c r="C36" s="139">
        <v>35</v>
      </c>
      <c r="D36" s="72" t="s">
        <v>291</v>
      </c>
      <c r="E36" s="73"/>
      <c r="F36" s="72"/>
      <c r="H36" s="228"/>
      <c r="I36" s="15"/>
      <c r="J36" s="15"/>
      <c r="K36" s="216"/>
      <c r="L36" s="72"/>
      <c r="M36" s="58"/>
      <c r="N36" s="139"/>
      <c r="O36" s="72"/>
      <c r="P36" s="73"/>
      <c r="Q36" s="72"/>
    </row>
    <row r="37" spans="2:17" ht="15" customHeight="1" x14ac:dyDescent="0.2">
      <c r="B37" s="58" t="s">
        <v>430</v>
      </c>
      <c r="C37" s="139">
        <v>35</v>
      </c>
      <c r="D37" s="72" t="s">
        <v>291</v>
      </c>
      <c r="E37" s="73"/>
      <c r="F37" s="72"/>
      <c r="H37" s="228"/>
      <c r="I37" s="15"/>
      <c r="J37" s="15"/>
      <c r="K37" s="216"/>
      <c r="L37" s="72"/>
      <c r="M37" s="58"/>
      <c r="N37" s="139"/>
      <c r="O37" s="72"/>
      <c r="P37" s="73"/>
      <c r="Q37" s="72"/>
    </row>
    <row r="38" spans="2:17" ht="8.25" customHeight="1" x14ac:dyDescent="0.2">
      <c r="B38" s="58"/>
      <c r="C38" s="138"/>
      <c r="D38" s="60"/>
      <c r="E38" s="66"/>
      <c r="F38" s="60"/>
      <c r="H38" s="228"/>
      <c r="I38" s="15"/>
      <c r="J38" s="15"/>
      <c r="K38" s="216"/>
      <c r="L38" s="60"/>
      <c r="M38" s="58"/>
      <c r="N38" s="138"/>
      <c r="O38" s="60"/>
      <c r="P38" s="66"/>
      <c r="Q38" s="60"/>
    </row>
    <row r="39" spans="2:17" ht="15.75" x14ac:dyDescent="0.2">
      <c r="B39" s="59" t="s">
        <v>24</v>
      </c>
      <c r="C39" s="138"/>
      <c r="D39" s="60"/>
      <c r="E39" s="66"/>
      <c r="F39" s="60"/>
      <c r="H39" s="228"/>
      <c r="I39" s="15"/>
      <c r="J39" s="15"/>
      <c r="K39" s="216"/>
      <c r="L39" s="60"/>
      <c r="M39" s="59" t="s">
        <v>24</v>
      </c>
      <c r="N39" s="138"/>
      <c r="O39" s="60"/>
      <c r="P39" s="66"/>
      <c r="Q39" s="60"/>
    </row>
    <row r="40" spans="2:17" ht="15" x14ac:dyDescent="0.2">
      <c r="B40" s="58" t="s">
        <v>25</v>
      </c>
      <c r="C40" s="140" t="s">
        <v>141</v>
      </c>
      <c r="D40" s="15"/>
      <c r="E40" s="66"/>
      <c r="F40" s="60"/>
      <c r="H40" s="228"/>
      <c r="I40" s="15"/>
      <c r="J40" s="15"/>
      <c r="K40" s="216"/>
      <c r="L40" s="60"/>
      <c r="M40" s="58" t="s">
        <v>25</v>
      </c>
      <c r="N40" s="140" t="s">
        <v>114</v>
      </c>
      <c r="O40" s="15"/>
      <c r="P40" s="66"/>
      <c r="Q40" s="60"/>
    </row>
    <row r="41" spans="2:17" ht="15" x14ac:dyDescent="0.2">
      <c r="B41" s="58" t="s">
        <v>348</v>
      </c>
      <c r="C41" s="145">
        <v>7950</v>
      </c>
      <c r="D41" s="68" t="s">
        <v>264</v>
      </c>
      <c r="E41" s="66"/>
      <c r="F41" s="60"/>
      <c r="H41" s="228"/>
      <c r="I41" s="15"/>
      <c r="J41" s="15"/>
      <c r="K41" s="216"/>
      <c r="L41" s="60"/>
      <c r="M41" s="58" t="s">
        <v>348</v>
      </c>
      <c r="N41" s="145">
        <v>7950</v>
      </c>
      <c r="O41" s="68" t="s">
        <v>264</v>
      </c>
      <c r="P41" s="66"/>
      <c r="Q41" s="60"/>
    </row>
    <row r="42" spans="2:17" ht="15" x14ac:dyDescent="0.2">
      <c r="B42" s="58" t="s">
        <v>349</v>
      </c>
      <c r="C42" s="145">
        <v>195.17841137807059</v>
      </c>
      <c r="D42" s="60" t="s">
        <v>407</v>
      </c>
      <c r="E42" s="66"/>
      <c r="F42" s="60"/>
      <c r="H42" s="228"/>
      <c r="I42" s="15"/>
      <c r="J42" s="15"/>
      <c r="K42" s="216"/>
      <c r="L42" s="60"/>
      <c r="M42" s="58" t="s">
        <v>349</v>
      </c>
      <c r="N42" s="145">
        <v>184.53817859919999</v>
      </c>
      <c r="O42" s="60" t="s">
        <v>407</v>
      </c>
      <c r="P42" s="66"/>
      <c r="Q42" s="60"/>
    </row>
    <row r="43" spans="2:17" ht="19.5" x14ac:dyDescent="0.2">
      <c r="B43" s="58" t="s">
        <v>350</v>
      </c>
      <c r="C43" s="145">
        <v>195.17841137807059</v>
      </c>
      <c r="D43" s="60" t="s">
        <v>407</v>
      </c>
      <c r="E43" s="66"/>
      <c r="F43" s="60"/>
      <c r="H43" s="228"/>
      <c r="I43" s="15"/>
      <c r="J43" s="15"/>
      <c r="K43" s="216"/>
      <c r="L43" s="60"/>
      <c r="M43" s="58" t="s">
        <v>350</v>
      </c>
      <c r="N43" s="145">
        <v>195.17841137807059</v>
      </c>
      <c r="O43" s="60" t="s">
        <v>407</v>
      </c>
      <c r="P43" s="66"/>
      <c r="Q43" s="60"/>
    </row>
    <row r="44" spans="2:17" ht="15" x14ac:dyDescent="0.2">
      <c r="B44" s="61" t="s">
        <v>351</v>
      </c>
      <c r="C44" s="146">
        <v>137.89514560000001</v>
      </c>
      <c r="D44" s="74" t="s">
        <v>85</v>
      </c>
      <c r="E44" s="67"/>
      <c r="F44" s="60"/>
      <c r="H44" s="228"/>
      <c r="I44" s="15"/>
      <c r="J44" s="15"/>
      <c r="K44" s="216"/>
      <c r="L44" s="60"/>
      <c r="M44" s="61" t="s">
        <v>351</v>
      </c>
      <c r="N44" s="146">
        <v>84.322881534399983</v>
      </c>
      <c r="O44" s="74" t="s">
        <v>85</v>
      </c>
      <c r="P44" s="67"/>
      <c r="Q44" s="60"/>
    </row>
    <row r="45" spans="2:17" ht="8.25" customHeight="1" x14ac:dyDescent="0.2">
      <c r="B45" s="60"/>
      <c r="C45" s="138"/>
      <c r="D45" s="60"/>
      <c r="E45" s="60"/>
      <c r="F45" s="60"/>
      <c r="H45" s="228"/>
      <c r="I45" s="15"/>
      <c r="J45" s="15"/>
      <c r="K45" s="216"/>
      <c r="L45" s="60"/>
      <c r="M45" s="60"/>
      <c r="N45" s="138"/>
      <c r="O45" s="60"/>
      <c r="P45" s="60"/>
      <c r="Q45" s="60"/>
    </row>
    <row r="46" spans="2:17" ht="15.75" x14ac:dyDescent="0.2">
      <c r="B46" s="116" t="s">
        <v>352</v>
      </c>
      <c r="C46" s="138"/>
      <c r="D46" s="60"/>
      <c r="E46" s="60"/>
      <c r="F46" s="60"/>
      <c r="H46" s="228"/>
      <c r="I46" s="15"/>
      <c r="J46" s="15"/>
      <c r="K46" s="216"/>
      <c r="L46" s="60"/>
      <c r="M46" s="116" t="s">
        <v>352</v>
      </c>
      <c r="N46" s="138"/>
      <c r="O46" s="60"/>
      <c r="P46" s="60"/>
      <c r="Q46" s="60"/>
    </row>
    <row r="47" spans="2:17" ht="6" customHeight="1" x14ac:dyDescent="0.2">
      <c r="B47" s="60"/>
      <c r="C47" s="138"/>
      <c r="D47" s="60"/>
      <c r="E47" s="60"/>
      <c r="F47" s="60"/>
      <c r="H47" s="228"/>
      <c r="I47" s="15"/>
      <c r="J47" s="15"/>
      <c r="K47" s="216"/>
      <c r="L47" s="60"/>
      <c r="M47" s="60"/>
      <c r="N47" s="138"/>
      <c r="O47" s="60"/>
      <c r="P47" s="60"/>
      <c r="Q47" s="60"/>
    </row>
    <row r="48" spans="2:17" ht="19.5" x14ac:dyDescent="0.2">
      <c r="B48" s="62" t="s">
        <v>362</v>
      </c>
      <c r="C48" s="199">
        <v>510.25870332478627</v>
      </c>
      <c r="D48" s="69" t="s">
        <v>46</v>
      </c>
      <c r="E48" s="75"/>
      <c r="F48" s="114"/>
      <c r="H48" s="228"/>
      <c r="I48" s="15"/>
      <c r="J48" s="15"/>
      <c r="K48" s="216"/>
      <c r="L48" s="114"/>
      <c r="M48" s="62" t="s">
        <v>362</v>
      </c>
      <c r="N48" s="199">
        <v>286.15117163538753</v>
      </c>
      <c r="O48" s="69" t="s">
        <v>46</v>
      </c>
      <c r="P48" s="75"/>
      <c r="Q48" s="114"/>
    </row>
    <row r="49" spans="2:17" ht="19.5" x14ac:dyDescent="0.2">
      <c r="B49" s="58" t="s">
        <v>399</v>
      </c>
      <c r="C49" s="145">
        <v>47.129410026892877</v>
      </c>
      <c r="D49" s="60" t="s">
        <v>46</v>
      </c>
      <c r="E49" s="71"/>
      <c r="F49" s="114"/>
      <c r="H49" s="228"/>
      <c r="I49" s="15"/>
      <c r="J49" s="15"/>
      <c r="K49" s="216"/>
      <c r="L49" s="114"/>
      <c r="M49" s="58" t="s">
        <v>399</v>
      </c>
      <c r="N49" s="145">
        <v>194.76803468675416</v>
      </c>
      <c r="O49" s="60" t="s">
        <v>46</v>
      </c>
      <c r="P49" s="71"/>
      <c r="Q49" s="114"/>
    </row>
    <row r="50" spans="2:17" ht="19.5" customHeight="1" x14ac:dyDescent="0.2">
      <c r="B50" s="58" t="s">
        <v>355</v>
      </c>
      <c r="C50" s="182">
        <v>9.2363755326078975E-2</v>
      </c>
      <c r="D50" s="60"/>
      <c r="E50" s="71"/>
      <c r="F50" s="114"/>
      <c r="H50" s="228"/>
      <c r="I50" s="15"/>
      <c r="J50" s="15"/>
      <c r="K50" s="216"/>
      <c r="L50" s="114"/>
      <c r="M50" s="58" t="s">
        <v>355</v>
      </c>
      <c r="N50" s="182">
        <v>0.68064734305867769</v>
      </c>
      <c r="O50" s="60"/>
      <c r="P50" s="71"/>
      <c r="Q50" s="114"/>
    </row>
    <row r="51" spans="2:17" ht="19.5" x14ac:dyDescent="0.2">
      <c r="B51" s="58" t="s">
        <v>357</v>
      </c>
      <c r="C51" s="141">
        <v>0.4</v>
      </c>
      <c r="D51" s="60"/>
      <c r="E51" s="71"/>
      <c r="F51" s="114"/>
      <c r="H51" s="228"/>
      <c r="I51" s="15"/>
      <c r="J51" s="15"/>
      <c r="K51" s="216"/>
      <c r="L51" s="114"/>
      <c r="M51" s="58" t="s">
        <v>357</v>
      </c>
      <c r="N51" s="141">
        <v>0.8</v>
      </c>
      <c r="O51" s="60"/>
      <c r="P51" s="71"/>
      <c r="Q51" s="114"/>
    </row>
    <row r="52" spans="2:17" ht="19.5" x14ac:dyDescent="0.2">
      <c r="B52" s="58" t="s">
        <v>353</v>
      </c>
      <c r="C52" s="200">
        <v>7.1301037172924886</v>
      </c>
      <c r="D52" s="60" t="s">
        <v>85</v>
      </c>
      <c r="E52" s="66"/>
      <c r="F52" s="60"/>
      <c r="H52" s="228"/>
      <c r="I52" s="15"/>
      <c r="J52" s="15"/>
      <c r="K52" s="216"/>
      <c r="L52" s="60"/>
      <c r="M52" s="58" t="s">
        <v>353</v>
      </c>
      <c r="N52" s="200">
        <v>0.64798382644235508</v>
      </c>
      <c r="O52" s="60" t="s">
        <v>85</v>
      </c>
      <c r="P52" s="66"/>
      <c r="Q52" s="60"/>
    </row>
    <row r="53" spans="2:17" ht="19.5" x14ac:dyDescent="0.2">
      <c r="B53" s="58" t="s">
        <v>354</v>
      </c>
      <c r="C53" s="200">
        <v>4.4753802435703713</v>
      </c>
      <c r="D53" s="60" t="s">
        <v>85</v>
      </c>
      <c r="E53" s="66"/>
      <c r="F53" s="60"/>
      <c r="H53" s="228"/>
      <c r="I53" s="15"/>
      <c r="J53" s="15"/>
      <c r="K53" s="216"/>
      <c r="L53" s="60"/>
      <c r="M53" s="58" t="s">
        <v>354</v>
      </c>
      <c r="N53" s="200">
        <v>0.31387612490017114</v>
      </c>
      <c r="O53" s="60" t="s">
        <v>85</v>
      </c>
      <c r="P53" s="66"/>
      <c r="Q53" s="60"/>
    </row>
    <row r="54" spans="2:17" ht="19.5" x14ac:dyDescent="0.2">
      <c r="B54" s="58" t="s">
        <v>356</v>
      </c>
      <c r="C54" s="145">
        <v>614.45938984214399</v>
      </c>
      <c r="D54" s="60" t="s">
        <v>248</v>
      </c>
      <c r="E54" s="66"/>
      <c r="F54" s="60"/>
      <c r="H54" s="228"/>
      <c r="I54" s="15"/>
      <c r="J54" s="15"/>
      <c r="K54" s="216"/>
      <c r="L54" s="60"/>
      <c r="M54" s="58" t="s">
        <v>356</v>
      </c>
      <c r="N54" s="145">
        <v>179.76647549276052</v>
      </c>
      <c r="O54" s="60" t="s">
        <v>248</v>
      </c>
      <c r="P54" s="66"/>
      <c r="Q54" s="60"/>
    </row>
    <row r="55" spans="2:17" ht="8.25" customHeight="1" x14ac:dyDescent="0.2">
      <c r="B55" s="58"/>
      <c r="C55" s="63"/>
      <c r="D55" s="63"/>
      <c r="E55" s="66"/>
      <c r="F55" s="60"/>
      <c r="H55" s="228"/>
      <c r="I55" s="15"/>
      <c r="J55" s="15"/>
      <c r="K55" s="216"/>
      <c r="L55" s="60"/>
      <c r="M55" s="58"/>
      <c r="N55" s="63"/>
      <c r="O55" s="63"/>
      <c r="P55" s="66"/>
      <c r="Q55" s="60"/>
    </row>
    <row r="56" spans="2:17" ht="23.25" x14ac:dyDescent="0.2">
      <c r="B56" s="117" t="s">
        <v>358</v>
      </c>
      <c r="C56" s="198" t="s">
        <v>416</v>
      </c>
      <c r="D56" s="63"/>
      <c r="E56" s="64"/>
      <c r="F56" s="63"/>
      <c r="H56" s="228"/>
      <c r="I56" s="15"/>
      <c r="J56" s="15"/>
      <c r="K56" s="216"/>
      <c r="L56" s="63"/>
      <c r="M56" s="117" t="s">
        <v>358</v>
      </c>
      <c r="N56" s="198" t="s">
        <v>416</v>
      </c>
      <c r="O56" s="63"/>
      <c r="P56" s="64"/>
      <c r="Q56" s="63"/>
    </row>
    <row r="57" spans="2:17" ht="8.25" customHeight="1" x14ac:dyDescent="0.2">
      <c r="B57" s="61"/>
      <c r="C57" s="118"/>
      <c r="D57" s="118"/>
      <c r="E57" s="119"/>
      <c r="F57" s="15"/>
      <c r="H57" s="228"/>
      <c r="I57" s="15"/>
      <c r="J57" s="15"/>
      <c r="K57" s="216"/>
      <c r="L57" s="15"/>
      <c r="M57" s="61"/>
      <c r="N57" s="118"/>
      <c r="O57" s="118"/>
      <c r="P57" s="119"/>
      <c r="Q57" s="15"/>
    </row>
    <row r="58" spans="2:17" ht="8.25" customHeight="1" x14ac:dyDescent="0.2">
      <c r="B58" s="60"/>
      <c r="C58" s="15"/>
      <c r="D58" s="15"/>
      <c r="E58" s="15"/>
      <c r="F58" s="15"/>
      <c r="H58" s="228"/>
      <c r="I58" s="15"/>
      <c r="J58" s="15"/>
      <c r="K58" s="216"/>
      <c r="L58" s="15"/>
      <c r="M58" s="60"/>
      <c r="N58" s="15"/>
      <c r="O58" s="15"/>
      <c r="P58" s="15"/>
      <c r="Q58" s="15"/>
    </row>
    <row r="59" spans="2:17" ht="15" x14ac:dyDescent="0.2">
      <c r="B59" s="60" t="s">
        <v>359</v>
      </c>
      <c r="C59" s="15"/>
      <c r="D59" s="15"/>
      <c r="E59" s="15"/>
      <c r="F59" s="15"/>
      <c r="H59" s="214"/>
      <c r="I59" s="15"/>
      <c r="J59" s="15"/>
      <c r="K59" s="216"/>
      <c r="L59" s="15"/>
      <c r="M59" s="60" t="s">
        <v>359</v>
      </c>
      <c r="N59" s="15"/>
      <c r="O59" s="15"/>
      <c r="P59" s="15"/>
      <c r="Q59" s="15"/>
    </row>
    <row r="60" spans="2:17" ht="8.25" customHeight="1" x14ac:dyDescent="0.2">
      <c r="B60" s="60"/>
      <c r="C60" s="15"/>
      <c r="D60" s="15"/>
      <c r="E60" s="15"/>
      <c r="F60" s="15"/>
      <c r="H60" s="228"/>
      <c r="I60" s="15"/>
      <c r="J60" s="15"/>
      <c r="K60" s="216"/>
      <c r="L60" s="15"/>
      <c r="M60" s="60"/>
      <c r="N60" s="15"/>
      <c r="O60" s="15"/>
      <c r="P60" s="15"/>
      <c r="Q60" s="15"/>
    </row>
    <row r="61" spans="2:17" ht="15" x14ac:dyDescent="0.2">
      <c r="B61" s="150" t="s">
        <v>417</v>
      </c>
      <c r="C61" s="151"/>
      <c r="D61" s="151"/>
      <c r="E61" s="152"/>
      <c r="F61" s="231"/>
      <c r="H61" s="228"/>
      <c r="I61" s="15"/>
      <c r="J61" s="15"/>
      <c r="K61" s="216"/>
      <c r="L61" s="231"/>
      <c r="M61" s="150" t="s">
        <v>417</v>
      </c>
      <c r="N61" s="151"/>
      <c r="O61" s="151"/>
      <c r="P61" s="152"/>
      <c r="Q61" s="231"/>
    </row>
    <row r="62" spans="2:17" ht="12.75" customHeight="1" x14ac:dyDescent="0.2">
      <c r="B62" s="153"/>
      <c r="C62" s="149"/>
      <c r="D62" s="149"/>
      <c r="E62" s="154"/>
      <c r="F62" s="231"/>
      <c r="H62" s="228" t="s">
        <v>435</v>
      </c>
      <c r="I62" s="15"/>
      <c r="J62" s="15"/>
      <c r="K62" s="216"/>
      <c r="L62" s="231"/>
      <c r="M62" s="153"/>
      <c r="N62" s="149"/>
      <c r="O62" s="149"/>
      <c r="P62" s="154"/>
      <c r="Q62" s="231"/>
    </row>
    <row r="63" spans="2:17" s="201" customFormat="1" ht="47.25" customHeight="1" x14ac:dyDescent="0.2">
      <c r="B63" s="202" t="s">
        <v>408</v>
      </c>
      <c r="C63" s="202"/>
      <c r="D63" s="202"/>
      <c r="E63" s="202"/>
      <c r="F63" s="232"/>
      <c r="H63" s="229"/>
      <c r="I63" s="118"/>
      <c r="J63" s="118"/>
      <c r="K63" s="119"/>
      <c r="L63" s="232"/>
      <c r="M63" s="202" t="s">
        <v>408</v>
      </c>
      <c r="N63" s="202"/>
      <c r="O63" s="202"/>
      <c r="P63" s="202"/>
      <c r="Q63" s="232"/>
    </row>
    <row r="64" spans="2:17" x14ac:dyDescent="0.2"/>
    <row r="65" x14ac:dyDescent="0.2"/>
    <row r="66" x14ac:dyDescent="0.2"/>
  </sheetData>
  <sheetProtection selectLockedCells="1"/>
  <mergeCells count="10">
    <mergeCell ref="I2:K2"/>
    <mergeCell ref="C3:E3"/>
    <mergeCell ref="C5:D5"/>
    <mergeCell ref="C6:D6"/>
    <mergeCell ref="C7:D7"/>
    <mergeCell ref="N3:P3"/>
    <mergeCell ref="N5:O5"/>
    <mergeCell ref="N6:O6"/>
    <mergeCell ref="N7:O7"/>
    <mergeCell ref="I3:K3"/>
  </mergeCells>
  <phoneticPr fontId="31" type="noConversion"/>
  <conditionalFormatting sqref="C56">
    <cfRule type="cellIs" dxfId="1" priority="3" stopIfTrue="1" operator="equal">
      <formula>"FAIL"</formula>
    </cfRule>
  </conditionalFormatting>
  <conditionalFormatting sqref="N56">
    <cfRule type="cellIs" dxfId="0" priority="2" stopIfTrue="1" operator="equal">
      <formula>"FAIL"</formula>
    </cfRule>
  </conditionalFormatting>
  <printOptions horizontalCentered="1"/>
  <pageMargins left="0.70866141732283472" right="0.70866141732283472" top="0.74803149606299213" bottom="0.74803149606299213" header="0.31496062992125984" footer="0.31496062992125984"/>
  <pageSetup paperSize="9" scale="74" orientation="portrait" horizontalDpi="300" verticalDpi="300" r:id="rId1"/>
  <headerFooter>
    <oddHeader>&amp;RPage &amp;P</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N22"/>
  <sheetViews>
    <sheetView zoomScale="93" zoomScaleNormal="93" workbookViewId="0">
      <selection activeCell="C8" sqref="C8"/>
    </sheetView>
  </sheetViews>
  <sheetFormatPr defaultColWidth="9.140625" defaultRowHeight="12.75" x14ac:dyDescent="0.2"/>
  <cols>
    <col min="2" max="2" width="31.42578125" bestFit="1" customWidth="1"/>
    <col min="3" max="3" width="12.5703125" customWidth="1"/>
  </cols>
  <sheetData>
    <row r="1" spans="1:14" x14ac:dyDescent="0.2">
      <c r="A1" s="226" t="s">
        <v>103</v>
      </c>
      <c r="B1" s="227" t="s">
        <v>103</v>
      </c>
      <c r="C1" s="220" t="s">
        <v>427</v>
      </c>
      <c r="D1" s="220" t="s">
        <v>202</v>
      </c>
      <c r="E1" s="221" t="s">
        <v>203</v>
      </c>
      <c r="F1" s="221" t="s">
        <v>421</v>
      </c>
      <c r="G1" s="221" t="s">
        <v>431</v>
      </c>
      <c r="H1" s="221" t="s">
        <v>422</v>
      </c>
      <c r="I1" s="221" t="s">
        <v>423</v>
      </c>
      <c r="J1" s="221" t="s">
        <v>424</v>
      </c>
      <c r="K1" s="221" t="s">
        <v>425</v>
      </c>
      <c r="L1" s="221" t="s">
        <v>426</v>
      </c>
      <c r="M1" s="221" t="s">
        <v>429</v>
      </c>
      <c r="N1" s="222" t="s">
        <v>430</v>
      </c>
    </row>
    <row r="2" spans="1:14" x14ac:dyDescent="0.2">
      <c r="A2" s="211" t="s">
        <v>4</v>
      </c>
      <c r="B2" s="212" t="s">
        <v>419</v>
      </c>
      <c r="C2" s="223" t="s">
        <v>428</v>
      </c>
      <c r="D2" s="211" t="b">
        <v>1</v>
      </c>
      <c r="E2" s="212" t="b">
        <v>1</v>
      </c>
      <c r="F2" s="212" t="b">
        <v>1</v>
      </c>
      <c r="G2" s="212" t="b">
        <v>1</v>
      </c>
      <c r="H2" s="212" t="b">
        <v>1</v>
      </c>
      <c r="I2" s="212" t="b">
        <v>1</v>
      </c>
      <c r="J2" s="212" t="b">
        <v>1</v>
      </c>
      <c r="K2" s="212" t="b">
        <v>1</v>
      </c>
      <c r="L2" s="212" t="b">
        <v>1</v>
      </c>
      <c r="M2" s="212"/>
      <c r="N2" s="213" t="b">
        <v>1</v>
      </c>
    </row>
    <row r="3" spans="1:14" x14ac:dyDescent="0.2">
      <c r="A3" s="214" t="s">
        <v>4</v>
      </c>
      <c r="B3" s="215" t="s">
        <v>418</v>
      </c>
      <c r="C3" s="224" t="s">
        <v>436</v>
      </c>
      <c r="D3" s="228" t="b">
        <v>1</v>
      </c>
      <c r="E3" s="15" t="b">
        <v>1</v>
      </c>
      <c r="F3" s="15" t="b">
        <v>1</v>
      </c>
      <c r="G3" s="14" t="b">
        <v>1</v>
      </c>
      <c r="H3" s="14" t="b">
        <v>1</v>
      </c>
      <c r="I3" s="15" t="b">
        <v>1</v>
      </c>
      <c r="J3" s="15" t="b">
        <v>1</v>
      </c>
      <c r="K3" s="15" t="b">
        <v>1</v>
      </c>
      <c r="L3" s="15" t="b">
        <v>1</v>
      </c>
      <c r="M3" s="15"/>
      <c r="N3" s="216" t="b">
        <v>1</v>
      </c>
    </row>
    <row r="4" spans="1:14" x14ac:dyDescent="0.2">
      <c r="A4" s="214" t="s">
        <v>4</v>
      </c>
      <c r="B4" s="215" t="s">
        <v>420</v>
      </c>
      <c r="C4" s="224" t="s">
        <v>437</v>
      </c>
      <c r="D4" s="228" t="b">
        <v>1</v>
      </c>
      <c r="E4" s="15" t="b">
        <v>1</v>
      </c>
      <c r="F4" s="15" t="b">
        <v>1</v>
      </c>
      <c r="G4" s="15" t="b">
        <v>1</v>
      </c>
      <c r="H4" s="14" t="b">
        <v>1</v>
      </c>
      <c r="I4" s="15" t="b">
        <v>1</v>
      </c>
      <c r="J4" s="15" t="b">
        <v>1</v>
      </c>
      <c r="K4" s="15" t="b">
        <v>1</v>
      </c>
      <c r="L4" s="15" t="b">
        <v>1</v>
      </c>
      <c r="M4" s="15"/>
      <c r="N4" s="216" t="b">
        <v>1</v>
      </c>
    </row>
    <row r="5" spans="1:14" x14ac:dyDescent="0.2">
      <c r="A5" s="214" t="s">
        <v>4</v>
      </c>
      <c r="B5" s="15" t="s">
        <v>105</v>
      </c>
      <c r="C5" s="224" t="s">
        <v>438</v>
      </c>
      <c r="D5" s="228" t="b">
        <v>1</v>
      </c>
      <c r="E5" s="14" t="b">
        <v>1</v>
      </c>
      <c r="F5" s="14" t="b">
        <v>1</v>
      </c>
      <c r="G5" s="14" t="b">
        <v>1</v>
      </c>
      <c r="H5" s="14" t="b">
        <v>1</v>
      </c>
      <c r="I5" s="14" t="b">
        <v>1</v>
      </c>
      <c r="J5" s="14" t="b">
        <v>1</v>
      </c>
      <c r="K5" s="14" t="b">
        <v>1</v>
      </c>
      <c r="L5" s="14" t="b">
        <v>1</v>
      </c>
      <c r="M5" s="15"/>
      <c r="N5" s="216" t="b">
        <v>1</v>
      </c>
    </row>
    <row r="6" spans="1:14" x14ac:dyDescent="0.2">
      <c r="A6" s="214" t="s">
        <v>4</v>
      </c>
      <c r="B6" s="15" t="s">
        <v>104</v>
      </c>
      <c r="C6" s="224" t="s">
        <v>449</v>
      </c>
      <c r="D6" s="228" t="b">
        <v>1</v>
      </c>
      <c r="E6" s="14" t="b">
        <v>1</v>
      </c>
      <c r="F6" s="14" t="b">
        <v>1</v>
      </c>
      <c r="G6" s="14" t="b">
        <v>1</v>
      </c>
      <c r="H6" s="14" t="b">
        <v>1</v>
      </c>
      <c r="I6" s="14" t="b">
        <v>1</v>
      </c>
      <c r="J6" s="14" t="b">
        <v>1</v>
      </c>
      <c r="K6" s="14" t="b">
        <v>1</v>
      </c>
      <c r="L6" s="14" t="b">
        <v>1</v>
      </c>
      <c r="M6" s="15"/>
      <c r="N6" s="216"/>
    </row>
    <row r="7" spans="1:14" x14ac:dyDescent="0.2">
      <c r="A7" s="214" t="s">
        <v>4</v>
      </c>
      <c r="B7" s="15" t="s">
        <v>106</v>
      </c>
      <c r="C7" s="224" t="s">
        <v>450</v>
      </c>
      <c r="D7" s="228" t="b">
        <v>1</v>
      </c>
      <c r="E7" s="14" t="b">
        <v>1</v>
      </c>
      <c r="F7" s="14" t="b">
        <v>1</v>
      </c>
      <c r="G7" s="14" t="b">
        <v>1</v>
      </c>
      <c r="H7" s="14" t="b">
        <v>1</v>
      </c>
      <c r="I7" s="14" t="b">
        <v>1</v>
      </c>
      <c r="J7" s="14" t="b">
        <v>1</v>
      </c>
      <c r="K7" s="14" t="b">
        <v>1</v>
      </c>
      <c r="L7" s="14" t="b">
        <v>1</v>
      </c>
      <c r="M7" s="15"/>
      <c r="N7" s="216" t="b">
        <v>1</v>
      </c>
    </row>
    <row r="8" spans="1:14" x14ac:dyDescent="0.2">
      <c r="A8" s="217" t="s">
        <v>4</v>
      </c>
      <c r="B8" s="118" t="s">
        <v>107</v>
      </c>
      <c r="C8" s="225" t="s">
        <v>451</v>
      </c>
      <c r="D8" s="229" t="b">
        <v>1</v>
      </c>
      <c r="E8" s="118" t="b">
        <v>1</v>
      </c>
      <c r="F8" s="118" t="b">
        <v>1</v>
      </c>
      <c r="G8" s="14" t="b">
        <v>1</v>
      </c>
      <c r="H8" s="118" t="b">
        <v>1</v>
      </c>
      <c r="I8" s="118" t="b">
        <v>1</v>
      </c>
      <c r="J8" s="118" t="b">
        <v>1</v>
      </c>
      <c r="K8" s="14" t="b">
        <v>1</v>
      </c>
      <c r="L8" s="118" t="b">
        <v>1</v>
      </c>
      <c r="M8" s="118"/>
      <c r="N8" s="119" t="b">
        <v>1</v>
      </c>
    </row>
    <row r="9" spans="1:14" x14ac:dyDescent="0.2">
      <c r="A9" s="211" t="s">
        <v>99</v>
      </c>
      <c r="B9" s="212" t="s">
        <v>419</v>
      </c>
      <c r="C9" s="223" t="s">
        <v>432</v>
      </c>
      <c r="D9" s="230" t="b">
        <v>1</v>
      </c>
      <c r="E9" s="218"/>
      <c r="F9" s="218" t="b">
        <v>1</v>
      </c>
      <c r="G9" s="218"/>
      <c r="H9" s="218" t="b">
        <v>1</v>
      </c>
      <c r="I9" s="218" t="b">
        <v>1</v>
      </c>
      <c r="J9" s="218" t="b">
        <v>1</v>
      </c>
      <c r="K9" s="218"/>
      <c r="L9" s="218" t="b">
        <v>1</v>
      </c>
      <c r="M9" s="218"/>
      <c r="N9" s="219" t="b">
        <v>1</v>
      </c>
    </row>
    <row r="10" spans="1:14" x14ac:dyDescent="0.2">
      <c r="A10" s="214" t="s">
        <v>99</v>
      </c>
      <c r="B10" s="215" t="s">
        <v>418</v>
      </c>
      <c r="C10" s="224" t="s">
        <v>440</v>
      </c>
      <c r="D10" s="228" t="b">
        <v>1</v>
      </c>
      <c r="E10" s="15"/>
      <c r="F10" s="14" t="b">
        <v>1</v>
      </c>
      <c r="G10" s="15"/>
      <c r="H10" s="15" t="b">
        <v>1</v>
      </c>
      <c r="I10" s="15" t="b">
        <v>1</v>
      </c>
      <c r="J10" s="15" t="b">
        <v>1</v>
      </c>
      <c r="K10" s="15"/>
      <c r="L10" s="14" t="b">
        <v>1</v>
      </c>
      <c r="M10" s="14"/>
      <c r="N10" s="216" t="b">
        <v>1</v>
      </c>
    </row>
    <row r="11" spans="1:14" x14ac:dyDescent="0.2">
      <c r="A11" s="214" t="s">
        <v>99</v>
      </c>
      <c r="B11" s="215" t="s">
        <v>420</v>
      </c>
      <c r="C11" s="224" t="s">
        <v>441</v>
      </c>
      <c r="D11" s="228" t="b">
        <v>1</v>
      </c>
      <c r="E11" s="15"/>
      <c r="F11" s="15" t="b">
        <v>1</v>
      </c>
      <c r="G11" s="15"/>
      <c r="H11" s="15" t="b">
        <v>1</v>
      </c>
      <c r="I11" s="15" t="b">
        <v>1</v>
      </c>
      <c r="J11" s="15" t="b">
        <v>1</v>
      </c>
      <c r="K11" s="15"/>
      <c r="L11" s="15" t="b">
        <v>1</v>
      </c>
      <c r="M11" s="15"/>
      <c r="N11" s="240" t="b">
        <v>1</v>
      </c>
    </row>
    <row r="12" spans="1:14" x14ac:dyDescent="0.2">
      <c r="A12" s="214" t="s">
        <v>99</v>
      </c>
      <c r="B12" s="15" t="s">
        <v>105</v>
      </c>
      <c r="C12" s="224" t="s">
        <v>442</v>
      </c>
      <c r="D12" s="228" t="b">
        <v>1</v>
      </c>
      <c r="E12" s="15"/>
      <c r="F12" s="14" t="b">
        <v>1</v>
      </c>
      <c r="H12" s="14" t="b">
        <v>1</v>
      </c>
      <c r="I12" s="14" t="b">
        <v>1</v>
      </c>
      <c r="J12" s="14" t="b">
        <v>1</v>
      </c>
      <c r="L12" s="14" t="b">
        <v>1</v>
      </c>
      <c r="M12" s="15"/>
      <c r="N12" s="216" t="b">
        <v>1</v>
      </c>
    </row>
    <row r="13" spans="1:14" x14ac:dyDescent="0.2">
      <c r="A13" s="214" t="s">
        <v>99</v>
      </c>
      <c r="B13" s="15" t="s">
        <v>104</v>
      </c>
      <c r="C13" s="224" t="s">
        <v>439</v>
      </c>
      <c r="D13" s="228" t="b">
        <v>1</v>
      </c>
      <c r="E13" s="15"/>
      <c r="F13" s="15" t="b">
        <v>1</v>
      </c>
      <c r="G13" s="15"/>
      <c r="H13" s="14" t="b">
        <v>1</v>
      </c>
      <c r="I13" s="14" t="b">
        <v>1</v>
      </c>
      <c r="J13" s="14" t="b">
        <v>1</v>
      </c>
      <c r="K13" s="15"/>
      <c r="L13" s="14" t="b">
        <v>1</v>
      </c>
      <c r="M13" s="15"/>
      <c r="N13" s="216"/>
    </row>
    <row r="14" spans="1:14" x14ac:dyDescent="0.2">
      <c r="A14" s="214" t="s">
        <v>99</v>
      </c>
      <c r="B14" s="15" t="s">
        <v>106</v>
      </c>
      <c r="C14" s="224" t="s">
        <v>452</v>
      </c>
      <c r="D14" s="228" t="b">
        <v>1</v>
      </c>
      <c r="E14" s="15"/>
      <c r="F14" s="14" t="b">
        <v>1</v>
      </c>
      <c r="G14" s="15"/>
      <c r="H14" s="14" t="b">
        <v>1</v>
      </c>
      <c r="I14" s="14" t="b">
        <v>1</v>
      </c>
      <c r="J14" s="15" t="b">
        <v>1</v>
      </c>
      <c r="K14" s="15"/>
      <c r="L14" s="14" t="b">
        <v>1</v>
      </c>
      <c r="M14" s="15"/>
      <c r="N14" s="216" t="b">
        <v>1</v>
      </c>
    </row>
    <row r="15" spans="1:14" x14ac:dyDescent="0.2">
      <c r="A15" s="217" t="s">
        <v>99</v>
      </c>
      <c r="B15" s="118" t="s">
        <v>107</v>
      </c>
      <c r="C15" s="225" t="s">
        <v>453</v>
      </c>
      <c r="D15" s="229" t="b">
        <v>1</v>
      </c>
      <c r="E15" s="118"/>
      <c r="F15" s="118" t="b">
        <v>1</v>
      </c>
      <c r="G15" s="15"/>
      <c r="H15" s="118" t="b">
        <v>1</v>
      </c>
      <c r="I15" s="118" t="b">
        <v>1</v>
      </c>
      <c r="J15" s="118" t="b">
        <v>1</v>
      </c>
      <c r="K15" s="15"/>
      <c r="L15" s="118" t="b">
        <v>1</v>
      </c>
      <c r="M15" s="118"/>
      <c r="N15" s="119" t="b">
        <v>1</v>
      </c>
    </row>
    <row r="16" spans="1:14" x14ac:dyDescent="0.2">
      <c r="A16" s="211" t="s">
        <v>100</v>
      </c>
      <c r="B16" s="212" t="s">
        <v>419</v>
      </c>
      <c r="C16" s="223" t="s">
        <v>433</v>
      </c>
      <c r="D16" s="211" t="b">
        <v>1</v>
      </c>
      <c r="E16" s="212" t="b">
        <v>1</v>
      </c>
      <c r="F16" s="212" t="b">
        <v>1</v>
      </c>
      <c r="G16" s="218"/>
      <c r="H16" s="212" t="b">
        <v>1</v>
      </c>
      <c r="I16" s="212" t="b">
        <v>1</v>
      </c>
      <c r="J16" s="212" t="b">
        <v>1</v>
      </c>
      <c r="K16" s="218"/>
      <c r="L16" s="212" t="b">
        <v>1</v>
      </c>
      <c r="M16" s="212"/>
      <c r="N16" s="213" t="b">
        <v>1</v>
      </c>
    </row>
    <row r="17" spans="1:14" x14ac:dyDescent="0.2">
      <c r="A17" s="214" t="s">
        <v>100</v>
      </c>
      <c r="B17" s="215" t="s">
        <v>418</v>
      </c>
      <c r="C17" s="224" t="s">
        <v>443</v>
      </c>
      <c r="D17" s="228" t="b">
        <v>1</v>
      </c>
      <c r="E17" s="15" t="b">
        <v>1</v>
      </c>
      <c r="F17" s="238" t="b">
        <v>1</v>
      </c>
      <c r="G17" s="15"/>
      <c r="H17" s="239" t="b">
        <v>1</v>
      </c>
      <c r="I17" s="239" t="b">
        <v>1</v>
      </c>
      <c r="J17" s="239" t="b">
        <v>1</v>
      </c>
      <c r="K17" s="15"/>
      <c r="L17" s="239" t="b">
        <v>1</v>
      </c>
      <c r="M17" s="15"/>
      <c r="N17" s="216" t="b">
        <v>1</v>
      </c>
    </row>
    <row r="18" spans="1:14" x14ac:dyDescent="0.2">
      <c r="A18" s="214" t="s">
        <v>100</v>
      </c>
      <c r="B18" s="215" t="s">
        <v>420</v>
      </c>
      <c r="C18" s="224" t="s">
        <v>444</v>
      </c>
      <c r="D18" s="228" t="b">
        <v>1</v>
      </c>
      <c r="E18" s="15" t="b">
        <v>1</v>
      </c>
      <c r="F18" s="15" t="b">
        <v>1</v>
      </c>
      <c r="G18" s="15"/>
      <c r="H18" s="15" t="b">
        <v>1</v>
      </c>
      <c r="I18" s="15" t="b">
        <v>1</v>
      </c>
      <c r="J18" s="15" t="b">
        <v>1</v>
      </c>
      <c r="K18" s="15"/>
      <c r="L18" s="15" t="b">
        <v>1</v>
      </c>
      <c r="M18" s="15"/>
      <c r="N18" s="216" t="b">
        <v>1</v>
      </c>
    </row>
    <row r="19" spans="1:14" x14ac:dyDescent="0.2">
      <c r="A19" s="214" t="s">
        <v>100</v>
      </c>
      <c r="B19" s="15" t="s">
        <v>105</v>
      </c>
      <c r="C19" s="224" t="s">
        <v>445</v>
      </c>
      <c r="D19" s="228" t="b">
        <v>1</v>
      </c>
      <c r="E19" s="14" t="b">
        <v>1</v>
      </c>
      <c r="F19" s="14" t="b">
        <v>1</v>
      </c>
      <c r="G19" s="15"/>
      <c r="H19" s="14" t="b">
        <v>1</v>
      </c>
      <c r="I19" s="15" t="b">
        <v>1</v>
      </c>
      <c r="J19" s="14" t="b">
        <v>1</v>
      </c>
      <c r="K19" s="15"/>
      <c r="L19" s="14" t="b">
        <v>1</v>
      </c>
      <c r="M19" s="15"/>
      <c r="N19" s="216" t="b">
        <v>1</v>
      </c>
    </row>
    <row r="20" spans="1:14" x14ac:dyDescent="0.2">
      <c r="A20" s="214" t="s">
        <v>100</v>
      </c>
      <c r="B20" s="15" t="s">
        <v>104</v>
      </c>
      <c r="C20" s="224" t="s">
        <v>446</v>
      </c>
      <c r="D20" s="228" t="b">
        <v>1</v>
      </c>
      <c r="E20" s="15" t="b">
        <v>1</v>
      </c>
      <c r="F20" s="15" t="b">
        <v>1</v>
      </c>
      <c r="G20" s="15"/>
      <c r="H20" s="14" t="b">
        <v>1</v>
      </c>
      <c r="I20" s="14" t="b">
        <v>1</v>
      </c>
      <c r="J20" s="14" t="b">
        <v>1</v>
      </c>
      <c r="K20" s="15"/>
      <c r="L20" s="14" t="b">
        <v>1</v>
      </c>
      <c r="M20" s="15"/>
      <c r="N20" s="216"/>
    </row>
    <row r="21" spans="1:14" x14ac:dyDescent="0.2">
      <c r="A21" s="214" t="s">
        <v>100</v>
      </c>
      <c r="B21" s="15" t="s">
        <v>106</v>
      </c>
      <c r="C21" s="224" t="s">
        <v>447</v>
      </c>
      <c r="D21" s="228" t="b">
        <v>1</v>
      </c>
      <c r="E21" s="14" t="b">
        <v>1</v>
      </c>
      <c r="F21" s="14" t="b">
        <v>1</v>
      </c>
      <c r="G21" s="15"/>
      <c r="H21" s="14" t="b">
        <v>1</v>
      </c>
      <c r="I21" s="14" t="b">
        <v>1</v>
      </c>
      <c r="J21" s="14" t="b">
        <v>1</v>
      </c>
      <c r="K21" s="15"/>
      <c r="L21" s="14" t="b">
        <v>1</v>
      </c>
      <c r="M21" s="15"/>
      <c r="N21" s="216" t="b">
        <v>1</v>
      </c>
    </row>
    <row r="22" spans="1:14" x14ac:dyDescent="0.2">
      <c r="A22" s="217" t="s">
        <v>100</v>
      </c>
      <c r="B22" s="118" t="s">
        <v>107</v>
      </c>
      <c r="C22" s="225" t="s">
        <v>448</v>
      </c>
      <c r="D22" s="229" t="b">
        <v>1</v>
      </c>
      <c r="E22" s="118" t="b">
        <v>1</v>
      </c>
      <c r="F22" s="118" t="b">
        <v>1</v>
      </c>
      <c r="G22" s="118"/>
      <c r="H22" s="118" t="b">
        <v>1</v>
      </c>
      <c r="I22" s="118" t="b">
        <v>1</v>
      </c>
      <c r="J22" s="118" t="b">
        <v>1</v>
      </c>
      <c r="K22" s="118"/>
      <c r="L22" s="118" t="b">
        <v>1</v>
      </c>
      <c r="M22" s="118"/>
      <c r="N22" s="119" t="b">
        <v>1</v>
      </c>
    </row>
  </sheetData>
  <phoneticPr fontId="39"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97</vt:i4>
      </vt:variant>
    </vt:vector>
  </HeadingPairs>
  <TitlesOfParts>
    <vt:vector size="104" baseType="lpstr">
      <vt:lpstr>Front Page</vt:lpstr>
      <vt:lpstr>Data Entry</vt:lpstr>
      <vt:lpstr>Conversions</vt:lpstr>
      <vt:lpstr>Materials</vt:lpstr>
      <vt:lpstr>TWLimits</vt:lpstr>
      <vt:lpstr>Report Template</vt:lpstr>
      <vt:lpstr>GA Drawings</vt:lpstr>
      <vt:lpstr>DENSITY_TOKM3</vt:lpstr>
      <vt:lpstr>DENSITY_UNITS</vt:lpstr>
      <vt:lpstr>GA_DRAWINGS_ON</vt:lpstr>
      <vt:lpstr>GADrawingLookup</vt:lpstr>
      <vt:lpstr>LENGTH_TOM</vt:lpstr>
      <vt:lpstr>LENGTH_UNITS</vt:lpstr>
      <vt:lpstr>Material</vt:lpstr>
      <vt:lpstr>Material_Interpolation</vt:lpstr>
      <vt:lpstr>Material_Lookup</vt:lpstr>
      <vt:lpstr>MoE_Offset_Root</vt:lpstr>
      <vt:lpstr>MoE_TempC_Range</vt:lpstr>
      <vt:lpstr>MS_Offset_Root</vt:lpstr>
      <vt:lpstr>MS_TempC_Range</vt:lpstr>
      <vt:lpstr>OUTPUT_UNITS</vt:lpstr>
      <vt:lpstr>PRESS_TOPA</vt:lpstr>
      <vt:lpstr>PRESSURE_G</vt:lpstr>
      <vt:lpstr>PRESSURE_UNITS</vt:lpstr>
      <vt:lpstr>'Front Page'!Print_Area</vt:lpstr>
      <vt:lpstr>'Report Template'!Print_Area</vt:lpstr>
      <vt:lpstr>REPORT_ABB_REFERENCE</vt:lpstr>
      <vt:lpstr>REPORT_CLIENT</vt:lpstr>
      <vt:lpstr>REPORT_CLIENT_REFERENCE</vt:lpstr>
      <vt:lpstr>REPORT_DATE</vt:lpstr>
      <vt:lpstr>REPORT_INPUT_BOREDIA</vt:lpstr>
      <vt:lpstr>REPORT_INPUT_BOREDIA_UNITS</vt:lpstr>
      <vt:lpstr>REPORT_INPUT_DENSITY</vt:lpstr>
      <vt:lpstr>REPORT_INPUT_DENSITY_UNITS</vt:lpstr>
      <vt:lpstr>REPORT_INPUT_DIAP3</vt:lpstr>
      <vt:lpstr>REPORT_INPUT_DIAP3_UNITS</vt:lpstr>
      <vt:lpstr>REPORT_INPUT_EXTERNAL_LENGTH</vt:lpstr>
      <vt:lpstr>REPORT_INPUT_EXTERNAL_LENGTH_UNITS</vt:lpstr>
      <vt:lpstr>REPORT_INPUT_FILLETRADIUS</vt:lpstr>
      <vt:lpstr>REPORT_INPUT_FILLETRADIUS_STEP</vt:lpstr>
      <vt:lpstr>REPORT_INPUT_FILLETRADIUS_STEP_UNITS</vt:lpstr>
      <vt:lpstr>REPORT_INPUT_FILLETRADIUS_UNITS</vt:lpstr>
      <vt:lpstr>REPORT_INPUT_FLUID</vt:lpstr>
      <vt:lpstr>REPORT_INPUT_MATERIAL</vt:lpstr>
      <vt:lpstr>REPORT_INPUT_MATERIAL_DENSITY</vt:lpstr>
      <vt:lpstr>REPORT_INPUT_MATERIAL_MAXSTRESS</vt:lpstr>
      <vt:lpstr>REPORT_INPUT_MATERIAL_MAXSTRESS_UNITS</vt:lpstr>
      <vt:lpstr>REPORT_INPUT_MATERIAL_MODE</vt:lpstr>
      <vt:lpstr>REPORT_INPUT_MATERIAL_MODE_REF</vt:lpstr>
      <vt:lpstr>REPORT_INPUT_MATERIAL_MODE_REF_UNITS</vt:lpstr>
      <vt:lpstr>REPORT_INPUT_MATERIAL_MODE_UNITS</vt:lpstr>
      <vt:lpstr>REPORT_INPUT_MINWALLTHICK</vt:lpstr>
      <vt:lpstr>REPORT_INPUT_MINWALLTHICK_UNITS</vt:lpstr>
      <vt:lpstr>REPORT_INPUT_PRESSURE</vt:lpstr>
      <vt:lpstr>REPORT_INPUT_PRESSURE_UNITS</vt:lpstr>
      <vt:lpstr>REPORT_INPUT_ROOTDIA</vt:lpstr>
      <vt:lpstr>REPORT_INPUT_ROOTDIA_UNITS</vt:lpstr>
      <vt:lpstr>REPORT_INPUT_TEMPERATURE</vt:lpstr>
      <vt:lpstr>REPORT_INPUT_TEMPERATURE_UNITS</vt:lpstr>
      <vt:lpstr>REPORT_INPUT_TIPDIA</vt:lpstr>
      <vt:lpstr>REPORT_INPUT_TIPDIA_UNITS</vt:lpstr>
      <vt:lpstr>REPORT_INPUT_TYPE</vt:lpstr>
      <vt:lpstr>REPORT_INPUT_TYPE2</vt:lpstr>
      <vt:lpstr>REPORT_INPUT_UNSUPPORTEDLEN</vt:lpstr>
      <vt:lpstr>REPORT_INPUT_UNSUPPORTEDLEN_STEP</vt:lpstr>
      <vt:lpstr>REPORT_INPUT_UNSUPPORTEDLEN_STEP_UNITS</vt:lpstr>
      <vt:lpstr>REPORT_INPUT_UNSUPPORTEDLEN_UNITS</vt:lpstr>
      <vt:lpstr>REPORT_INPUT_VELOCITY</vt:lpstr>
      <vt:lpstr>REPORT_INPUT_VELOCITY_UNITS</vt:lpstr>
      <vt:lpstr>REPORT_INPUT_VISCOSITY</vt:lpstr>
      <vt:lpstr>REPORT_INPUT_VISCOSITY_UNITS</vt:lpstr>
      <vt:lpstr>REPORT_ISSUE</vt:lpstr>
      <vt:lpstr>REPORT_ITEM_NUMBER</vt:lpstr>
      <vt:lpstr>REPORT_OUTPUT_COMMENTS</vt:lpstr>
      <vt:lpstr>REPORT_OUTPUT_FATIQUESTRESS</vt:lpstr>
      <vt:lpstr>REPORT_OUTPUT_FATIQUESTRESS_UNITS</vt:lpstr>
      <vt:lpstr>REPORT_OUTPUT_FREQRATIO</vt:lpstr>
      <vt:lpstr>REPORT_OUTPUT_FREQRATIO_LIMIT</vt:lpstr>
      <vt:lpstr>REPORT_OUTPUT_NATFREQ</vt:lpstr>
      <vt:lpstr>REPORT_OUTPUT_PASSFAIL</vt:lpstr>
      <vt:lpstr>REPORT_OUTPUT_PRESSLIMIT</vt:lpstr>
      <vt:lpstr>REPORT_OUTPUT_PRESSURE_UNITS</vt:lpstr>
      <vt:lpstr>REPORT_OUTPUT_REYNOLDS</vt:lpstr>
      <vt:lpstr>REPORT_OUTPUT_STEADYSTRESS</vt:lpstr>
      <vt:lpstr>REPORT_OUTPUT_STEADYSTRESS_UNITS</vt:lpstr>
      <vt:lpstr>REPORT_OUTPUT_STROUL</vt:lpstr>
      <vt:lpstr>REPORT_OUTPUT_WAKEFREQ</vt:lpstr>
      <vt:lpstr>REPORT_PROJECT_REFERENCE</vt:lpstr>
      <vt:lpstr>REPORT_QUOTE_REFERENCE</vt:lpstr>
      <vt:lpstr>REPORT_STEP_ITEMS</vt:lpstr>
      <vt:lpstr>REPORT_TAG_NUMBER</vt:lpstr>
      <vt:lpstr>SS_DATE</vt:lpstr>
      <vt:lpstr>SS_VERSION</vt:lpstr>
      <vt:lpstr>TEMPERATURE_UNITS</vt:lpstr>
      <vt:lpstr>TWL_ComplianceEtc</vt:lpstr>
      <vt:lpstr>TWL_Correction_Factor</vt:lpstr>
      <vt:lpstr>TWL_Sf_A</vt:lpstr>
      <vt:lpstr>TWL_Sf_B</vt:lpstr>
      <vt:lpstr>Type1</vt:lpstr>
      <vt:lpstr>Type2</vt:lpstr>
      <vt:lpstr>VELOCITIES</vt:lpstr>
      <vt:lpstr>VELOCITY_UNITS</vt:lpstr>
      <vt:lpstr>VISCOSITY_TOPAS</vt:lpstr>
      <vt:lpstr>VISCOSITY_UNITS</vt:lpstr>
    </vt:vector>
  </TitlesOfParts>
  <Company>ABB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ABB</dc:creator>
  <cp:lastModifiedBy>Michael Dye</cp:lastModifiedBy>
  <cp:lastPrinted>2013-03-11T14:31:12Z</cp:lastPrinted>
  <dcterms:created xsi:type="dcterms:W3CDTF">2011-02-09T16:22:45Z</dcterms:created>
  <dcterms:modified xsi:type="dcterms:W3CDTF">2020-10-08T17:31:27Z</dcterms:modified>
</cp:coreProperties>
</file>