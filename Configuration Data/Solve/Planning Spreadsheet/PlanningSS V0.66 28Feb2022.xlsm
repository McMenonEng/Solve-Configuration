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C:\Users\greg.millar\Documents\GitHub\Solve-Configuration\Configuration Data\Solve\Planning Spreadsheet\"/>
    </mc:Choice>
  </mc:AlternateContent>
  <xr:revisionPtr revIDLastSave="0" documentId="13_ncr:1_{6C0DBF0E-0F6E-4D4A-B01F-236046D018C9}" xr6:coauthVersionLast="47" xr6:coauthVersionMax="47" xr10:uidLastSave="{00000000-0000-0000-0000-000000000000}"/>
  <bookViews>
    <workbookView xWindow="28680" yWindow="-120" windowWidth="29040" windowHeight="15720" tabRatio="734" activeTab="2" xr2:uid="{940F2B11-FA4C-4D61-BEB6-328101ADC760}"/>
  </bookViews>
  <sheets>
    <sheet name="Front Page" sheetId="1" r:id="rId1"/>
    <sheet name="FPD580 Tag Plate" sheetId="3" r:id="rId2"/>
    <sheet name="FPD580 MIS Sheet" sheetId="4" r:id="rId3"/>
    <sheet name="FPD580 TX Instruction" sheetId="5" r:id="rId4"/>
    <sheet name="FPD580 Setup" sheetId="6" r:id="rId5"/>
    <sheet name="FPD580 MIS Data" sheetId="7" r:id="rId6"/>
    <sheet name="FPD580 TX Info" sheetId="8" r:id="rId7"/>
    <sheet name="TB MIS Sheet" sheetId="17" r:id="rId8"/>
    <sheet name="TB Tag Plate" sheetId="18" r:id="rId9"/>
    <sheet name="TB PED Data" sheetId="19" r:id="rId10"/>
    <sheet name="TB Model Data" sheetId="20" r:id="rId11"/>
    <sheet name="TB Model Data 100" sheetId="21" r:id="rId12"/>
    <sheet name="TB Calculation Data" sheetId="22" r:id="rId13"/>
    <sheet name="Conversions" sheetId="9" r:id="rId14"/>
    <sheet name="SolveDPData" sheetId="10" r:id="rId15"/>
  </sheets>
  <functionGroups builtInGroupCount="19"/>
  <definedNames>
    <definedName name="AppTitle">'Front Page'!$B$2</definedName>
    <definedName name="CustomerName">'Front Page'!$E$11</definedName>
    <definedName name="DENSITY_KGM3">Conversions!$C$123</definedName>
    <definedName name="DPFlowProductLookup">Conversions!$A$126:$C$141</definedName>
    <definedName name="Flange_t">'FPD580 MIS Data'!$D$42</definedName>
    <definedName name="FLOW_CONVERT_ATNTP">Conversions!$H$115</definedName>
    <definedName name="FLOW_CONVERT_ATSTP">Conversions!$F$115</definedName>
    <definedName name="FLOW_CONVERT_ATSTP68F">Conversions!$G$115</definedName>
    <definedName name="FLOW_CONVERT_KG">Conversions!$D$115</definedName>
    <definedName name="FLOW_CONVERT_M3">Conversions!$C$115</definedName>
    <definedName name="FLOW_CONVERT_SECS">Conversions!$B$115</definedName>
    <definedName name="FLOW_ISUK">Conversions!$I$115</definedName>
    <definedName name="FLOW_ISVOLUME">Conversions!$E$115</definedName>
    <definedName name="FLOW_NOTTIMEDEPENDENT">Conversions!$K$115</definedName>
    <definedName name="FLOW_OPPOSITEDEFAULT">Conversions!$J$115</definedName>
    <definedName name="FLOW_USER">Conversions!$A$115</definedName>
    <definedName name="FPD580_A_length">'FPD580 MIS Sheet'!$B$25</definedName>
    <definedName name="FPD580_Average_nrt">'FPD580 MIS Data'!$L$5</definedName>
    <definedName name="FPD580_B_DIM">'FPD580 MIS Sheet'!$E$30</definedName>
    <definedName name="FPD580_C_DIM">'FPD580 MIS Sheet'!$E$31</definedName>
    <definedName name="FPD580_D_DIM">'FPD580 MIS Sheet'!$E$32</definedName>
    <definedName name="FPD580_DesignPressure">'FPD580 MIS Data'!$F$42</definedName>
    <definedName name="FPD580_DesignTemperature">'FPD580 MIS Data'!$G$42</definedName>
    <definedName name="FPD580_EC_Length">'FPD580 MIS Data'!$E$24</definedName>
    <definedName name="FPD580_ES_LENGTH">'FPD580 MIS Sheet'!$E$22</definedName>
    <definedName name="FPD580_ES_type">'FPD580 MIS Data'!$H$24</definedName>
    <definedName name="FPD580_F_DIM">'FPD580 MIS Sheet'!$E$33</definedName>
    <definedName name="FPD580_Fin_tw">'FPD580 MIS Sheet'!$B$31</definedName>
    <definedName name="FPD580_Flange_calc">'FPD580 MIS Data'!$C$30:$I$39</definedName>
    <definedName name="FPD580_Flange_CrossRef">'FPD580 MIS Data'!$A$63:$E$69</definedName>
    <definedName name="FPD580_Flange_Rating">'FPD580 MIS Data'!$B$62:$E$62</definedName>
    <definedName name="FPD580_Flange_t">'FPD580 MIS Data'!$D$42</definedName>
    <definedName name="FPD580_FlangeStandard">'FPD580 MIS Data'!$H$42</definedName>
    <definedName name="FPD580_FS">'FPD580 MIS Sheet'!$E$19</definedName>
    <definedName name="FPD580_FS_List">'FPD580 MIS Data'!$C$30:$C$39</definedName>
    <definedName name="FPD580_G_DIM">'FPD580 MIS Sheet'!$E$34</definedName>
    <definedName name="FPD580_Gasket_Calc">'FPD580 MIS Data'!$A$46:$C$50</definedName>
    <definedName name="FPD580_Gasket_List">'FPD580 MIS Data'!$A$46:$A$50</definedName>
    <definedName name="FPD580_GT">'FPD580 MIS Data'!$C$51</definedName>
    <definedName name="FPD580_H_DIM">'FPD580 MIS Sheet'!$E$35</definedName>
    <definedName name="FPD580_Hole_calc">'FPD580 MIS Data'!$A$2:$I$4</definedName>
    <definedName name="FPD580_I_DIM">'FPD580 MIS Sheet'!$E$38</definedName>
    <definedName name="FPD580_ISOVALVE">'FPD580 MIS Sheet'!$E$20</definedName>
    <definedName name="FPD580_J_length">'FPD580 MIS Sheet'!$B$26</definedName>
    <definedName name="FPD580_Length_calc">'FPD580 MIS Data'!$A$12:$J$21</definedName>
    <definedName name="FPD580_MIS_CC_NOT_TP1">'FPD580 MIS Sheet'!$A$24:$E$39</definedName>
    <definedName name="FPD580_MIS_CC_TP1">'FPD580 MIS Sheet'!$A$41:$E$56</definedName>
    <definedName name="FPD580_MIS_EC">'FPD580 MIS Sheet'!$E$17</definedName>
    <definedName name="FPD580_MIS_EndSupport">'FPD580 MIS Sheet'!$B$22</definedName>
    <definedName name="FPD580_MIS_ES">'FPD580 MIS Sheet'!$E$21</definedName>
    <definedName name="FPD580_MIS_FlangeSize">'FPD580 MIS Sheet'!$B$18</definedName>
    <definedName name="FPD580_MIS_Gasket">'FPD580 MIS Sheet'!$B$19</definedName>
    <definedName name="FPD580_MIS_ITEMNUMBER">'FPD580 MIS Sheet'!$B$4</definedName>
    <definedName name="FPD580_MIS_ITEMQTY">'FPD580 MIS Sheet'!$B$5</definedName>
    <definedName name="FPD580_MIS_ModelType">'FPD580 MIS Sheet'!$B$15</definedName>
    <definedName name="FPD580_MIS_NL">'FPD580 MIS Sheet'!$E$16</definedName>
    <definedName name="FPD580_MIS_PARTIAL">'FPD580 MIS Sheet'!$B$20</definedName>
    <definedName name="FPD580_MIS_PartNumber">'FPD580 MIS Sheet'!$B$8</definedName>
    <definedName name="FPD580_MIS_PRODUCTIONNUMBER">'FPD580 MIS Sheet'!#REF!</definedName>
    <definedName name="FPD580_MIS_SERIALNUMBERS">'FPD580 MIS Sheet'!$B$6</definedName>
    <definedName name="FPD580_MIS_TAGNUMBERS">'FPD580 MIS Sheet'!$B$7</definedName>
    <definedName name="FPD580_MIS_ThreadedFlange">'FPD580 MIS Sheet'!$B$21</definedName>
    <definedName name="FPD580_MIS_TP3_YN">'FPD580 MIS Data'!$D$26</definedName>
    <definedName name="FPD580_MIS_TP7_YN">'FPD580 MIS Data'!$F$26</definedName>
    <definedName name="FPD580_MIS_WELD_STANDOFF">'FPD580 MIS Sheet'!$C$11</definedName>
    <definedName name="FPD580_MIS_WELD_TORBAR">'FPD580 MIS Sheet'!$C$10</definedName>
    <definedName name="FPD580_Model_list">'FPD580 MIS Data'!$A$12:$A$21</definedName>
    <definedName name="FPD580_N_DIM">'FPD580 MIS Sheet'!$E$36</definedName>
    <definedName name="FPD580_Neck_L">'FPD580 MIS Data'!$D$24</definedName>
    <definedName name="FPD580_NRT">'FPD580 MIS Data'!$G$24</definedName>
    <definedName name="FPD580_P_DIM">'FPD580 MIS Sheet'!$E$37</definedName>
    <definedName name="FPD580_PC">'FPD580 MIS Sheet'!$B$38</definedName>
    <definedName name="FPD580_PED_Cat">'FPD580 MIS Data'!$I$42</definedName>
    <definedName name="FPD580_PI_TransmitterPurchaseCode">'FPD580 TX Instruction'!$F$9</definedName>
    <definedName name="FPD580_PIPEID">'FPD580 MIS Sheet'!$B$16</definedName>
    <definedName name="FPD580_PROBE_MATERIAL">'FPD580 MIS Data'!$A$55:$B$58</definedName>
    <definedName name="FPD580_PT">'FPD580 MIS Data'!$E$42</definedName>
    <definedName name="FPD580_TGT">'FPD580 MIS Sheet'!$E$18</definedName>
    <definedName name="FPD580_TI_DENSITYANDUNITS">'FPD580 TX Instruction'!$E$26</definedName>
    <definedName name="FPD580_TI_DP">'FPD580 TX Instruction'!$B$7</definedName>
    <definedName name="FPD580_TI_DP2">'FPD580 TX Instruction'!$E$17</definedName>
    <definedName name="FPD580_TI_DP3">'FPD580 TX Instruction'!$E$36</definedName>
    <definedName name="FPD580_TI_DPANDUNITS">'FPD580 TX Instruction'!$E$23</definedName>
    <definedName name="FPD580_TI_DPUNITS">'FPD580 TX Instruction'!$C$7</definedName>
    <definedName name="FPD580_TI_DPUNITS2">'FPD580 TX Instruction'!$E$15</definedName>
    <definedName name="FPD580_TI_FLOW">'FPD580 TX Instruction'!$G$7</definedName>
    <definedName name="FPD580_TI_FLOWANDUNITS">'FPD580 TX Instruction'!$E$22</definedName>
    <definedName name="FPD580_TI_FLOWUNITS">'FPD580 TX Instruction'!$I$7</definedName>
    <definedName name="FPD580_TI_IDANDUNITS">'FPD580 TX Instruction'!$E$28</definedName>
    <definedName name="FPD580_TI_ISENTROPIC">'FPD580 TX Instruction'!$E$32</definedName>
    <definedName name="FPD580_TI_MaterialElement">'FPD580 TX Instruction'!$E$21</definedName>
    <definedName name="FPD580_TI_MaterialLookup">'FPD580 TX Info'!$A$3:$E$5</definedName>
    <definedName name="FPD580_TI_MaterialTube">'FPD580 TX Instruction'!$E$20</definedName>
    <definedName name="FPD580_TI_MeterPurchaseCode">'FPD580 TX Instruction'!$A$9</definedName>
    <definedName name="FPD580_TI_OrderItem">'FPD580 TX Instruction'!$D$5</definedName>
    <definedName name="FPD580_TI_OrderNumber">'FPD580 TX Instruction'!$A$5</definedName>
    <definedName name="FPD580_TI_PRESSANDUNITS">'FPD580 TX Instruction'!$E$24</definedName>
    <definedName name="FPD580_TI_REYNOLDS">'FPD580 TX Instruction'!$E$29</definedName>
    <definedName name="FPD580_TI_SerialNumber">'FPD580 TX Instruction'!$G$5</definedName>
    <definedName name="FPD580_TI_StandardDensity">'FPD580 TX Instruction'!$E$31</definedName>
    <definedName name="FPD580_TI_TagNumber">'FPD580 TX Instruction'!$G$3</definedName>
    <definedName name="FPD580_TI_TEMPANDUNITS">'FPD580 TX Instruction'!$E$25</definedName>
    <definedName name="FPD580_WALLT">'FPD580 MIS Sheet'!$B$17</definedName>
    <definedName name="FPD580_WELD_STANDOFF">'FPD580 MIS Data'!$A$94:$B$110</definedName>
    <definedName name="FPD580_WELD_TORBAR">'FPD580 MIS Data'!$A$80:$B$92</definedName>
    <definedName name="FPD585_DiaUnits">'FPD580 Setup'!$E$26</definedName>
    <definedName name="FPD585_DiffPress">'FPD580 Setup'!$E$29</definedName>
    <definedName name="FPD585_DiffPressUnits">'FPD580 Setup'!$E$18</definedName>
    <definedName name="FPD585_DP">'FPD580 Setup'!$B$6</definedName>
    <definedName name="FPD585_DPUnits">'FPD580 Setup'!$C$6</definedName>
    <definedName name="FPD585_FLOW">'FPD580 Setup'!$F$6</definedName>
    <definedName name="FPD585_FlowTotalizer">'FPD580 Setup'!$E$21</definedName>
    <definedName name="FPD585_FLOWUNITS">'FPD580 Setup'!$H$6</definedName>
    <definedName name="FPD585_GasDenUnits">'FPD580 Setup'!$E$24</definedName>
    <definedName name="FPD585_Heater">'FPD580 Setup'!$E$13</definedName>
    <definedName name="FPD585_InterfaceUnit">'FPD580 Setup'!$E$12</definedName>
    <definedName name="FPD585_MassFlowMeterMax">'FPD580 Setup'!$E$30</definedName>
    <definedName name="FPD585_MassFlowUnits">'FPD580 Setup'!$E$22</definedName>
    <definedName name="FPD585_ModelCode">'FPD580 Setup'!$A$8</definedName>
    <definedName name="FPD585_MW">'FPD580 Setup'!$E$32</definedName>
    <definedName name="FPD585_OrderItem">'FPD580 Setup'!$D$4</definedName>
    <definedName name="FPD585_PipeID">'FPD580 Setup'!$E$34</definedName>
    <definedName name="FPD585_RelHumidity">'FPD580 Setup'!$E$37</definedName>
    <definedName name="FPD585_Serial">'FPD580 Setup'!$F$4</definedName>
    <definedName name="FPD585_SpanCheckPress">'FPD580 Setup'!$E$28</definedName>
    <definedName name="FPD585_SpanCheckReg">'FPD580 Setup'!$E$14</definedName>
    <definedName name="FPD585_StackTemp">'FPD580 Setup'!$E$36</definedName>
    <definedName name="FPD585_StaticPressUnits">'FPD580 Setup'!$E$19</definedName>
    <definedName name="FPD585_Tag">'FPD580 Setup'!$F$2</definedName>
    <definedName name="FPD585_TempElement">'FPD580 Setup'!$E$15</definedName>
    <definedName name="FPD585_TempMeterMax">'FPD580 Setup'!$E$31</definedName>
    <definedName name="FPD585_TempUnits">'FPD580 Setup'!$E$23</definedName>
    <definedName name="FPD585_VelUnits">'FPD580 Setup'!$E$25</definedName>
    <definedName name="FPD585_VolFlowUnits">'FPD580 Setup'!$E$20</definedName>
    <definedName name="FPD585_ZFactor">'FPD580 Setup'!$E$33</definedName>
    <definedName name="FS">'FPD580 MIS Sheet'!$E$19</definedName>
    <definedName name="Item_Description">SolveDPData!$A$1</definedName>
    <definedName name="Item_DPatMeterMax">'Front Page'!$Q$17</definedName>
    <definedName name="Item_FlowAtMeterMax">'Front Page'!$O$17</definedName>
    <definedName name="Item_Fluid">'Front Page'!$M$17</definedName>
    <definedName name="Item_Material">'Front Page'!$L$17</definedName>
    <definedName name="Item_ModelNo">'Front Page'!$J$17</definedName>
    <definedName name="Item_OperatingPressure">'Front Page'!$P$17</definedName>
    <definedName name="Item_OperatingTemperature">'Front Page'!$N$17</definedName>
    <definedName name="Item_PipeSize">'Front Page'!$K$17</definedName>
    <definedName name="Item_PK">SolveDPData!$E$1</definedName>
    <definedName name="Item_Qty">SolveDPData!$H$1</definedName>
    <definedName name="Length_Conversion">Conversions!$A$4:$C$8</definedName>
    <definedName name="LOAD_NONSAP">'Front Page'!$K$8</definedName>
    <definedName name="MASS_NOTTIMEDEPENDANT">Conversions!$L$115</definedName>
    <definedName name="PED_Category">'Front Page'!$V$17</definedName>
    <definedName name="PED_Country">'Front Page'!$E$14</definedName>
    <definedName name="PED_Flange">'Front Page'!$X$17</definedName>
    <definedName name="PED_Pressure">'Front Page'!$T$17</definedName>
    <definedName name="PED_Temperature">'Front Page'!$U$17</definedName>
    <definedName name="PED_TestPressure">'Front Page'!$W$17</definedName>
    <definedName name="PED_Year">'Front Page'!$S$17</definedName>
    <definedName name="PRESS_BARA">Conversions!$C$46</definedName>
    <definedName name="PRESS_USER">Conversions!$A$46</definedName>
    <definedName name="PRESS_USER_UNITS">Conversions!$B$46</definedName>
    <definedName name="_xlnm.Print_Area" localSheetId="2">'FPD580 MIS Sheet'!$A$1:$E$56</definedName>
    <definedName name="_xlnm.Print_Area" localSheetId="4">'FPD580 Setup'!$A$1:$I$45</definedName>
    <definedName name="_xlnm.Print_Area" localSheetId="0">'Front Page'!$A$1:$X$19</definedName>
    <definedName name="ProductionOrderNo">'Front Page'!#REF!</definedName>
    <definedName name="PurchaseOrderNumber">'Front Page'!$E$12</definedName>
    <definedName name="SalesOrderItem">'Front Page'!$B$17</definedName>
    <definedName name="SalesOrderNumber">'Front Page'!$E$13</definedName>
    <definedName name="SalesOrderQty">'Front Page'!$C$17</definedName>
    <definedName name="SerialNumber">'Front Page'!$H$17</definedName>
    <definedName name="SolveDPItem">'Front Page'!$E$17</definedName>
    <definedName name="SolveDPVersion">'Front Page'!$B$5</definedName>
    <definedName name="SpreadsheetVersion">'Front Page'!$B$4</definedName>
    <definedName name="TagNumber">'Front Page'!$G$17</definedName>
    <definedName name="TB_A_Length">'TB MIS Sheet'!$B$30</definedName>
    <definedName name="TB_AverageNRT">'TB Calculation Data'!$D$152</definedName>
    <definedName name="TB_B_Dim">'TB MIS Sheet'!$E$37</definedName>
    <definedName name="TB_BAYONET_EXPRESSION">'TB Calculation Data'!$B$161</definedName>
    <definedName name="TB_BIDIRECTIONAL_EXPRESSION">'TB Calculation Data'!$B$141</definedName>
    <definedName name="TB_C_Dim">'TB MIS Sheet'!$E$38</definedName>
    <definedName name="TB_CalcData_FS_Override">'TB Calculation Data'!$B$155</definedName>
    <definedName name="TB_CalcData_FS_Units">'TB Calculation Data'!$F$155</definedName>
    <definedName name="TB_CalcData_FS_Value">'TB Calculation Data'!$E$155</definedName>
    <definedName name="TB_CalcData_FS_Value_mm">'TB Calculation Data'!$C$155</definedName>
    <definedName name="TB_CalcData_InsLen_Override">'TB Calculation Data'!$B$158</definedName>
    <definedName name="TB_CalcData_InsLen_Units">'TB Calculation Data'!$F$158</definedName>
    <definedName name="TB_CalcData_InsLen_Value">'TB Calculation Data'!$E$158</definedName>
    <definedName name="TB_CalcData_InsLen_Value_mm">'TB Calculation Data'!$C$158</definedName>
    <definedName name="TB_CalcData_IsoValLen_Override">'TB Calculation Data'!$B$156</definedName>
    <definedName name="TB_CalcData_IsoValLen_Units">'TB Calculation Data'!$F$156</definedName>
    <definedName name="TB_CalcData_IsoValLen_Value">'TB Calculation Data'!$E$156</definedName>
    <definedName name="TB_CalcData_IsoValLen_Value_mm">'TB Calculation Data'!$C$156</definedName>
    <definedName name="TB_CalcData_RetLen_Override">'TB Calculation Data'!$B$157</definedName>
    <definedName name="TB_CalcData_RetLen_Units">'TB Calculation Data'!$F$157</definedName>
    <definedName name="TB_CalcData_RetLen_Value">'TB Calculation Data'!$E$157</definedName>
    <definedName name="TB_CalcData_RetLen_Value_mm">'TB Calculation Data'!$C$157</definedName>
    <definedName name="TB_Conn_type">'TB Model Data 100'!$A$19:$A$20</definedName>
    <definedName name="TB_CONNTYPE_EXPRESSION">'TB Model Data 100'!$B$19</definedName>
    <definedName name="TB_COOLINGFINS_EXPRESSION">'TB Calculation Data'!$B$137</definedName>
    <definedName name="TB_D_Dim">'TB MIS Sheet'!$E$39</definedName>
    <definedName name="TB_Dims">'TB Model Data 100'!$A$10:$J$15</definedName>
    <definedName name="TB_E_Dim">'TB MIS Sheet'!$E$40</definedName>
    <definedName name="TB_EC">'TB MIS Sheet'!$E$17</definedName>
    <definedName name="TB_ENDSUPPORT_LOOKUP">'TB Calculation Data'!$B$118:$B$121</definedName>
    <definedName name="TB_ENDSUPPORT_TRANSLATORS">'TB Calculation Data'!$B$118:$B$121</definedName>
    <definedName name="TB_ES_LENGTH">'TB MIS Sheet'!$E$22</definedName>
    <definedName name="TB_ES_list">'TB Calculation Data'!$D$118:$D$121</definedName>
    <definedName name="TB_ES_list_TORWIN">'TB Calculation Data'!$A$118</definedName>
    <definedName name="TB_ES_select">'TB Model Data'!$D$84</definedName>
    <definedName name="TB_Fin_TW">'TB MIS Sheet'!$B$38</definedName>
    <definedName name="TB_flange">'TB Model Data 100'!$A$4:$D$6</definedName>
    <definedName name="TB_flange_dim">'TB Model Data 100'!$A$24:$F$48</definedName>
    <definedName name="TB_Flange_list">'TB Model Data 100'!$A$54:$A$79</definedName>
    <definedName name="TB_FLANGET">'TB MIS Sheet'!$E$21</definedName>
    <definedName name="TB_FS">'TB MIS Sheet'!$E$19</definedName>
    <definedName name="TB_FS_list">'TB Calculation Data'!$B$5:$B$93</definedName>
    <definedName name="TB_FS_list_TORWIN">'TB Calculation Data'!$A$5:$A$93</definedName>
    <definedName name="TB_FS_select">'TB Model Data'!$C$84</definedName>
    <definedName name="TB_G_Dim">'TB MIS Sheet'!$E$41</definedName>
    <definedName name="TB_GASKET_EXPRESSION">'TB Calculation Data'!$B$125:$B$128</definedName>
    <definedName name="TB_Gasket_list">'TB Calculation Data'!$E$125:$E$128</definedName>
    <definedName name="TB_GEARRETRACT_EXPRESSION">'TB Calculation Data'!$B$133</definedName>
    <definedName name="TB_GR_Length">'TB MIS Sheet'!$E$23</definedName>
    <definedName name="TB_GR_List">'TB Calculation Data'!$C$133:$C$134</definedName>
    <definedName name="TB_GT">'TB MIS Sheet'!$E$18</definedName>
    <definedName name="TB_GT_two">'TB Calculation Data'!$F$129</definedName>
    <definedName name="TB_H_Dim">'TB MIS Sheet'!$E$42</definedName>
    <definedName name="TB_HT_select">'TB Model Data'!$G$84</definedName>
    <definedName name="TB_I_Dim">'TB MIS Sheet'!$E$45</definedName>
    <definedName name="TB_ISOVALVE">'TB MIS Sheet'!$E$20</definedName>
    <definedName name="TB_ISOVALVE_EXPRESSION">'TB Calculation Data'!$B$97</definedName>
    <definedName name="TB_ISOVALVE_FLANGE_EXPRESSION">'TB Calculation Data'!$B$97:$B$112</definedName>
    <definedName name="TB_ISOVALVE_FLANGE_LIST">'TB Calculation Data'!$C$97:$C$112</definedName>
    <definedName name="TB_ISOValve_list">'TB Calculation Data'!$C$97:$C$112</definedName>
    <definedName name="TB_J_Length">'TB MIS Sheet'!$B$31</definedName>
    <definedName name="TB_L_Length">'TB MIS Sheet'!$B$32</definedName>
    <definedName name="TB_Mach_Fin">'TB MIS Sheet'!$B$37</definedName>
    <definedName name="TB_MIS_100">'TB MIS Sheet'!$48:$76</definedName>
    <definedName name="TB_MIS_BAYONET">'TB MIS Sheet'!$B$26</definedName>
    <definedName name="TB_MIS_Bidirectional">'TB MIS Sheet'!$B$24</definedName>
    <definedName name="TB_MIS_ConnType_100">'TB MIS Sheet'!$B$53</definedName>
    <definedName name="TB_MIS_CoolingFins">'TB MIS Sheet'!$B$23</definedName>
    <definedName name="TB_MIS_EndSupport">'TB MIS Sheet'!$B$21</definedName>
    <definedName name="TB_MIS_FlangeSize">'TB MIS Sheet'!$B$18</definedName>
    <definedName name="TB_MIS_FlangeSize_100">'TB MIS Sheet'!$B$54</definedName>
    <definedName name="TB_MIS_Gasket">'TB MIS Sheet'!$B$19</definedName>
    <definedName name="TB_MIS_GearRetract">'TB MIS Sheet'!$B$22</definedName>
    <definedName name="TB_MIS_IsoValve">'TB MIS Sheet'!$B$20</definedName>
    <definedName name="TB_MIS_ITEMNUMBER">'TB MIS Sheet'!$B$4</definedName>
    <definedName name="TB_MIS_ITEMQTY">'TB MIS Sheet'!$B$5</definedName>
    <definedName name="TB_MIS_ModelType">'TB MIS Sheet'!$B$15</definedName>
    <definedName name="TB_MIS_ModelType_100">'TB MIS Sheet'!$B$49</definedName>
    <definedName name="TB_MIS_Not100">'TB MIS Sheet'!$14:$47</definedName>
    <definedName name="TB_MIS_Partial">'TB MIS Sheet'!$E$26</definedName>
    <definedName name="TB_MIS_PartNumber">'TB MIS Sheet'!$B$8</definedName>
    <definedName name="TB_MIS_PipeID">'TB MIS Sheet'!$B$16</definedName>
    <definedName name="TB_MIS_PipeID_100">'TB MIS Sheet'!$B$51</definedName>
    <definedName name="TB_MIS_PRODUCTIONNUMBER">'TB MIS Sheet'!#REF!</definedName>
    <definedName name="TB_MIS_SERIALNUMBERS">'TB MIS Sheet'!$B$6</definedName>
    <definedName name="TB_MIS_TAGNUMBERS">'TB MIS Sheet'!$B$7</definedName>
    <definedName name="TB_MIS_THREADEDFLANGE">'TB MIS Sheet'!$B$25</definedName>
    <definedName name="TB_MIS_WallThickness">'TB MIS Sheet'!$B$17</definedName>
    <definedName name="TB_MIS_WallThickness_100">'TB MIS Sheet'!$B$52</definedName>
    <definedName name="TB_MIS_WELD_STANDOFF">'TB MIS Sheet'!$D$11</definedName>
    <definedName name="TB_MIS_WELD_TORBAR">'TB MIS Sheet'!$D$10</definedName>
    <definedName name="TB_Model">'TB Model Data 100'!$A$4:$A$6</definedName>
    <definedName name="TB_Model_list">'TB Model Data'!$A$14:$A$47</definedName>
    <definedName name="TB_MS_NomBore_100">'TB MIS Sheet'!$B$50</definedName>
    <definedName name="TB_N_Dim">'TB MIS Sheet'!$E$43</definedName>
    <definedName name="TB_NL">'TB MIS Sheet'!$E$16</definedName>
    <definedName name="TB_NRT_select">'TB Model Data'!$B$84</definedName>
    <definedName name="TB_P_Dim">'TB MIS Sheet'!$E$44</definedName>
    <definedName name="TB_PARTIAL_EXPRESSION">'TB Calculation Data'!$B$164</definedName>
    <definedName name="TB_PC">'TB MIS Sheet'!$B$43</definedName>
    <definedName name="TB_PED_Flange_List">'TB PED Data'!$A$49:$A$117</definedName>
    <definedName name="TB_PED_Model_List">'TB PED Data'!$A$8:$A$44</definedName>
    <definedName name="TB_Pipe_NB">'TB Model Data 100'!$A$10:$A$15</definedName>
    <definedName name="TB_PIPEID">'TB MIS Sheet'!$B$16</definedName>
    <definedName name="TB_PT_select">'TB Model Data'!$F$84</definedName>
    <definedName name="TB_R_Dim">'TB MIS Sheet'!$E$32</definedName>
    <definedName name="TB_SAP_FLANGE_CODE_LOOKUP">'TB PED Data'!$B$49:$C$117</definedName>
    <definedName name="TB_SAP_FLANGE_CODE_TRANSLATORS">'TB PED Data'!$B$48:$C$48</definedName>
    <definedName name="TB_SAP_MODEL_CODE_LOOKUP">'TB PED Data'!$B$8:$F$44</definedName>
    <definedName name="TB_SAP_MODEL_CODE_TRANSLATORS">'TB PED Data'!$B$7:$F$7</definedName>
    <definedName name="TB_Series_select">'TB Model Data'!$E$84</definedName>
    <definedName name="TB_TAG_MATERIAL">'TB Model Data'!$A$89:$B$104</definedName>
    <definedName name="TB_TF_List">'TB Calculation Data'!$C$145:$C$146</definedName>
    <definedName name="TB_THREADEDFLANGE_EXPRESSION">'TB Calculation Data'!$B$145</definedName>
    <definedName name="TB_TORWIN_FLANGE_CODE">'TB PED Data'!$C$4</definedName>
    <definedName name="TB_TORWIN_MODEL_CODE">'TB PED Data'!$C$3</definedName>
    <definedName name="TB_W_Dim">'TB MIS Sheet'!$E$31</definedName>
    <definedName name="TB_WALLT">'TB MIS Sheet'!$B$17</definedName>
    <definedName name="TB_WELD_STANDOFF">'TB Model Data'!$A$124:$C$139</definedName>
    <definedName name="TB_WELD_TORBAR">'TB Model Data'!$A$110:$C$122</definedName>
    <definedName name="TB_X_Dim">'TB MIS Sheet'!$E$30</definedName>
    <definedName name="TEMP_DEGC">Conversions!$C$17</definedName>
    <definedName name="TEMP_USER">Conversions!$A$17</definedName>
    <definedName name="TEMP_USER_UNITS">Conversions!$B$17</definedName>
    <definedName name="USER_DENSITY">Conversions!$A$123</definedName>
    <definedName name="USER_DENSITY_UNITS">Conversions!$B$123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0" i="17" l="1"/>
  <c r="E45" i="17"/>
  <c r="E44" i="17"/>
  <c r="E43" i="17"/>
  <c r="E42" i="17"/>
  <c r="E41" i="17"/>
  <c r="E40" i="17"/>
  <c r="E39" i="17"/>
  <c r="E38" i="17"/>
  <c r="E37" i="17"/>
  <c r="C31" i="17"/>
  <c r="C30" i="17"/>
  <c r="E15" i="17" l="1"/>
  <c r="B34" i="17" l="1"/>
  <c r="C34" i="17" s="1"/>
  <c r="B75" i="17" l="1"/>
  <c r="B60" i="17"/>
  <c r="B59" i="17"/>
  <c r="B58" i="17"/>
  <c r="B57" i="17"/>
  <c r="I15" i="20" l="1"/>
  <c r="I17" i="20"/>
  <c r="I16" i="20"/>
  <c r="I14" i="20"/>
  <c r="E23" i="17" s="1"/>
  <c r="E17" i="17"/>
  <c r="C123" i="9" l="1"/>
  <c r="C46" i="9" l="1"/>
  <c r="B12" i="9" l="1"/>
  <c r="B14" i="9"/>
  <c r="B13" i="9"/>
  <c r="B11" i="9"/>
  <c r="C22" i="17" l="1"/>
  <c r="H24" i="21" l="1"/>
  <c r="J24" i="21" s="1"/>
  <c r="I24" i="21"/>
  <c r="H25" i="21"/>
  <c r="J25" i="21" s="1"/>
  <c r="I25" i="21"/>
  <c r="H26" i="21"/>
  <c r="L26" i="21" s="1"/>
  <c r="I26" i="21"/>
  <c r="H27" i="21"/>
  <c r="J27" i="21" s="1"/>
  <c r="I27" i="21"/>
  <c r="H28" i="21"/>
  <c r="J28" i="21" s="1"/>
  <c r="I28" i="21"/>
  <c r="H29" i="21"/>
  <c r="J29" i="21" s="1"/>
  <c r="I29" i="21"/>
  <c r="H30" i="21"/>
  <c r="L30" i="21" s="1"/>
  <c r="I30" i="21"/>
  <c r="H31" i="21"/>
  <c r="J31" i="21" s="1"/>
  <c r="I31" i="21"/>
  <c r="H32" i="21"/>
  <c r="J32" i="21" s="1"/>
  <c r="I32" i="21"/>
  <c r="H33" i="21"/>
  <c r="J33" i="21" s="1"/>
  <c r="I33" i="21"/>
  <c r="H34" i="21"/>
  <c r="J34" i="21" s="1"/>
  <c r="I34" i="21"/>
  <c r="H35" i="21"/>
  <c r="J35" i="21" s="1"/>
  <c r="I35" i="21"/>
  <c r="H36" i="21"/>
  <c r="J36" i="21" s="1"/>
  <c r="I36" i="21"/>
  <c r="H37" i="21"/>
  <c r="J37" i="21" s="1"/>
  <c r="I37" i="21"/>
  <c r="H38" i="21"/>
  <c r="L38" i="21" s="1"/>
  <c r="I38" i="21"/>
  <c r="H39" i="21"/>
  <c r="J39" i="21" s="1"/>
  <c r="I39" i="21"/>
  <c r="H40" i="21"/>
  <c r="J40" i="21" s="1"/>
  <c r="I40" i="21"/>
  <c r="H41" i="21"/>
  <c r="L41" i="21" s="1"/>
  <c r="I41" i="21"/>
  <c r="H42" i="21"/>
  <c r="I42" i="21"/>
  <c r="H43" i="21"/>
  <c r="J43" i="21" s="1"/>
  <c r="I43" i="21"/>
  <c r="H44" i="21"/>
  <c r="J44" i="21" s="1"/>
  <c r="I44" i="21"/>
  <c r="H45" i="21"/>
  <c r="J45" i="21" s="1"/>
  <c r="I45" i="21"/>
  <c r="H46" i="21"/>
  <c r="J46" i="21" s="1"/>
  <c r="I46" i="21"/>
  <c r="H47" i="21"/>
  <c r="J47" i="21" s="1"/>
  <c r="I47" i="21"/>
  <c r="H48" i="21"/>
  <c r="J48" i="21" s="1"/>
  <c r="I48" i="21"/>
  <c r="K26" i="21" l="1"/>
  <c r="L46" i="21"/>
  <c r="K34" i="21"/>
  <c r="J26" i="21"/>
  <c r="L36" i="21"/>
  <c r="L39" i="21"/>
  <c r="K36" i="21"/>
  <c r="K42" i="21"/>
  <c r="L28" i="21"/>
  <c r="K44" i="21"/>
  <c r="L34" i="21"/>
  <c r="L31" i="21"/>
  <c r="K28" i="21"/>
  <c r="L44" i="21"/>
  <c r="K41" i="21"/>
  <c r="L33" i="21"/>
  <c r="K46" i="21"/>
  <c r="J41" i="21"/>
  <c r="J38" i="21"/>
  <c r="K33" i="21"/>
  <c r="L25" i="21"/>
  <c r="K38" i="21"/>
  <c r="J30" i="21"/>
  <c r="K25" i="21"/>
  <c r="L42" i="21"/>
  <c r="K30" i="21"/>
  <c r="L47" i="21"/>
  <c r="J42" i="21"/>
  <c r="K47" i="21"/>
  <c r="K39" i="21"/>
  <c r="K31" i="21"/>
  <c r="L45" i="21"/>
  <c r="L37" i="21"/>
  <c r="L29" i="21"/>
  <c r="L48" i="21"/>
  <c r="K45" i="21"/>
  <c r="L40" i="21"/>
  <c r="K37" i="21"/>
  <c r="L32" i="21"/>
  <c r="K29" i="21"/>
  <c r="L24" i="21"/>
  <c r="K48" i="21"/>
  <c r="L35" i="21"/>
  <c r="K32" i="21"/>
  <c r="L27" i="21"/>
  <c r="K24" i="21"/>
  <c r="L43" i="21"/>
  <c r="K40" i="21"/>
  <c r="K43" i="21"/>
  <c r="K35" i="21"/>
  <c r="K27" i="21"/>
  <c r="E15" i="4" l="1"/>
  <c r="C8" i="9" l="1"/>
  <c r="C7" i="9"/>
  <c r="C6" i="9"/>
  <c r="C5" i="9"/>
  <c r="C4" i="9"/>
  <c r="I78" i="21"/>
  <c r="I77" i="21"/>
  <c r="I76" i="21"/>
  <c r="I75" i="21"/>
  <c r="I74" i="21"/>
  <c r="I73" i="21"/>
  <c r="I72" i="21"/>
  <c r="I71" i="21"/>
  <c r="I70" i="21"/>
  <c r="I69" i="21"/>
  <c r="I68" i="21"/>
  <c r="I67" i="21"/>
  <c r="I66" i="21"/>
  <c r="I65" i="21"/>
  <c r="I64" i="21"/>
  <c r="I63" i="21"/>
  <c r="I62" i="21"/>
  <c r="I61" i="21"/>
  <c r="I60" i="21"/>
  <c r="I59" i="21"/>
  <c r="I58" i="21"/>
  <c r="I57" i="21"/>
  <c r="I56" i="21"/>
  <c r="I55" i="21"/>
  <c r="I54" i="21"/>
  <c r="F15" i="21"/>
  <c r="F14" i="21"/>
  <c r="F13" i="21"/>
  <c r="F12" i="21"/>
  <c r="F11" i="21"/>
  <c r="F10" i="21"/>
  <c r="G78" i="21"/>
  <c r="H78" i="21" s="1"/>
  <c r="G77" i="21"/>
  <c r="H77" i="21" s="1"/>
  <c r="G76" i="21"/>
  <c r="H76" i="21" s="1"/>
  <c r="G75" i="21"/>
  <c r="H75" i="21" s="1"/>
  <c r="G74" i="21"/>
  <c r="H74" i="21" s="1"/>
  <c r="G73" i="21"/>
  <c r="H73" i="21" s="1"/>
  <c r="G72" i="21"/>
  <c r="H72" i="21" s="1"/>
  <c r="G71" i="21"/>
  <c r="H71" i="21" s="1"/>
  <c r="G70" i="21"/>
  <c r="H70" i="21" s="1"/>
  <c r="G69" i="21"/>
  <c r="H69" i="21" s="1"/>
  <c r="G68" i="21"/>
  <c r="H68" i="21" s="1"/>
  <c r="G67" i="21"/>
  <c r="H67" i="21" s="1"/>
  <c r="G66" i="21"/>
  <c r="H66" i="21" s="1"/>
  <c r="G65" i="21"/>
  <c r="H65" i="21" s="1"/>
  <c r="G64" i="21"/>
  <c r="H64" i="21" s="1"/>
  <c r="G63" i="21"/>
  <c r="H63" i="21" s="1"/>
  <c r="G62" i="21"/>
  <c r="H62" i="21" s="1"/>
  <c r="G61" i="21"/>
  <c r="H61" i="21" s="1"/>
  <c r="G60" i="21"/>
  <c r="H60" i="21" s="1"/>
  <c r="G59" i="21"/>
  <c r="H59" i="21" s="1"/>
  <c r="G58" i="21"/>
  <c r="H58" i="21" s="1"/>
  <c r="G57" i="21"/>
  <c r="H57" i="21" s="1"/>
  <c r="G56" i="21"/>
  <c r="H56" i="21" s="1"/>
  <c r="G55" i="21"/>
  <c r="H55" i="21" s="1"/>
  <c r="G54" i="21"/>
  <c r="H54" i="21" s="1"/>
  <c r="D15" i="21"/>
  <c r="D14" i="21"/>
  <c r="E14" i="21" s="1"/>
  <c r="D13" i="21"/>
  <c r="E13" i="21" s="1"/>
  <c r="D12" i="21"/>
  <c r="E12" i="21" s="1"/>
  <c r="D11" i="21"/>
  <c r="E11" i="21" s="1"/>
  <c r="D10" i="21"/>
  <c r="E10" i="21" s="1"/>
  <c r="F40" i="20"/>
  <c r="F32" i="20"/>
  <c r="F30" i="20"/>
  <c r="G84" i="20"/>
  <c r="F84" i="20"/>
  <c r="E84" i="20"/>
  <c r="D84" i="20"/>
  <c r="C84" i="20"/>
  <c r="B84" i="20"/>
  <c r="E119" i="22"/>
  <c r="C156" i="22"/>
  <c r="E20" i="17" s="1"/>
  <c r="C155" i="22"/>
  <c r="K15" i="21"/>
  <c r="K14" i="21"/>
  <c r="K13" i="21"/>
  <c r="K12" i="21"/>
  <c r="K11" i="21"/>
  <c r="K10" i="21"/>
  <c r="E21" i="17" l="1"/>
  <c r="E16" i="17" s="1"/>
  <c r="B12" i="17"/>
  <c r="E18" i="17"/>
  <c r="E19" i="17"/>
  <c r="B68" i="17"/>
  <c r="E15" i="21"/>
  <c r="B67" i="17" s="1"/>
  <c r="B64" i="17"/>
  <c r="L12" i="21"/>
  <c r="M11" i="21"/>
  <c r="M10" i="21"/>
  <c r="M14" i="21"/>
  <c r="M12" i="21"/>
  <c r="M13" i="21"/>
  <c r="L10" i="21"/>
  <c r="L64" i="21"/>
  <c r="K64" i="21"/>
  <c r="L68" i="21"/>
  <c r="K68" i="21"/>
  <c r="L76" i="21"/>
  <c r="K76" i="21"/>
  <c r="L60" i="21"/>
  <c r="K60" i="21"/>
  <c r="L72" i="21"/>
  <c r="K72" i="21"/>
  <c r="L56" i="21"/>
  <c r="K56" i="21"/>
  <c r="J55" i="21"/>
  <c r="J56" i="21"/>
  <c r="J59" i="21"/>
  <c r="J60" i="21"/>
  <c r="J63" i="21"/>
  <c r="J64" i="21"/>
  <c r="J68" i="21"/>
  <c r="J71" i="21"/>
  <c r="J72" i="21"/>
  <c r="J76" i="21"/>
  <c r="L11" i="21"/>
  <c r="J70" i="21"/>
  <c r="J74" i="21"/>
  <c r="J78" i="21"/>
  <c r="J57" i="21"/>
  <c r="I21" i="20" l="1"/>
  <c r="I20" i="20"/>
  <c r="I19" i="20"/>
  <c r="I18" i="20"/>
  <c r="L15" i="21"/>
  <c r="M15" i="21"/>
  <c r="L14" i="21"/>
  <c r="L13" i="21"/>
  <c r="L77" i="21"/>
  <c r="K77" i="21"/>
  <c r="L62" i="21"/>
  <c r="K62" i="21"/>
  <c r="L67" i="21"/>
  <c r="K67" i="21"/>
  <c r="L58" i="21"/>
  <c r="K58" i="21"/>
  <c r="J58" i="21"/>
  <c r="K73" i="21"/>
  <c r="L73" i="21"/>
  <c r="L63" i="21"/>
  <c r="K63" i="21"/>
  <c r="J77" i="21"/>
  <c r="K65" i="21"/>
  <c r="L65" i="21"/>
  <c r="J73" i="21"/>
  <c r="L66" i="21"/>
  <c r="K66" i="21"/>
  <c r="L69" i="21"/>
  <c r="K69" i="21"/>
  <c r="L54" i="21"/>
  <c r="K54" i="21"/>
  <c r="K61" i="21"/>
  <c r="L61" i="21"/>
  <c r="L78" i="21"/>
  <c r="K78" i="21"/>
  <c r="L75" i="21"/>
  <c r="K75" i="21"/>
  <c r="L59" i="21"/>
  <c r="K59" i="21"/>
  <c r="J69" i="21"/>
  <c r="J75" i="21"/>
  <c r="J66" i="21"/>
  <c r="L57" i="21"/>
  <c r="K57" i="21"/>
  <c r="L74" i="21"/>
  <c r="K74" i="21"/>
  <c r="J65" i="21"/>
  <c r="J62" i="21"/>
  <c r="L70" i="21"/>
  <c r="K70" i="21"/>
  <c r="L71" i="21"/>
  <c r="K71" i="21"/>
  <c r="L55" i="21"/>
  <c r="K55" i="21"/>
  <c r="J61" i="21"/>
  <c r="J67" i="21"/>
  <c r="J54" i="21"/>
  <c r="K24" i="7" l="1"/>
  <c r="E30" i="17" l="1"/>
  <c r="B73" i="17"/>
  <c r="B72" i="17"/>
  <c r="B71" i="17"/>
  <c r="B3" i="17"/>
  <c r="B2" i="17"/>
  <c r="B1" i="17"/>
  <c r="G9" i="20" l="1"/>
  <c r="F9" i="20"/>
  <c r="D9" i="20"/>
  <c r="E9" i="20"/>
  <c r="B9" i="20"/>
  <c r="H9" i="20"/>
  <c r="I9" i="20"/>
  <c r="C9" i="20"/>
  <c r="F121" i="22"/>
  <c r="F120" i="22"/>
  <c r="G34" i="20"/>
  <c r="G42" i="20"/>
  <c r="B74" i="17"/>
  <c r="E120" i="22" l="1"/>
  <c r="F129" i="22"/>
  <c r="E121" i="22"/>
  <c r="E22" i="17" l="1"/>
  <c r="F33" i="20" s="1"/>
  <c r="B44" i="17" s="1"/>
  <c r="E31" i="17"/>
  <c r="B43" i="17" s="1"/>
  <c r="G41" i="17"/>
  <c r="A5" i="5"/>
  <c r="G40" i="17" l="1"/>
  <c r="G43" i="20"/>
  <c r="G35" i="20"/>
  <c r="F41" i="20"/>
  <c r="H47" i="20"/>
  <c r="H42" i="20"/>
  <c r="G44" i="20"/>
  <c r="H37" i="20"/>
  <c r="H38" i="20"/>
  <c r="G46" i="20"/>
  <c r="H45" i="20"/>
  <c r="G37" i="20"/>
  <c r="H35" i="20"/>
  <c r="H43" i="20"/>
  <c r="H31" i="20"/>
  <c r="G47" i="20"/>
  <c r="H46" i="20"/>
  <c r="G36" i="20"/>
  <c r="H36" i="20"/>
  <c r="G39" i="20"/>
  <c r="G38" i="20"/>
  <c r="H34" i="20"/>
  <c r="H44" i="20"/>
  <c r="H39" i="20"/>
  <c r="G45" i="20"/>
  <c r="G31" i="20"/>
  <c r="D151" i="22"/>
  <c r="D149" i="22"/>
  <c r="D150" i="22"/>
  <c r="A4" i="6"/>
  <c r="D3" i="5"/>
  <c r="A3" i="5"/>
  <c r="B31" i="17" l="1"/>
  <c r="B32" i="17" s="1"/>
  <c r="B33" i="17"/>
  <c r="E32" i="17"/>
  <c r="B45" i="17"/>
  <c r="B42" i="17"/>
  <c r="D152" i="22"/>
  <c r="B38" i="17" s="1"/>
  <c r="C51" i="7"/>
  <c r="I42" i="7"/>
  <c r="H42" i="7"/>
  <c r="G42" i="7"/>
  <c r="F42" i="7"/>
  <c r="E42" i="7"/>
  <c r="C19" i="4"/>
  <c r="D42" i="7"/>
  <c r="J24" i="7"/>
  <c r="I24" i="7"/>
  <c r="H24" i="7"/>
  <c r="G24" i="7"/>
  <c r="D24" i="7" s="1"/>
  <c r="E24" i="7"/>
  <c r="I7" i="7"/>
  <c r="B3" i="4"/>
  <c r="B2" i="4"/>
  <c r="B37" i="17" l="1"/>
  <c r="B39" i="17"/>
  <c r="E20" i="4"/>
  <c r="F16" i="7"/>
  <c r="F21" i="7"/>
  <c r="F19" i="7"/>
  <c r="F24" i="7" s="1"/>
  <c r="F14" i="7"/>
  <c r="F7" i="7"/>
  <c r="C42" i="4" s="1"/>
  <c r="C43" i="4" s="1"/>
  <c r="C7" i="7"/>
  <c r="D7" i="7"/>
  <c r="E7" i="7"/>
  <c r="G7" i="7"/>
  <c r="H7" i="7"/>
  <c r="D2" i="6"/>
  <c r="A2" i="6"/>
  <c r="E21" i="4" l="1"/>
  <c r="A22" i="4"/>
  <c r="J115" i="9" l="1"/>
  <c r="L115" i="9" s="1"/>
  <c r="I115" i="9"/>
  <c r="H115" i="9"/>
  <c r="G115" i="9"/>
  <c r="F115" i="9"/>
  <c r="E115" i="9"/>
  <c r="D115" i="9"/>
  <c r="C115" i="9"/>
  <c r="B115" i="9"/>
  <c r="K112" i="9"/>
  <c r="K111" i="9"/>
  <c r="K110" i="9"/>
  <c r="K109" i="9"/>
  <c r="K108" i="9"/>
  <c r="K107" i="9"/>
  <c r="K106" i="9"/>
  <c r="K105" i="9"/>
  <c r="K104" i="9"/>
  <c r="K103" i="9"/>
  <c r="K102" i="9"/>
  <c r="K101" i="9"/>
  <c r="K100" i="9"/>
  <c r="K99" i="9"/>
  <c r="K98" i="9"/>
  <c r="K97" i="9"/>
  <c r="K96" i="9"/>
  <c r="K95" i="9"/>
  <c r="K94" i="9"/>
  <c r="K93" i="9"/>
  <c r="K92" i="9"/>
  <c r="K91" i="9"/>
  <c r="K90" i="9"/>
  <c r="K89" i="9"/>
  <c r="K88" i="9"/>
  <c r="K87" i="9"/>
  <c r="K86" i="9"/>
  <c r="K85" i="9"/>
  <c r="K84" i="9"/>
  <c r="K83" i="9"/>
  <c r="K82" i="9"/>
  <c r="K81" i="9"/>
  <c r="K80" i="9"/>
  <c r="K79" i="9"/>
  <c r="K78" i="9"/>
  <c r="K77" i="9"/>
  <c r="K76" i="9"/>
  <c r="K75" i="9"/>
  <c r="K74" i="9"/>
  <c r="K73" i="9"/>
  <c r="K72" i="9"/>
  <c r="K71" i="9"/>
  <c r="K70" i="9"/>
  <c r="K69" i="9"/>
  <c r="K68" i="9"/>
  <c r="K67" i="9"/>
  <c r="K66" i="9"/>
  <c r="K65" i="9"/>
  <c r="K64" i="9"/>
  <c r="K63" i="9"/>
  <c r="K62" i="9"/>
  <c r="K61" i="9"/>
  <c r="K60" i="9"/>
  <c r="K59" i="9"/>
  <c r="K58" i="9"/>
  <c r="K57" i="9"/>
  <c r="K56" i="9"/>
  <c r="K55" i="9"/>
  <c r="K54" i="9"/>
  <c r="K53" i="9"/>
  <c r="K52" i="9"/>
  <c r="K51" i="9"/>
  <c r="K50" i="9"/>
  <c r="C17" i="9"/>
  <c r="B12" i="4"/>
  <c r="E16" i="4"/>
  <c r="E17" i="4"/>
  <c r="E55" i="4" s="1"/>
  <c r="B1" i="4"/>
  <c r="K115" i="9" l="1"/>
  <c r="E25" i="4"/>
  <c r="E42" i="4"/>
  <c r="E18" i="4"/>
  <c r="B25" i="4" s="1"/>
  <c r="B42" i="4" l="1"/>
  <c r="E43" i="4"/>
  <c r="E31" i="4"/>
  <c r="E37" i="4"/>
  <c r="E54" i="4" s="1"/>
  <c r="E32" i="4"/>
  <c r="E36" i="4"/>
  <c r="E53" i="4" s="1"/>
  <c r="E35" i="4"/>
  <c r="E33" i="4"/>
  <c r="E34" i="4"/>
  <c r="E51" i="4" s="1"/>
  <c r="E38" i="4"/>
  <c r="E30" i="4"/>
  <c r="E26" i="4"/>
  <c r="L2" i="7" l="1"/>
  <c r="L3" i="7"/>
  <c r="E52" i="4"/>
  <c r="E44" i="4"/>
  <c r="B43" i="4"/>
  <c r="B44" i="4" s="1"/>
  <c r="L4" i="7"/>
  <c r="B26" i="4"/>
  <c r="B27" i="4" s="1"/>
  <c r="E27" i="4"/>
  <c r="L5" i="7" l="1"/>
  <c r="B31" i="4" s="1"/>
  <c r="B49" i="4" s="1"/>
  <c r="B48" i="4" l="1"/>
  <c r="B32" i="4"/>
  <c r="B47" i="4"/>
  <c r="B30" i="4"/>
</calcChain>
</file>

<file path=xl/sharedStrings.xml><?xml version="1.0" encoding="utf-8"?>
<sst xmlns="http://schemas.openxmlformats.org/spreadsheetml/2006/main" count="2739" uniqueCount="984">
  <si>
    <t>Customer:</t>
  </si>
  <si>
    <t>Purchase Order number:</t>
  </si>
  <si>
    <t>Sales Order number:</t>
  </si>
  <si>
    <t>Sales order Item #</t>
  </si>
  <si>
    <t>Sales order Qty</t>
  </si>
  <si>
    <t>Tag Number</t>
  </si>
  <si>
    <t>Serial Number</t>
  </si>
  <si>
    <t>Temperature</t>
  </si>
  <si>
    <t>Pressure</t>
  </si>
  <si>
    <t>Year</t>
  </si>
  <si>
    <t>Item</t>
  </si>
  <si>
    <t>Create Tag Plate Table</t>
  </si>
  <si>
    <t>Model N°</t>
  </si>
  <si>
    <t>Serial N°</t>
  </si>
  <si>
    <t>Order N°</t>
  </si>
  <si>
    <t>Tag N°</t>
  </si>
  <si>
    <t>Design P</t>
  </si>
  <si>
    <t>Design T</t>
  </si>
  <si>
    <t>Size</t>
  </si>
  <si>
    <t>Test Pressure</t>
  </si>
  <si>
    <t>Value</t>
  </si>
  <si>
    <t>Units</t>
  </si>
  <si>
    <t>Sales Order N°:</t>
  </si>
  <si>
    <t>Purchase Order N°:</t>
  </si>
  <si>
    <t>Serial Number(s):</t>
  </si>
  <si>
    <t>Tag Number(s):</t>
  </si>
  <si>
    <t>Part N°:</t>
  </si>
  <si>
    <t>Pressure Test:</t>
  </si>
  <si>
    <t>Data Entry</t>
  </si>
  <si>
    <t>Key Data</t>
  </si>
  <si>
    <t>Model Type</t>
  </si>
  <si>
    <t>G3-NRT</t>
  </si>
  <si>
    <t>Number of Holes</t>
  </si>
  <si>
    <t>Pipe ID</t>
  </si>
  <si>
    <t>Neck Length</t>
  </si>
  <si>
    <t>Wall T</t>
  </si>
  <si>
    <t>End Cap</t>
  </si>
  <si>
    <t>Flange Size</t>
  </si>
  <si>
    <t>DN40 PN10/16</t>
  </si>
  <si>
    <t>Total Gasket Thickness</t>
  </si>
  <si>
    <t>Gasket</t>
  </si>
  <si>
    <t>Flange Standoff</t>
  </si>
  <si>
    <t>Partial Insert</t>
  </si>
  <si>
    <t>Yes</t>
  </si>
  <si>
    <t>Flange Thickness</t>
  </si>
  <si>
    <t>End Support Length</t>
  </si>
  <si>
    <t>Lengths</t>
  </si>
  <si>
    <t>Dimensions</t>
  </si>
  <si>
    <t>A (Pipe Length)</t>
  </si>
  <si>
    <t>X</t>
  </si>
  <si>
    <t>J (Inner Tube 1)</t>
  </si>
  <si>
    <t>W</t>
  </si>
  <si>
    <t>L (Inner Tube 2)</t>
  </si>
  <si>
    <t>R</t>
  </si>
  <si>
    <t>Temperature sensor</t>
  </si>
  <si>
    <t>Hole Placement</t>
  </si>
  <si>
    <t>Machined TW Length</t>
  </si>
  <si>
    <t>B</t>
  </si>
  <si>
    <t>Finished TW Length</t>
  </si>
  <si>
    <t>C</t>
  </si>
  <si>
    <t>PT100 Flexible Length</t>
  </si>
  <si>
    <t>D</t>
  </si>
  <si>
    <t>F</t>
  </si>
  <si>
    <t>G</t>
  </si>
  <si>
    <t>H</t>
  </si>
  <si>
    <t>N</t>
  </si>
  <si>
    <t>P</t>
  </si>
  <si>
    <t>I</t>
  </si>
  <si>
    <t>PARTIAL</t>
  </si>
  <si>
    <t>Customer</t>
  </si>
  <si>
    <t>Client Order No -</t>
  </si>
  <si>
    <t>Tag No. -</t>
  </si>
  <si>
    <t>Serial No. -</t>
  </si>
  <si>
    <t>Transmitter Calibration Range: -</t>
  </si>
  <si>
    <t xml:space="preserve">Transmitter Output - </t>
  </si>
  <si>
    <t>Transmitter Measurement Range / Units</t>
  </si>
  <si>
    <t>0 to</t>
  </si>
  <si>
    <t>mbar</t>
  </si>
  <si>
    <t>4 - 20 mA</t>
  </si>
  <si>
    <t>m³/h</t>
  </si>
  <si>
    <t>Transmitter Model No.-</t>
  </si>
  <si>
    <t>Procedure</t>
  </si>
  <si>
    <t>Display value</t>
  </si>
  <si>
    <t>Mass flow / Normalised volume flow</t>
  </si>
  <si>
    <t>Sensor Temperature Unit</t>
  </si>
  <si>
    <r>
      <rPr>
        <b/>
        <sz val="8"/>
        <rFont val="Calibri"/>
        <family val="2"/>
      </rPr>
      <t>°</t>
    </r>
    <r>
      <rPr>
        <b/>
        <sz val="8"/>
        <rFont val="Arial"/>
        <family val="2"/>
      </rPr>
      <t>C</t>
    </r>
  </si>
  <si>
    <t>Flow Measurement</t>
  </si>
  <si>
    <t>ON</t>
  </si>
  <si>
    <t>Process Variable Unit</t>
  </si>
  <si>
    <t>Process Variable Lower Range Value (DP)</t>
  </si>
  <si>
    <t>Process Variable Upper Range Value (DP)</t>
  </si>
  <si>
    <t>Transfer Function</t>
  </si>
  <si>
    <t>Square Root</t>
  </si>
  <si>
    <t>Configure Flow Primary Device Type</t>
  </si>
  <si>
    <t>Averaging Area</t>
  </si>
  <si>
    <t>Meter Tube Material</t>
  </si>
  <si>
    <t>Stainless steel, austenitic</t>
  </si>
  <si>
    <t>Primary Element Material</t>
  </si>
  <si>
    <t>Standard Volume Flow</t>
  </si>
  <si>
    <t>Differential Pressure</t>
  </si>
  <si>
    <t>Absolute Pressure</t>
  </si>
  <si>
    <t>Density</t>
  </si>
  <si>
    <t>Ratio of diameters</t>
  </si>
  <si>
    <t>N/A</t>
  </si>
  <si>
    <t>Inner Tube Diameter</t>
  </si>
  <si>
    <t>Reynolds Number (Tube)</t>
  </si>
  <si>
    <t>Percent for Design State</t>
  </si>
  <si>
    <t>Standard Density</t>
  </si>
  <si>
    <t>Isentropic Exponent</t>
  </si>
  <si>
    <t>Transmitter Serial Number</t>
  </si>
  <si>
    <t xml:space="preserve">Signed:- </t>
  </si>
  <si>
    <t>Name:-</t>
  </si>
  <si>
    <t xml:space="preserve"> </t>
  </si>
  <si>
    <t>Date:-</t>
  </si>
  <si>
    <t>Device Info.</t>
  </si>
  <si>
    <t>Interface Options</t>
  </si>
  <si>
    <t>Interface Unit</t>
  </si>
  <si>
    <t>Heater</t>
  </si>
  <si>
    <t>Span Check Reg.</t>
  </si>
  <si>
    <t>Temp. Element</t>
  </si>
  <si>
    <t>Device Setup Menu</t>
  </si>
  <si>
    <t>Measurement Units</t>
  </si>
  <si>
    <t>Diff. Pressure</t>
  </si>
  <si>
    <t>Static Pressure</t>
  </si>
  <si>
    <t>mbar [A]</t>
  </si>
  <si>
    <t>Volume Flow Rate</t>
  </si>
  <si>
    <t>Flow Totalizer</t>
  </si>
  <si>
    <t>Mass Flow Rate</t>
  </si>
  <si>
    <t>kg/s</t>
  </si>
  <si>
    <t>°C</t>
  </si>
  <si>
    <t>Gas Density</t>
  </si>
  <si>
    <t>kg/m³</t>
  </si>
  <si>
    <t>Stack Velocity</t>
  </si>
  <si>
    <t>m/s</t>
  </si>
  <si>
    <t>Stack Diameter</t>
  </si>
  <si>
    <t>mm</t>
  </si>
  <si>
    <t>Reference Data</t>
  </si>
  <si>
    <t>Span Check Pressure</t>
  </si>
  <si>
    <t xml:space="preserve">Diff. Pressure Ref. </t>
  </si>
  <si>
    <t>Mass Flow Ref.</t>
  </si>
  <si>
    <t>Temperature Ref.</t>
  </si>
  <si>
    <t>Molecular Weight</t>
  </si>
  <si>
    <t>Compressibility Ref.</t>
  </si>
  <si>
    <t>Stack Temperature</t>
  </si>
  <si>
    <t>Relative Humidity</t>
  </si>
  <si>
    <t>N° of Holes</t>
  </si>
  <si>
    <t>Average (NRT holes)</t>
  </si>
  <si>
    <t>4 holes</t>
  </si>
  <si>
    <t>4 Holes</t>
  </si>
  <si>
    <t>6 holes</t>
  </si>
  <si>
    <t>6 Holes</t>
  </si>
  <si>
    <t>8 holes</t>
  </si>
  <si>
    <t>8 Holes</t>
  </si>
  <si>
    <t>Average (NRT Holes)</t>
  </si>
  <si>
    <t>CH_FPD5_01_DESIGN_LEVEL</t>
  </si>
  <si>
    <t>Description</t>
  </si>
  <si>
    <t>CH_FPD58_09_TEMP_ELEM</t>
  </si>
  <si>
    <t>ES</t>
  </si>
  <si>
    <t>NRT</t>
  </si>
  <si>
    <t>Series</t>
  </si>
  <si>
    <t>Torbar Model</t>
  </si>
  <si>
    <t>Max PI US</t>
  </si>
  <si>
    <t>F3</t>
  </si>
  <si>
    <t>25 mm OD flanged probe without end support</t>
  </si>
  <si>
    <t>F4</t>
  </si>
  <si>
    <t>25 mm OD flanged probe with cup end support</t>
  </si>
  <si>
    <t>Y</t>
  </si>
  <si>
    <t>F5</t>
  </si>
  <si>
    <t>25 mm OD flanged probe with flanged external end support</t>
  </si>
  <si>
    <t>412-FES</t>
  </si>
  <si>
    <t>G3</t>
  </si>
  <si>
    <t>60 mm OD flanged probe without end support</t>
  </si>
  <si>
    <t>G5</t>
  </si>
  <si>
    <t>60 mm OD flanged probe with flanged external end support</t>
  </si>
  <si>
    <t>512-FES</t>
  </si>
  <si>
    <t>F3-NRT</t>
  </si>
  <si>
    <t>AT,AV</t>
  </si>
  <si>
    <t>411-NRT</t>
  </si>
  <si>
    <t>F4-NRT</t>
  </si>
  <si>
    <t>412-NRT</t>
  </si>
  <si>
    <t>F5-NRT</t>
  </si>
  <si>
    <t>412-FES-NRT</t>
  </si>
  <si>
    <t>511-NRT</t>
  </si>
  <si>
    <t>G5-NRT</t>
  </si>
  <si>
    <t>512-FES-NRT</t>
  </si>
  <si>
    <t>TP3?</t>
  </si>
  <si>
    <t>No</t>
  </si>
  <si>
    <t>FPD580 CODES</t>
  </si>
  <si>
    <t>CH_FPD58_04_CONN_SIZE</t>
  </si>
  <si>
    <t>CH_FPD58_05_CONN_RATING</t>
  </si>
  <si>
    <t>Flange T</t>
  </si>
  <si>
    <t>Pressure Test</t>
  </si>
  <si>
    <t>Design Pressure</t>
  </si>
  <si>
    <t>Design Temperature</t>
  </si>
  <si>
    <t>Flange Standard</t>
  </si>
  <si>
    <t>PED Cat</t>
  </si>
  <si>
    <t>040</t>
  </si>
  <si>
    <t>A1F</t>
  </si>
  <si>
    <t>1 1/2" 150lb</t>
  </si>
  <si>
    <t>ASME B16.5 2003</t>
  </si>
  <si>
    <t>SEP</t>
  </si>
  <si>
    <t>050</t>
  </si>
  <si>
    <t>2" 150lb</t>
  </si>
  <si>
    <t>080</t>
  </si>
  <si>
    <t>3" 150lb</t>
  </si>
  <si>
    <t>100</t>
  </si>
  <si>
    <t>4" 150lb</t>
  </si>
  <si>
    <t>150</t>
  </si>
  <si>
    <t>6" 150lb</t>
  </si>
  <si>
    <t>D1F</t>
  </si>
  <si>
    <t>RT</t>
  </si>
  <si>
    <t>EN1092-1 2007</t>
  </si>
  <si>
    <t>DN50 PN10/16</t>
  </si>
  <si>
    <t>DN80 PN10/16</t>
  </si>
  <si>
    <t>DN100 PN10/16</t>
  </si>
  <si>
    <t>DN150 PN10/16</t>
  </si>
  <si>
    <t>bar[G]?</t>
  </si>
  <si>
    <t>bar[G]</t>
  </si>
  <si>
    <t>CH_FPD58_10_STAND_ACC</t>
  </si>
  <si>
    <t>None chosen</t>
  </si>
  <si>
    <t>SBG</t>
  </si>
  <si>
    <t>K1</t>
  </si>
  <si>
    <t>K2</t>
  </si>
  <si>
    <t>K3</t>
  </si>
  <si>
    <t>SBGS</t>
  </si>
  <si>
    <t>K4</t>
  </si>
  <si>
    <t>CH/FPD58/PROBE/MATERIAL</t>
  </si>
  <si>
    <t>S6</t>
  </si>
  <si>
    <t>316L SS</t>
  </si>
  <si>
    <t>S1</t>
  </si>
  <si>
    <t>321H SS</t>
  </si>
  <si>
    <t>N2</t>
  </si>
  <si>
    <t>UNS N06625</t>
  </si>
  <si>
    <t>Z9</t>
  </si>
  <si>
    <t>Other</t>
  </si>
  <si>
    <t>Interface unit only</t>
  </si>
  <si>
    <t>ASME 150 lb RF</t>
  </si>
  <si>
    <t>PN 10 / PN 16 RF</t>
  </si>
  <si>
    <t>CH/FPD58/CONN/SIZE; CH/FPD58/CONN/RATING</t>
  </si>
  <si>
    <t>Y0Y</t>
  </si>
  <si>
    <t>Z9Z</t>
  </si>
  <si>
    <t>000</t>
  </si>
  <si>
    <t>Not Required</t>
  </si>
  <si>
    <t>DN 40 (1-1/2 in.)</t>
  </si>
  <si>
    <t>DN 50 (2 in.)</t>
  </si>
  <si>
    <t>DN 80 (3 in.)</t>
  </si>
  <si>
    <t>DN 100 (4 in.)</t>
  </si>
  <si>
    <t>DN 150 (6 in.)</t>
  </si>
  <si>
    <t>999</t>
  </si>
  <si>
    <t>this column must be text not numbers</t>
  </si>
  <si>
    <t>CH/FPD58/PROBE/DES</t>
  </si>
  <si>
    <t>Two-piece construction</t>
  </si>
  <si>
    <t>Bayonet fiting</t>
  </si>
  <si>
    <t>FlowMeterType</t>
  </si>
  <si>
    <t>SelectionGroup</t>
  </si>
  <si>
    <t>PartNumber</t>
  </si>
  <si>
    <t>FPD581</t>
  </si>
  <si>
    <t>CH/FPD5/FIT/MAT</t>
  </si>
  <si>
    <t>C1</t>
  </si>
  <si>
    <t>Carbon steel</t>
  </si>
  <si>
    <t>This uses the "hidden" extra selection group</t>
  </si>
  <si>
    <t>FPD582</t>
  </si>
  <si>
    <t>FPD583</t>
  </si>
  <si>
    <t>ID for Ratio of diameters</t>
  </si>
  <si>
    <t>Length</t>
  </si>
  <si>
    <t>To m</t>
  </si>
  <si>
    <t>m</t>
  </si>
  <si>
    <t>cm</t>
  </si>
  <si>
    <t>in</t>
  </si>
  <si>
    <t>ft</t>
  </si>
  <si>
    <t>To Deg C</t>
  </si>
  <si>
    <t>°F</t>
  </si>
  <si>
    <t>K</t>
  </si>
  <si>
    <t>User temp</t>
  </si>
  <si>
    <t>User temp Units</t>
  </si>
  <si>
    <t>ConvertToBar</t>
  </si>
  <si>
    <t>AdjustByAtm</t>
  </si>
  <si>
    <t>Pa [A]</t>
  </si>
  <si>
    <t>Pa [G]</t>
  </si>
  <si>
    <t>kPa [A]</t>
  </si>
  <si>
    <t>kPa [G]</t>
  </si>
  <si>
    <t>N/m² [A]</t>
  </si>
  <si>
    <t>N/m² [G]</t>
  </si>
  <si>
    <t>kN/m² [A]</t>
  </si>
  <si>
    <t>kN/m² [G]</t>
  </si>
  <si>
    <t>bar [A]</t>
  </si>
  <si>
    <t>bar [G]</t>
  </si>
  <si>
    <t>mbar [G]</t>
  </si>
  <si>
    <t>atm [A]</t>
  </si>
  <si>
    <t>atm [G]</t>
  </si>
  <si>
    <t>lb/ft² [A]</t>
  </si>
  <si>
    <t>lb/ft² [G]</t>
  </si>
  <si>
    <t>psi [A]</t>
  </si>
  <si>
    <t>psi [G]</t>
  </si>
  <si>
    <t>in wg [A]</t>
  </si>
  <si>
    <t>in wg [G]</t>
  </si>
  <si>
    <t>mm wg [A]</t>
  </si>
  <si>
    <t>mm wg [G]</t>
  </si>
  <si>
    <t>kgf/cm² [A]</t>
  </si>
  <si>
    <t>kgf/cm² [G]</t>
  </si>
  <si>
    <t>User pressure</t>
  </si>
  <si>
    <t>User pressure units</t>
  </si>
  <si>
    <t>UnitName</t>
  </si>
  <si>
    <t>ConvertTo_Secs</t>
  </si>
  <si>
    <t>ConvertTo_m3</t>
  </si>
  <si>
    <t>ConvertTo_kg</t>
  </si>
  <si>
    <t>IsVolumeFlow</t>
  </si>
  <si>
    <t>ConvertAt_STP</t>
  </si>
  <si>
    <t>ConvertAt_STP68F</t>
  </si>
  <si>
    <t>ConvertAt_NTP</t>
  </si>
  <si>
    <t>IsUK</t>
  </si>
  <si>
    <t>OppositeDefault</t>
  </si>
  <si>
    <t>NotTimeDependant</t>
  </si>
  <si>
    <t>m³/s</t>
  </si>
  <si>
    <t>kg/min</t>
  </si>
  <si>
    <t>kg/h</t>
  </si>
  <si>
    <t>kg/day</t>
  </si>
  <si>
    <t>lb/s</t>
  </si>
  <si>
    <t>ft³/s</t>
  </si>
  <si>
    <t>lb/min</t>
  </si>
  <si>
    <t>lb/h</t>
  </si>
  <si>
    <t>lb/day</t>
  </si>
  <si>
    <t>Tonne/s</t>
  </si>
  <si>
    <t>Tonne/min</t>
  </si>
  <si>
    <t>Tonne/h</t>
  </si>
  <si>
    <t>Tonne/day</t>
  </si>
  <si>
    <t>Ton(L)/s</t>
  </si>
  <si>
    <t>Ton(L)/min</t>
  </si>
  <si>
    <t>Ton(L)/h</t>
  </si>
  <si>
    <t>Ton(L)/day</t>
  </si>
  <si>
    <t>Ton(S)/s</t>
  </si>
  <si>
    <t>Ton(S)/min</t>
  </si>
  <si>
    <t>Ton(S)/h</t>
  </si>
  <si>
    <t>Ton(S)/day</t>
  </si>
  <si>
    <t>m³/min</t>
  </si>
  <si>
    <t>m³/day</t>
  </si>
  <si>
    <t>litres/s</t>
  </si>
  <si>
    <t>litres/min</t>
  </si>
  <si>
    <t>litres/h</t>
  </si>
  <si>
    <t>litres/day</t>
  </si>
  <si>
    <t>ft³/min</t>
  </si>
  <si>
    <t>ft³/h</t>
  </si>
  <si>
    <t>ft³/day</t>
  </si>
  <si>
    <t>UKG/s</t>
  </si>
  <si>
    <t>UKG/min</t>
  </si>
  <si>
    <t>UKG/h</t>
  </si>
  <si>
    <t>UKG/day</t>
  </si>
  <si>
    <t>USG/s</t>
  </si>
  <si>
    <t>USG/min</t>
  </si>
  <si>
    <t>USG/h</t>
  </si>
  <si>
    <t>USG/day</t>
  </si>
  <si>
    <t>UK Barrels/day</t>
  </si>
  <si>
    <t>US Barrels/day</t>
  </si>
  <si>
    <t>Petroleum Barrels/day</t>
  </si>
  <si>
    <t>Sm³/s</t>
  </si>
  <si>
    <t>Sm³/min</t>
  </si>
  <si>
    <t>Sm³/h</t>
  </si>
  <si>
    <t>Sm³/day</t>
  </si>
  <si>
    <t>Scf/s</t>
  </si>
  <si>
    <t>Scf/min</t>
  </si>
  <si>
    <t>Scf/h</t>
  </si>
  <si>
    <t>Scf/day</t>
  </si>
  <si>
    <t>Nm³/s</t>
  </si>
  <si>
    <t>Nm³/min</t>
  </si>
  <si>
    <t>Nm³/h</t>
  </si>
  <si>
    <t>Nm³/day</t>
  </si>
  <si>
    <t>Ncf/s</t>
  </si>
  <si>
    <t>Ncf/min</t>
  </si>
  <si>
    <t>Ncf/h</t>
  </si>
  <si>
    <t>Ncf/day</t>
  </si>
  <si>
    <t>Scf/s@68°F</t>
  </si>
  <si>
    <t>Scf/min@68°F</t>
  </si>
  <si>
    <t>Scf/h@68°F</t>
  </si>
  <si>
    <t>Scf/day@68°F</t>
  </si>
  <si>
    <t>UserFlowUnit</t>
  </si>
  <si>
    <t>ConvertTo_kg_per_m3</t>
  </si>
  <si>
    <t>lb/ft³</t>
  </si>
  <si>
    <t>lb/UKG</t>
  </si>
  <si>
    <t>UserDensity</t>
  </si>
  <si>
    <t>UserDensityUnits</t>
  </si>
  <si>
    <t>Density_kgm3</t>
  </si>
  <si>
    <t>MW</t>
  </si>
  <si>
    <t>=(DENSITY_KGM3*8.314*UpTemp*Z_USER)/(UpPressPaA/1000)</t>
  </si>
  <si>
    <t>Y0</t>
  </si>
  <si>
    <t>Gasket Thickness</t>
  </si>
  <si>
    <t>E</t>
  </si>
  <si>
    <t>A1</t>
  </si>
  <si>
    <t>A8</t>
  </si>
  <si>
    <t>D2</t>
  </si>
  <si>
    <t>D5</t>
  </si>
  <si>
    <t>D8</t>
  </si>
  <si>
    <t>E2</t>
  </si>
  <si>
    <t>FS</t>
  </si>
  <si>
    <t>FS Length</t>
  </si>
  <si>
    <t>401-NRT</t>
  </si>
  <si>
    <t>402-NRT</t>
  </si>
  <si>
    <t>A3</t>
  </si>
  <si>
    <t>D1</t>
  </si>
  <si>
    <t>D3</t>
  </si>
  <si>
    <t>015</t>
  </si>
  <si>
    <t>025</t>
  </si>
  <si>
    <t>D4</t>
  </si>
  <si>
    <t>A6</t>
  </si>
  <si>
    <t>D6</t>
  </si>
  <si>
    <t>M1</t>
  </si>
  <si>
    <t>Unit Convertors and Lookups</t>
  </si>
  <si>
    <t>DPFlowProduct</t>
  </si>
  <si>
    <t>BF58E0EA-3099-48D3-911A-6FFEDB3A0B00</t>
  </si>
  <si>
    <t>BF58E0EA-3099-48D3-911A-6FFEDB3A0B01</t>
  </si>
  <si>
    <t>BF58E0EA-3099-48D3-911A-6FFEDB3A0B02</t>
  </si>
  <si>
    <t>BF58E0EA-3099-48D3-911A-6FFEDB3A0B03</t>
  </si>
  <si>
    <t>BF58E0EA-3099-48D3-911A-6FFEDB3A0B04</t>
  </si>
  <si>
    <t>BF58E0EA-3099-48D3-911A-6FFEDB3A0B05</t>
  </si>
  <si>
    <t>BF58E0EA-3099-48D3-911A-6FFEDB3A0B06</t>
  </si>
  <si>
    <t>BF58E0EA-3099-48D3-911A-6FFEDB3A0B07</t>
  </si>
  <si>
    <t>BF58E0EA-3099-48D3-911A-6FFEDB3A0B08</t>
  </si>
  <si>
    <t>BF58E0EA-3099-48D3-911A-6FFEDB3A0B09</t>
  </si>
  <si>
    <t>BF58E0EA-3099-48D3-911A-6FFEDB3A0B0A</t>
  </si>
  <si>
    <t>Integral orifice Plates (FPD140)</t>
  </si>
  <si>
    <t>Name</t>
  </si>
  <si>
    <t>Supported</t>
  </si>
  <si>
    <t>Torbar</t>
  </si>
  <si>
    <t>Compact</t>
  </si>
  <si>
    <t>StackCalc</t>
  </si>
  <si>
    <t>Fluid</t>
  </si>
  <si>
    <t>PED Category</t>
  </si>
  <si>
    <t>PED Information</t>
  </si>
  <si>
    <t>Iso Valve</t>
  </si>
  <si>
    <t>Isolation Valve</t>
  </si>
  <si>
    <t>End Support</t>
  </si>
  <si>
    <t>Gear Retract</t>
  </si>
  <si>
    <t>Gear Retract Length</t>
  </si>
  <si>
    <t>Hot Tap Data</t>
  </si>
  <si>
    <t>Machine PC Pipe Length</t>
  </si>
  <si>
    <t>Pressure Chamber</t>
  </si>
  <si>
    <t>Chain</t>
  </si>
  <si>
    <t>x 2</t>
  </si>
  <si>
    <t>Studding Length</t>
  </si>
  <si>
    <t>Pipe Nominal Bore</t>
  </si>
  <si>
    <t>1 1/4"</t>
  </si>
  <si>
    <t>Connection Type</t>
  </si>
  <si>
    <t>Standard</t>
  </si>
  <si>
    <t>Hole Size</t>
  </si>
  <si>
    <t>Tube Diameter</t>
  </si>
  <si>
    <t>D*</t>
  </si>
  <si>
    <t>E*</t>
  </si>
  <si>
    <t>F*</t>
  </si>
  <si>
    <t>G*</t>
  </si>
  <si>
    <t>Material</t>
  </si>
  <si>
    <t>Flow</t>
  </si>
  <si>
    <t>DP</t>
  </si>
  <si>
    <t>ISOVALVE = XBX</t>
  </si>
  <si>
    <t>ISOVALVE = XGX</t>
  </si>
  <si>
    <t>Model</t>
  </si>
  <si>
    <t>CH/FPD/PRODUCT/DES</t>
  </si>
  <si>
    <t>W1</t>
  </si>
  <si>
    <t>CH/FPD/MOUNTING</t>
  </si>
  <si>
    <t>50 bar</t>
  </si>
  <si>
    <t>200°C</t>
  </si>
  <si>
    <t>T1</t>
  </si>
  <si>
    <t>400°C</t>
  </si>
  <si>
    <t>F1</t>
  </si>
  <si>
    <t>see flange table below</t>
  </si>
  <si>
    <t>T3</t>
  </si>
  <si>
    <t>E1</t>
  </si>
  <si>
    <t>T2</t>
  </si>
  <si>
    <t>T4</t>
  </si>
  <si>
    <t>See flange table below</t>
  </si>
  <si>
    <t>T5</t>
  </si>
  <si>
    <t>See flange table below, up to 100 bar max</t>
  </si>
  <si>
    <t>512-NRT</t>
  </si>
  <si>
    <t>L601</t>
  </si>
  <si>
    <t>L6</t>
  </si>
  <si>
    <t>10 bar</t>
  </si>
  <si>
    <t>H611</t>
  </si>
  <si>
    <t>H6</t>
  </si>
  <si>
    <t>L701</t>
  </si>
  <si>
    <t>L7</t>
  </si>
  <si>
    <t>L702</t>
  </si>
  <si>
    <t>H701</t>
  </si>
  <si>
    <t>H7</t>
  </si>
  <si>
    <t>40 bar</t>
  </si>
  <si>
    <t>H702</t>
  </si>
  <si>
    <t>H711</t>
  </si>
  <si>
    <t>H712</t>
  </si>
  <si>
    <t>H811</t>
  </si>
  <si>
    <t>H8</t>
  </si>
  <si>
    <t>H812</t>
  </si>
  <si>
    <t>L701-NRT</t>
  </si>
  <si>
    <t>L702-NRT</t>
  </si>
  <si>
    <t>H701-NRT</t>
  </si>
  <si>
    <t>H702-NRT</t>
  </si>
  <si>
    <t>H711-NRT</t>
  </si>
  <si>
    <t>H712-NRT</t>
  </si>
  <si>
    <t>H811-NRT</t>
  </si>
  <si>
    <t>H812-NRT</t>
  </si>
  <si>
    <t>316L Values</t>
  </si>
  <si>
    <t>FLANGE</t>
  </si>
  <si>
    <t>G1*</t>
  </si>
  <si>
    <t>1" 150lb</t>
  </si>
  <si>
    <t>15.9 bar[G]</t>
  </si>
  <si>
    <t>38°C</t>
  </si>
  <si>
    <t>G2*</t>
  </si>
  <si>
    <t>1" 300lb</t>
  </si>
  <si>
    <t>41.4 bar[G]</t>
  </si>
  <si>
    <t>G3*</t>
  </si>
  <si>
    <t>1" 600lb</t>
  </si>
  <si>
    <t>82.7 bar[G]</t>
  </si>
  <si>
    <t>G4*</t>
  </si>
  <si>
    <t>A7</t>
  </si>
  <si>
    <t>1" 900lb</t>
  </si>
  <si>
    <t>200 bar[G]</t>
  </si>
  <si>
    <t>G5*</t>
  </si>
  <si>
    <t>1" 1500lb</t>
  </si>
  <si>
    <t>G6*</t>
  </si>
  <si>
    <t>A9</t>
  </si>
  <si>
    <t>1"  2500lb</t>
  </si>
  <si>
    <t>A1*</t>
  </si>
  <si>
    <t>A2*</t>
  </si>
  <si>
    <t>1 1/2" 300lb</t>
  </si>
  <si>
    <t>A3*</t>
  </si>
  <si>
    <t>1 1/2" 600lb</t>
  </si>
  <si>
    <t>A4*</t>
  </si>
  <si>
    <t>1 1/2" 900lb</t>
  </si>
  <si>
    <t>A5*</t>
  </si>
  <si>
    <t>1 1/2" 1500lb</t>
  </si>
  <si>
    <t>A6*</t>
  </si>
  <si>
    <t>1 1/2"  2500lb</t>
  </si>
  <si>
    <t>B1*</t>
  </si>
  <si>
    <t>B2*</t>
  </si>
  <si>
    <t>2" 300lb</t>
  </si>
  <si>
    <t>B3*</t>
  </si>
  <si>
    <t>2" 600lb</t>
  </si>
  <si>
    <t>B4*</t>
  </si>
  <si>
    <t>2" 900lb</t>
  </si>
  <si>
    <t>B5*</t>
  </si>
  <si>
    <t>2" 1500lb</t>
  </si>
  <si>
    <t>B6*</t>
  </si>
  <si>
    <t>2"  2500lb</t>
  </si>
  <si>
    <t>C1*</t>
  </si>
  <si>
    <t>C2*</t>
  </si>
  <si>
    <t>3" 300lb</t>
  </si>
  <si>
    <t>C3*</t>
  </si>
  <si>
    <t>3" 600lb</t>
  </si>
  <si>
    <t>C4*</t>
  </si>
  <si>
    <t>3" 900lb</t>
  </si>
  <si>
    <t>C5*</t>
  </si>
  <si>
    <t>3" 1500lb</t>
  </si>
  <si>
    <t>C6*</t>
  </si>
  <si>
    <t>3"  2500lb</t>
  </si>
  <si>
    <t>R1*</t>
  </si>
  <si>
    <t>R2*</t>
  </si>
  <si>
    <t>4" 300lb</t>
  </si>
  <si>
    <t>S1*</t>
  </si>
  <si>
    <t>S2*</t>
  </si>
  <si>
    <t>6" 300lb</t>
  </si>
  <si>
    <t>H1*</t>
  </si>
  <si>
    <t>DN25 PN10</t>
  </si>
  <si>
    <t>10 bar[G]</t>
  </si>
  <si>
    <t>H2*</t>
  </si>
  <si>
    <t>DN25 PN16</t>
  </si>
  <si>
    <t>16 bar[G]</t>
  </si>
  <si>
    <t>H3*</t>
  </si>
  <si>
    <t>DN25 PN25</t>
  </si>
  <si>
    <t>25 bar[G]</t>
  </si>
  <si>
    <t>H4*</t>
  </si>
  <si>
    <t>DN25 PN40</t>
  </si>
  <si>
    <t>40 bar[G]</t>
  </si>
  <si>
    <t>H5*</t>
  </si>
  <si>
    <t>DN25 PN64</t>
  </si>
  <si>
    <t>64 bar[G]</t>
  </si>
  <si>
    <t>H6*</t>
  </si>
  <si>
    <t>DN25 PN100</t>
  </si>
  <si>
    <t>100 bar[G]</t>
  </si>
  <si>
    <t>H7*</t>
  </si>
  <si>
    <t>D7</t>
  </si>
  <si>
    <t>DN25 PN160</t>
  </si>
  <si>
    <t>160 bar[G]</t>
  </si>
  <si>
    <t>H8*</t>
  </si>
  <si>
    <t>DN25 PN260</t>
  </si>
  <si>
    <t>260 bar[G]</t>
  </si>
  <si>
    <t>D1*</t>
  </si>
  <si>
    <t>DN40 PN10</t>
  </si>
  <si>
    <t>D2*</t>
  </si>
  <si>
    <t>DN40 PN16</t>
  </si>
  <si>
    <t>D3*</t>
  </si>
  <si>
    <t>DN40 PN25</t>
  </si>
  <si>
    <t>D4*</t>
  </si>
  <si>
    <t>DN40 PN40</t>
  </si>
  <si>
    <t>D5*</t>
  </si>
  <si>
    <t>DN40 PN64</t>
  </si>
  <si>
    <t>D6*</t>
  </si>
  <si>
    <t>DN40 PN100</t>
  </si>
  <si>
    <t>D7*</t>
  </si>
  <si>
    <t>DN40 PN160</t>
  </si>
  <si>
    <t>D8*</t>
  </si>
  <si>
    <t>DN40 PN260</t>
  </si>
  <si>
    <t>E1*</t>
  </si>
  <si>
    <t>DN50 PN10</t>
  </si>
  <si>
    <t>E2*</t>
  </si>
  <si>
    <t>DN50 PN16</t>
  </si>
  <si>
    <t>E3*</t>
  </si>
  <si>
    <t>DN50 PN25</t>
  </si>
  <si>
    <t>E4*</t>
  </si>
  <si>
    <t>DN50 PN40</t>
  </si>
  <si>
    <t>E5*</t>
  </si>
  <si>
    <t>DN50 PN64</t>
  </si>
  <si>
    <t>E6*</t>
  </si>
  <si>
    <t>DN50 PN100</t>
  </si>
  <si>
    <t>E7*</t>
  </si>
  <si>
    <t>DN50 PN160</t>
  </si>
  <si>
    <t>E8*</t>
  </si>
  <si>
    <t>DN50 PN260</t>
  </si>
  <si>
    <t>F1*</t>
  </si>
  <si>
    <t>DN80 PN10</t>
  </si>
  <si>
    <t>F2*</t>
  </si>
  <si>
    <t>DN80 PN16</t>
  </si>
  <si>
    <t>F3*</t>
  </si>
  <si>
    <t>DN80 PN25</t>
  </si>
  <si>
    <t>F4*</t>
  </si>
  <si>
    <t>DN80 PN40</t>
  </si>
  <si>
    <t>F5*</t>
  </si>
  <si>
    <t>DN80 PN64</t>
  </si>
  <si>
    <t>F6*</t>
  </si>
  <si>
    <t>DN80 PN100</t>
  </si>
  <si>
    <t>F7*</t>
  </si>
  <si>
    <t>DN80 PN160</t>
  </si>
  <si>
    <t>F8*</t>
  </si>
  <si>
    <t>DN80 PN260</t>
  </si>
  <si>
    <t>PC Adder</t>
  </si>
  <si>
    <t>Studding</t>
  </si>
  <si>
    <t>Packing Gland</t>
  </si>
  <si>
    <t>PT</t>
  </si>
  <si>
    <t>Hot Tap</t>
  </si>
  <si>
    <t>T</t>
  </si>
  <si>
    <t>Material Name</t>
  </si>
  <si>
    <t>S2</t>
  </si>
  <si>
    <t>321 SS</t>
  </si>
  <si>
    <t>S4</t>
  </si>
  <si>
    <t>304L SS</t>
  </si>
  <si>
    <t>UNS S31254</t>
  </si>
  <si>
    <t>C3</t>
  </si>
  <si>
    <t>A105 CS</t>
  </si>
  <si>
    <t>UNS S31803</t>
  </si>
  <si>
    <t>U7</t>
  </si>
  <si>
    <t>UNS N10276</t>
  </si>
  <si>
    <t>C4</t>
  </si>
  <si>
    <t>A350-LF2 CS</t>
  </si>
  <si>
    <t>M4</t>
  </si>
  <si>
    <t>UNS N04400</t>
  </si>
  <si>
    <t>UNS S32760</t>
  </si>
  <si>
    <t>Purchaser supply</t>
  </si>
  <si>
    <t>Pipe NB</t>
  </si>
  <si>
    <t>A (mm)</t>
  </si>
  <si>
    <t>B (mm)</t>
  </si>
  <si>
    <t>C (mm)</t>
  </si>
  <si>
    <t>H (mm)</t>
  </si>
  <si>
    <t>S</t>
  </si>
  <si>
    <t>HUB</t>
  </si>
  <si>
    <t>J Length</t>
  </si>
  <si>
    <t>K Length</t>
  </si>
  <si>
    <t>1/2"</t>
  </si>
  <si>
    <t>3/16"</t>
  </si>
  <si>
    <t>1/32"</t>
  </si>
  <si>
    <t>3/4"</t>
  </si>
  <si>
    <t>1"</t>
  </si>
  <si>
    <t>1 1/2"</t>
  </si>
  <si>
    <t>1/4"</t>
  </si>
  <si>
    <t>2"</t>
  </si>
  <si>
    <t>Manifold</t>
  </si>
  <si>
    <t>Rating</t>
  </si>
  <si>
    <t>Hub Length</t>
  </si>
  <si>
    <t>A Length</t>
  </si>
  <si>
    <t>J Dim</t>
  </si>
  <si>
    <t>K Dim</t>
  </si>
  <si>
    <t>U/S Straight Lengths</t>
  </si>
  <si>
    <t>1/2" 150lb</t>
  </si>
  <si>
    <t>150lb</t>
  </si>
  <si>
    <t>3/4" 150lb</t>
  </si>
  <si>
    <t>1/2" 300lb</t>
  </si>
  <si>
    <t>300lb</t>
  </si>
  <si>
    <t>3/4" 300lb</t>
  </si>
  <si>
    <t>1/2" 600lb</t>
  </si>
  <si>
    <t>600lb</t>
  </si>
  <si>
    <t>3/4" 600lb</t>
  </si>
  <si>
    <t>1/2" 900lb</t>
  </si>
  <si>
    <t>900lb</t>
  </si>
  <si>
    <t>3/4" 900lb</t>
  </si>
  <si>
    <t>1/2" 1500lb</t>
  </si>
  <si>
    <t>1500lb</t>
  </si>
  <si>
    <t>3/4" 1500lb</t>
  </si>
  <si>
    <t>Suggested</t>
  </si>
  <si>
    <t>Extended A length by 200mm</t>
  </si>
  <si>
    <t>Display</t>
  </si>
  <si>
    <t>TORWIN CODES</t>
  </si>
  <si>
    <t>J1*</t>
  </si>
  <si>
    <t>J2*</t>
  </si>
  <si>
    <t>J3*</t>
  </si>
  <si>
    <t>J4*</t>
  </si>
  <si>
    <t>J5*</t>
  </si>
  <si>
    <t>J6*</t>
  </si>
  <si>
    <t>1/2" 2500lb</t>
  </si>
  <si>
    <t>L1*</t>
  </si>
  <si>
    <t>L2*</t>
  </si>
  <si>
    <t>L3*</t>
  </si>
  <si>
    <t>L4*</t>
  </si>
  <si>
    <t>L5*</t>
  </si>
  <si>
    <t>L6*</t>
  </si>
  <si>
    <t>3/4" 2500lb</t>
  </si>
  <si>
    <t>P1*</t>
  </si>
  <si>
    <t>DN15 PN10</t>
  </si>
  <si>
    <t>P2*</t>
  </si>
  <si>
    <t>DN15 PN16</t>
  </si>
  <si>
    <t>P3*</t>
  </si>
  <si>
    <t>DN15 PN25</t>
  </si>
  <si>
    <t>P4*</t>
  </si>
  <si>
    <t>DN15 PN40</t>
  </si>
  <si>
    <t>P5*</t>
  </si>
  <si>
    <t>DN15 PN64</t>
  </si>
  <si>
    <t>P6*</t>
  </si>
  <si>
    <t>DN15 PN100</t>
  </si>
  <si>
    <t>P7*</t>
  </si>
  <si>
    <t>DN15 PN160</t>
  </si>
  <si>
    <t>P8*</t>
  </si>
  <si>
    <t>DN15 PN260</t>
  </si>
  <si>
    <t>M1*</t>
  </si>
  <si>
    <t>DN20 PN10</t>
  </si>
  <si>
    <t>M2*</t>
  </si>
  <si>
    <t>DN20 PN16</t>
  </si>
  <si>
    <t>M3*</t>
  </si>
  <si>
    <t>DN20 PN25</t>
  </si>
  <si>
    <t>M4*</t>
  </si>
  <si>
    <t>DN20 PN40</t>
  </si>
  <si>
    <t>M5*</t>
  </si>
  <si>
    <t>DN20 PN64</t>
  </si>
  <si>
    <t>M6*</t>
  </si>
  <si>
    <t>DN20 PN100</t>
  </si>
  <si>
    <t>M7*</t>
  </si>
  <si>
    <t>DN20 PN160</t>
  </si>
  <si>
    <t>M8*</t>
  </si>
  <si>
    <t>DN20 PN260</t>
  </si>
  <si>
    <t>ISOVALVE</t>
  </si>
  <si>
    <t>Len (mm)</t>
  </si>
  <si>
    <t>*</t>
  </si>
  <si>
    <t>8*</t>
  </si>
  <si>
    <t>6*</t>
  </si>
  <si>
    <t>9*</t>
  </si>
  <si>
    <t>5B*</t>
  </si>
  <si>
    <t>7B*</t>
  </si>
  <si>
    <t>XXX</t>
  </si>
  <si>
    <t>User supplied</t>
  </si>
  <si>
    <t>MODEL</t>
  </si>
  <si>
    <t>ACCESSORIES</t>
  </si>
  <si>
    <t>3*1,4*1,5*1,L**1,H**1</t>
  </si>
  <si>
    <t>3*2,4*2,5*2,L**2,H**2</t>
  </si>
  <si>
    <t>ES,FE</t>
  </si>
  <si>
    <t>ES,FE need more data</t>
  </si>
  <si>
    <t>30*,40*,L*0*,H*0*</t>
  </si>
  <si>
    <t>31*,41*51*,H*1</t>
  </si>
  <si>
    <t>RTJ</t>
  </si>
  <si>
    <t>End support</t>
  </si>
  <si>
    <t>GR</t>
  </si>
  <si>
    <t>Flanged ES sp</t>
  </si>
  <si>
    <t>Flanged ES std</t>
  </si>
  <si>
    <t>Override Info</t>
  </si>
  <si>
    <t>FS Length Overridden</t>
  </si>
  <si>
    <t>IsoValve Overridden</t>
  </si>
  <si>
    <t>To mm</t>
  </si>
  <si>
    <t>PED country?</t>
  </si>
  <si>
    <t>DP
(@ meter max)</t>
  </si>
  <si>
    <t>Model
No</t>
  </si>
  <si>
    <t>Flow
(@ meter max)</t>
  </si>
  <si>
    <t>Operating
Temperature</t>
  </si>
  <si>
    <t>Operating
Pressure</t>
  </si>
  <si>
    <t>Pipe
Size</t>
  </si>
  <si>
    <t>SAP Materials</t>
  </si>
  <si>
    <t>F1,F7</t>
  </si>
  <si>
    <t>F2,F7</t>
  </si>
  <si>
    <t>R3,F3,J1</t>
  </si>
  <si>
    <t>R4,F4,J2</t>
  </si>
  <si>
    <t>R5,F5,J3</t>
  </si>
  <si>
    <t>R6,F6,J4</t>
  </si>
  <si>
    <t>F2,F3,F4,F5,F6,F7</t>
  </si>
  <si>
    <t>R7,F7</t>
  </si>
  <si>
    <t>R8,F8</t>
  </si>
  <si>
    <t>T1,T2,T3,T4,T5,T6</t>
  </si>
  <si>
    <t>CH/FPD350/END/CONN/RAT</t>
  </si>
  <si>
    <t>T1,T2</t>
  </si>
  <si>
    <t>R3,F3</t>
  </si>
  <si>
    <t>R4,F4</t>
  </si>
  <si>
    <t>R5,F5</t>
  </si>
  <si>
    <t>R6,F6</t>
  </si>
  <si>
    <t>Torbar PED data using both TORWIN and SAP codes</t>
  </si>
  <si>
    <t>TORWIN</t>
  </si>
  <si>
    <t>SAP</t>
  </si>
  <si>
    <t>DATA</t>
  </si>
  <si>
    <t>CH/FPD/LINE/SIZE</t>
  </si>
  <si>
    <t>020</t>
  </si>
  <si>
    <t>032</t>
  </si>
  <si>
    <t>NOT T1,T2,T3,T4,T5,T6</t>
  </si>
  <si>
    <t>Torbar Calculation Data</t>
  </si>
  <si>
    <t>Torbar model data (100 series)</t>
  </si>
  <si>
    <t>Torbar Model data (not 100 series)</t>
  </si>
  <si>
    <t>TORWIN MODEL CODE:</t>
  </si>
  <si>
    <t>TORWIN FLANGE CODE:</t>
  </si>
  <si>
    <t>END SUPPORT</t>
  </si>
  <si>
    <t>STUD BOLTS &amp; GASKETS</t>
  </si>
  <si>
    <t>GEAR RETRACT</t>
  </si>
  <si>
    <t>CH/FPD/TEMP</t>
  </si>
  <si>
    <t>CH/FPD/END/CONN/TYPE</t>
  </si>
  <si>
    <t>CH/FPD/END/CONN/RAT</t>
  </si>
  <si>
    <t>CH/FPD/TAPPING/TYPE=NOT D1,D2,D3,D4,D5</t>
  </si>
  <si>
    <t>CH/FPD/ISO/VALVE=Y0Y</t>
  </si>
  <si>
    <t>CH/FPD/TORBAR/DES=TP4</t>
  </si>
  <si>
    <t>From SolveDP (in user units)</t>
  </si>
  <si>
    <t>CH/FPD/MOUNTING=Y0,T1,T2</t>
  </si>
  <si>
    <t>OrificeCarrier</t>
  </si>
  <si>
    <t>OrificeMetRuns</t>
  </si>
  <si>
    <t>OrificeRestrict</t>
  </si>
  <si>
    <t>Venturi</t>
  </si>
  <si>
    <t>Nozzle</t>
  </si>
  <si>
    <t>Wedge</t>
  </si>
  <si>
    <t>OrificeMeasure</t>
  </si>
  <si>
    <t>Press the "Ready: Go!" Button &gt;&gt;&gt;</t>
  </si>
  <si>
    <t>Everthing will be loaded from the SolveDP file and the relevant output generated</t>
  </si>
  <si>
    <t>Configure 266CSH Multivariable Transmitter</t>
  </si>
  <si>
    <t>2nd Gasket</t>
  </si>
  <si>
    <t>CH/FPD/END/CONN/TYPE=R4,J2,F4 AND CH/FPD/END/CONN/RAT=A1 AND CH/FPD/ISO/VALVE=BC8,BS8,BM8,BH8,BA8,GC8,GS8</t>
  </si>
  <si>
    <t>CH/FPD/END/CONN/TYPE=R4,J2,F4 AND CH/FPD/END/CONN/RAT=A3 AND CH/FPD/ISO/VALVE=BC8,BS8,BM8,BH8,BA8,GC8,GS8</t>
  </si>
  <si>
    <t>CH/FPD/END/CONN/TYPE=R4,J2,F4 AND CH/FPD/END/CONN/RAT=A6 AND CH/FPD/ISO/VALVE=BC8,BS8,BM8,BH8,BA8,GC8,GS8</t>
  </si>
  <si>
    <t>CH/FPD/END/CONN/TYPE=R4,J2,F4 AND CH/FPD/END/CONN/RAT=A7,A8 AND CH/FPD/ISO/VALVE=BC8,BS8,BM8,BH8,BA8,GC8,GS8</t>
  </si>
  <si>
    <t>CH/FPD/END/CONN/TYPE=R5,J3,F5 AND CH/FPD/END/CONN/RAT=A1 AND CH/FPD/ISO/VALVE=BC6,BS6,BM6,BH6,BA6,GC6,GS6</t>
  </si>
  <si>
    <t>CH/FPD/END/CONN/TYPE=R5,J3,F5 AND CH/FPD/END/CONN/RAT=A3 AND CH/FPD/ISO/VALVE=BC6,BS6,BM6,BH6,BA6,GC6,GS6</t>
  </si>
  <si>
    <t>CH/FPD/END/CONN/TYPE=R5,J3,F5 AND CH/FPD/END/CONN/RAT=A6 AND CH/FPD/ISO/VALVE=BC6,BS6,BM6,BH6,BA6,GC6,GS6</t>
  </si>
  <si>
    <t>CH/FPD/END/CONN/TYPE=R5,J3,F5 AND CH/FPD/END/CONN/RAT=A7,A8 AND CH/FPD/ISO/VALVE=BC6,BS6,BM6,BH6,BA6,GC6,GS6</t>
  </si>
  <si>
    <t>CH/FPD/END/CONN/TYPE=R6,J4,F6 AND CH/FPD/END/CONN/RAT=A1 AND CH/FPD/ISO/VALVE=BC9,BS9,BM9,BH9,BA9,GC9,GS9</t>
  </si>
  <si>
    <t>CH/FPD/END/CONN/TYPE=R6,J4,F6 AND CH/FPD/END/CONN/RAT=A3 AND CH/FPD/ISO/VALVE=BC9,BS9,BM9,BH9,BA9,GC9,GS9</t>
  </si>
  <si>
    <t>CH/FPD/END/CONN/TYPE=R6,J4,F6 AND CH/FPD/END/CONN/RAT=A6 AND CH/FPD/ISO/VALVE=BC9,BS9,BM9,BH9,BA9,GC9,GS9</t>
  </si>
  <si>
    <t>CH/FPD/END/CONN/TYPE=R6,J4,F6 AND CH/FPD/END/CONN/RAT=A7,A8 AND CH/FPD/ISO/VALVE=BC9,BS9,BM9,BH9,BA9,GC9,GS9</t>
  </si>
  <si>
    <t>CH/FPD/ISO/VALVE=BC7,BS7</t>
  </si>
  <si>
    <t>CH/FPD/ISO/VALVE=BC5,BS5</t>
  </si>
  <si>
    <t>CH/FPD/ISO/VALVE=VF9</t>
  </si>
  <si>
    <t>3/4" Threaded Valve</t>
  </si>
  <si>
    <t>1 1/4" Threaded Valve</t>
  </si>
  <si>
    <t>Item N°:</t>
  </si>
  <si>
    <t>Quantity:</t>
  </si>
  <si>
    <t>CH/FPD/MOUNTING=F4,F6</t>
  </si>
  <si>
    <t>CH/FPD/MOUNTING=F3,F5,F8</t>
  </si>
  <si>
    <t>Pipe Length</t>
  </si>
  <si>
    <t>CH/FPD/GASKET=GT1,NONE</t>
  </si>
  <si>
    <t>CH/FPD/GASKET=GT2</t>
  </si>
  <si>
    <t>CH/FPD/END/CONN/TYPE=J1,J2,J3,J4</t>
  </si>
  <si>
    <t>BIDIRECTIONAL</t>
  </si>
  <si>
    <t>BW</t>
  </si>
  <si>
    <t>CH/FPD/TORBAR/DES=TP5</t>
  </si>
  <si>
    <t>Bidirectional</t>
  </si>
  <si>
    <t>Bidirectional Tube</t>
  </si>
  <si>
    <t>Cooling Fins</t>
  </si>
  <si>
    <t>COOLING FINS</t>
  </si>
  <si>
    <t>CH/FPD/FITT/ACC=CF1</t>
  </si>
  <si>
    <t>CF…</t>
  </si>
  <si>
    <t>Weld Procedures:</t>
  </si>
  <si>
    <t>Standoff</t>
  </si>
  <si>
    <t>WPS Code</t>
  </si>
  <si>
    <t>Base Material</t>
  </si>
  <si>
    <t>Weld Type</t>
  </si>
  <si>
    <t>Fillet</t>
  </si>
  <si>
    <t>Stand-off butt</t>
  </si>
  <si>
    <t>TORBAR bit</t>
  </si>
  <si>
    <t>Stand-off</t>
  </si>
  <si>
    <t>CH/FPD/ELEM/MAT</t>
  </si>
  <si>
    <t>CH/FPD/NONELEM/MAT</t>
  </si>
  <si>
    <t>S3</t>
  </si>
  <si>
    <t>CH/FPD58/FITTING/MATERIAL</t>
  </si>
  <si>
    <t>Threaded Flange</t>
  </si>
  <si>
    <t>THREADED FLANGE</t>
  </si>
  <si>
    <t>CH/FPD/TORBAR/DES=TP8</t>
  </si>
  <si>
    <t>H611 Small Dia Pipe</t>
  </si>
  <si>
    <t>310 SS</t>
  </si>
  <si>
    <t>CH/FPD/TORBAR/TYPE</t>
  </si>
  <si>
    <t>CH/FPD/END/SUPT=E1 AND CH/FPD/MOUNTING=Y0,T1,F1,F7</t>
  </si>
  <si>
    <t>CH/FPD/END/SUPT=E2 AND CH/FPD/MOUNTING=T2,F2,F7</t>
  </si>
  <si>
    <t>CH/FPD/END/SUPT</t>
  </si>
  <si>
    <t>512</t>
  </si>
  <si>
    <t>See Welding Engineer</t>
  </si>
  <si>
    <t>BF58E0EA-3099-48D3-911A-6FFEDB3A0B0B</t>
  </si>
  <si>
    <t>BF58E0EA-3099-48D3-911A-6FFEDB3A0B0C</t>
  </si>
  <si>
    <t>TIN</t>
  </si>
  <si>
    <t>BF58E0EA-3099-48D3-911A-6FFEDB3A0B0D</t>
  </si>
  <si>
    <t>TAI</t>
  </si>
  <si>
    <t>BF58E0EA-3099-48D3-911A-6FFEDB3A0B0E</t>
  </si>
  <si>
    <t>TAW</t>
  </si>
  <si>
    <t>BF58E0EA-3099-48D3-911A-6FFEDB3A0B0F</t>
  </si>
  <si>
    <t>TTW</t>
  </si>
  <si>
    <t>WPS/304.F.02</t>
  </si>
  <si>
    <t>WPS/310.F.01</t>
  </si>
  <si>
    <t>WPS/316.F.02</t>
  </si>
  <si>
    <t>WPS/316H.F.01</t>
  </si>
  <si>
    <t>WPS/321.F.01</t>
  </si>
  <si>
    <t>WPS/6MO.F.01</t>
  </si>
  <si>
    <t>WPS/A400.F.01</t>
  </si>
  <si>
    <t>WPS/A625.F.01</t>
  </si>
  <si>
    <t>WPS/C276.F.01</t>
  </si>
  <si>
    <t>WPS/22CR.F.03</t>
  </si>
  <si>
    <t>WPS/25CR.F.03</t>
  </si>
  <si>
    <t>WPS/304.VB.02</t>
  </si>
  <si>
    <t>WPS/310.VB.01</t>
  </si>
  <si>
    <t>WPS/316.VB.02</t>
  </si>
  <si>
    <t>WPS/316H.VB.01</t>
  </si>
  <si>
    <t>WPS/321.VB.01</t>
  </si>
  <si>
    <t>WPS/6MO.VB.01</t>
  </si>
  <si>
    <t>WPS/A400.VB.01</t>
  </si>
  <si>
    <t>WPS/A625.VB.01</t>
  </si>
  <si>
    <t>WPS/C276.VB.01</t>
  </si>
  <si>
    <t>WPS/22CR.VB.03</t>
  </si>
  <si>
    <t>WPS/25CR.VB.03</t>
  </si>
  <si>
    <t>WPS/CS.VB.01</t>
  </si>
  <si>
    <t>WPS/F11.VB.01</t>
  </si>
  <si>
    <t>A182-F11</t>
  </si>
  <si>
    <t>316H SS</t>
  </si>
  <si>
    <t>WPS/321H.F.01</t>
  </si>
  <si>
    <t>WPS/321H.VB.01</t>
  </si>
  <si>
    <t>DN25 PN250</t>
  </si>
  <si>
    <t>DN40 PN250</t>
  </si>
  <si>
    <t>DN50 PN250</t>
  </si>
  <si>
    <t>DN80 PN250</t>
  </si>
  <si>
    <t>4" 600lb</t>
  </si>
  <si>
    <t>4" 900lb</t>
  </si>
  <si>
    <t>R3*</t>
  </si>
  <si>
    <t>R4*</t>
  </si>
  <si>
    <t>R5*</t>
  </si>
  <si>
    <t>R6*</t>
  </si>
  <si>
    <t>4" 1500lb</t>
  </si>
  <si>
    <t>4"  2500lb</t>
  </si>
  <si>
    <t>6" 600lb</t>
  </si>
  <si>
    <t>6" 900lb</t>
  </si>
  <si>
    <t>6" 1500lb</t>
  </si>
  <si>
    <t>6"  2500lb</t>
  </si>
  <si>
    <t>S3*</t>
  </si>
  <si>
    <t>S4*</t>
  </si>
  <si>
    <t>S5*</t>
  </si>
  <si>
    <t>S6*</t>
  </si>
  <si>
    <t>QWI 1 Rev01</t>
  </si>
  <si>
    <t>We certify that instrument has been tested according to the standard for this product, it is in compliance with the above mentioned characteristics and is compliant with the meter specification.</t>
  </si>
  <si>
    <t>2" 2500lb</t>
  </si>
  <si>
    <t>3" 2500lb</t>
  </si>
  <si>
    <t>1" 2500lb</t>
  </si>
  <si>
    <t>1 1/2" 2500lb</t>
  </si>
  <si>
    <t>MassNotTimeDependant</t>
  </si>
  <si>
    <t>TP7?</t>
  </si>
  <si>
    <t>ES + TP7 if applic.</t>
  </si>
  <si>
    <t>TP7</t>
  </si>
  <si>
    <t>TP1</t>
  </si>
  <si>
    <t>Solve Engineering Planning Spreadsheet</t>
  </si>
  <si>
    <t>kg</t>
  </si>
  <si>
    <t>Not fitted</t>
  </si>
  <si>
    <t>AT: Integral</t>
  </si>
  <si>
    <t>Configure Automatic Enclosure</t>
  </si>
  <si>
    <t>Order No. -</t>
  </si>
  <si>
    <t xml:space="preserve">Order Item - </t>
  </si>
  <si>
    <t>Holes - See Dwg FPD350-LAY-0001</t>
  </si>
  <si>
    <t>Model No. -</t>
  </si>
  <si>
    <t>Torbar, pressure chamber etc.</t>
  </si>
  <si>
    <t>Bar [G]</t>
  </si>
  <si>
    <t>n/a</t>
  </si>
  <si>
    <t>TKV Waste Incinerator</t>
  </si>
  <si>
    <t>5768/1/1</t>
  </si>
  <si>
    <t>75 °C</t>
  </si>
  <si>
    <t>1.068 mbar</t>
  </si>
  <si>
    <t>FPD585.M1.F3.S6.Y0.050.A1F.0.D.1.A.4.M5.B.1.AT..TP2</t>
  </si>
  <si>
    <t>None Chosen</t>
  </si>
  <si>
    <t>0-33000</t>
  </si>
  <si>
    <t>34,879.31 Sm³/h</t>
  </si>
  <si>
    <t>1.11325 bar [A]</t>
  </si>
  <si>
    <t>1.1147kg/m³</t>
  </si>
  <si>
    <t>1200 mm</t>
  </si>
  <si>
    <t>1.22 kg/m³</t>
  </si>
  <si>
    <t>D: Purge only</t>
  </si>
  <si>
    <t>Stand-off not supplied</t>
  </si>
  <si>
    <t>Bayonet Fitting</t>
  </si>
  <si>
    <t>CH/FPD/TORBAR/DES=TP7</t>
  </si>
  <si>
    <t>BAYONET</t>
  </si>
  <si>
    <t>CH/FPD/TORBAR/DES=TP2</t>
  </si>
  <si>
    <t>Planning Spreadsheet V 0.66 28/Feb/2022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</si>
</sst>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5"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2"/>
      <color rgb="FF000000"/>
      <name val="Calibri"/>
      <family val="2"/>
    </font>
    <font>
      <b/>
      <sz val="12"/>
      <color rgb="FF000000"/>
      <name val="Calibri"/>
      <family val="2"/>
    </font>
    <font>
      <b/>
      <sz val="22"/>
      <color rgb="FF0070C0"/>
      <name val="Calibri"/>
      <family val="2"/>
      <scheme val="minor"/>
    </font>
    <font>
      <i/>
      <sz val="11"/>
      <color rgb="FF0070C0"/>
      <name val="Calibri"/>
      <family val="2"/>
      <scheme val="minor"/>
    </font>
    <font>
      <sz val="9"/>
      <color theme="1"/>
      <name val="Calibri"/>
      <family val="2"/>
      <scheme val="minor"/>
    </font>
    <font>
      <sz val="10"/>
      <name val="Arial"/>
      <family val="2"/>
    </font>
    <font>
      <b/>
      <i/>
      <sz val="10"/>
      <color rgb="FFFF0000"/>
      <name val="Arial"/>
      <family val="2"/>
    </font>
    <font>
      <sz val="9"/>
      <name val="Calibri"/>
      <family val="2"/>
      <scheme val="minor"/>
    </font>
    <font>
      <i/>
      <sz val="10"/>
      <color theme="7" tint="-0.249977111117893"/>
      <name val="Arial"/>
      <family val="2"/>
    </font>
    <font>
      <b/>
      <i/>
      <sz val="36"/>
      <color rgb="FFFF0000"/>
      <name val="Arial"/>
      <family val="2"/>
    </font>
    <font>
      <sz val="8"/>
      <name val="Arial"/>
      <family val="2"/>
    </font>
    <font>
      <b/>
      <sz val="8"/>
      <name val="Arial"/>
      <family val="2"/>
    </font>
    <font>
      <b/>
      <sz val="9"/>
      <name val="Arial"/>
      <family val="2"/>
    </font>
    <font>
      <b/>
      <sz val="12"/>
      <name val="Arial"/>
      <family val="2"/>
    </font>
    <font>
      <i/>
      <sz val="8"/>
      <name val="Arial"/>
      <family val="2"/>
    </font>
    <font>
      <b/>
      <sz val="8"/>
      <color theme="8" tint="-0.249977111117893"/>
      <name val="Wingdings"/>
      <charset val="2"/>
    </font>
    <font>
      <b/>
      <sz val="8"/>
      <color theme="8" tint="-0.249977111117893"/>
      <name val="Arial"/>
      <family val="2"/>
    </font>
    <font>
      <b/>
      <sz val="8"/>
      <name val="Calibri"/>
      <family val="2"/>
    </font>
    <font>
      <sz val="10"/>
      <color rgb="FF0070C0"/>
      <name val="Arial"/>
      <family val="2"/>
    </font>
    <font>
      <b/>
      <sz val="10"/>
      <name val="Arial"/>
      <family val="2"/>
    </font>
    <font>
      <b/>
      <i/>
      <sz val="10"/>
      <name val="Arial"/>
      <family val="2"/>
    </font>
    <font>
      <sz val="10"/>
      <color rgb="FF7030A0"/>
      <name val="Arial"/>
      <family val="2"/>
    </font>
    <font>
      <i/>
      <sz val="10"/>
      <name val="Arial"/>
      <family val="2"/>
    </font>
    <font>
      <b/>
      <i/>
      <sz val="9"/>
      <name val="Calibri"/>
      <family val="2"/>
      <scheme val="minor"/>
    </font>
    <font>
      <b/>
      <sz val="9"/>
      <name val="Calibri"/>
      <family val="2"/>
      <scheme val="minor"/>
    </font>
    <font>
      <sz val="9"/>
      <color indexed="8"/>
      <name val="Calibri"/>
      <family val="2"/>
      <scheme val="minor"/>
    </font>
    <font>
      <b/>
      <i/>
      <sz val="9"/>
      <color indexed="8"/>
      <name val="Calibri"/>
      <family val="2"/>
      <scheme val="minor"/>
    </font>
    <font>
      <i/>
      <sz val="9"/>
      <name val="Calibri"/>
      <family val="2"/>
      <scheme val="minor"/>
    </font>
    <font>
      <b/>
      <sz val="9"/>
      <color indexed="8"/>
      <name val="Calibri"/>
      <family val="2"/>
      <scheme val="minor"/>
    </font>
    <font>
      <b/>
      <sz val="11"/>
      <color indexed="8"/>
      <name val="Calibri"/>
      <family val="2"/>
    </font>
    <font>
      <sz val="10"/>
      <color theme="7"/>
      <name val="Arial"/>
      <family val="2"/>
    </font>
    <font>
      <sz val="10"/>
      <color theme="1"/>
      <name val="Calibri"/>
      <family val="2"/>
    </font>
    <font>
      <sz val="10"/>
      <color rgb="FFFF0000"/>
      <name val="Arial"/>
      <family val="2"/>
    </font>
    <font>
      <sz val="10"/>
      <color theme="5" tint="-0.249977111117893"/>
      <name val="Arial"/>
      <family val="2"/>
    </font>
    <font>
      <b/>
      <sz val="11"/>
      <name val="Arial"/>
      <family val="2"/>
    </font>
    <font>
      <sz val="8"/>
      <color rgb="FF000000"/>
      <name val="Segoe UI"/>
      <family val="2"/>
    </font>
    <font>
      <b/>
      <sz val="9"/>
      <color theme="4" tint="-0.499984740745262"/>
      <name val="Calibri"/>
      <family val="2"/>
      <scheme val="minor"/>
    </font>
    <font>
      <sz val="10"/>
      <color theme="1"/>
      <name val="Arial"/>
      <family val="2"/>
    </font>
    <font>
      <sz val="10"/>
      <color theme="0"/>
      <name val="Arial"/>
      <family val="2"/>
    </font>
  </fonts>
  <fills count="1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s>
  <borders count="3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bottom style="hair">
        <color indexed="64"/>
      </bottom>
      <diagonal/>
    </border>
    <border>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diagonal/>
    </border>
    <border>
      <left/>
      <right style="hair">
        <color auto="1"/>
      </right>
      <top style="hair">
        <color auto="1"/>
      </top>
      <bottom style="hair">
        <color auto="1"/>
      </bottom>
      <diagonal/>
    </border>
    <border>
      <left style="thin">
        <color indexed="64"/>
      </left>
      <right/>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bottom style="hair">
        <color indexed="64"/>
      </bottom>
      <diagonal/>
    </border>
    <border>
      <left style="hair">
        <color indexed="64"/>
      </left>
      <right/>
      <top/>
      <bottom style="hair">
        <color indexed="64"/>
      </bottom>
      <diagonal/>
    </border>
    <border>
      <left/>
      <right style="thin">
        <color indexed="64"/>
      </right>
      <top/>
      <bottom style="hair">
        <color indexed="64"/>
      </bottom>
      <diagonal/>
    </border>
    <border>
      <left style="hair">
        <color indexed="64"/>
      </left>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s>
  <cellStyleXfs count="6">
    <xf numFmtId="0" fontId="0" fillId="0" borderId="0"/>
    <xf numFmtId="9" fontId="1" fillId="0" borderId="0" applyFont="0" applyFill="0" applyBorder="0" applyAlignment="0" applyProtection="0"/>
    <xf numFmtId="0" fontId="1" fillId="0" borderId="0"/>
    <xf numFmtId="0" fontId="11" fillId="0" borderId="0"/>
    <xf numFmtId="0" fontId="1" fillId="0" borderId="0"/>
    <xf numFmtId="0" fontId="37" fillId="0" borderId="0"/>
  </cellStyleXfs>
  <cellXfs count="377">
    <xf numFmtId="0" fontId="0" fillId="0" borderId="0" xfId="0"/>
    <xf numFmtId="0" fontId="0" fillId="0" borderId="0" xfId="0" applyFill="1" applyProtection="1"/>
    <xf numFmtId="0" fontId="0" fillId="0" borderId="0" xfId="0" applyAlignment="1">
      <alignment horizontal="right" vertical="center"/>
    </xf>
    <xf numFmtId="0" fontId="0" fillId="0" borderId="0" xfId="0" applyAlignment="1">
      <alignment horizontal="center" vertical="center"/>
    </xf>
    <xf numFmtId="0" fontId="8" fillId="0" borderId="0" xfId="0" applyFont="1"/>
    <xf numFmtId="0" fontId="8" fillId="0" borderId="0" xfId="0" applyFont="1" applyFill="1" applyProtection="1"/>
    <xf numFmtId="0" fontId="9" fillId="0" borderId="0" xfId="0" applyFont="1"/>
    <xf numFmtId="0" fontId="4" fillId="0" borderId="0" xfId="0" applyFont="1"/>
    <xf numFmtId="22" fontId="0" fillId="0" borderId="0" xfId="0" applyNumberFormat="1"/>
    <xf numFmtId="0" fontId="0" fillId="2" borderId="1" xfId="0" applyFill="1" applyBorder="1" applyAlignment="1" applyProtection="1">
      <alignment horizontal="left"/>
      <protection locked="0"/>
    </xf>
    <xf numFmtId="0" fontId="0" fillId="0" borderId="0" xfId="0" applyFill="1" applyBorder="1" applyProtection="1"/>
    <xf numFmtId="0" fontId="0" fillId="0" borderId="0" xfId="0" applyAlignment="1">
      <alignment horizontal="left"/>
    </xf>
    <xf numFmtId="49" fontId="0" fillId="0" borderId="0" xfId="0" applyNumberFormat="1"/>
    <xf numFmtId="0" fontId="0" fillId="0" borderId="0" xfId="0" applyBorder="1"/>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2" xfId="0" applyFill="1" applyBorder="1" applyAlignment="1" applyProtection="1">
      <alignment horizontal="center" vertical="center" wrapText="1"/>
    </xf>
    <xf numFmtId="49" fontId="0" fillId="0" borderId="3" xfId="0" applyNumberFormat="1" applyBorder="1" applyAlignment="1">
      <alignment horizontal="center" vertical="center" wrapText="1"/>
    </xf>
    <xf numFmtId="0" fontId="0" fillId="0" borderId="0" xfId="0" applyAlignment="1">
      <alignment vertical="center"/>
    </xf>
    <xf numFmtId="0" fontId="10" fillId="0" borderId="1" xfId="2" applyFont="1" applyBorder="1" applyAlignment="1">
      <alignment horizontal="center" vertical="center" wrapText="1"/>
    </xf>
    <xf numFmtId="0" fontId="10" fillId="0" borderId="0" xfId="2" applyFont="1" applyAlignment="1">
      <alignment horizontal="center" vertical="center" wrapText="1"/>
    </xf>
    <xf numFmtId="0" fontId="10" fillId="0" borderId="1" xfId="2" applyFont="1" applyFill="1" applyBorder="1" applyAlignment="1">
      <alignment horizontal="center" vertical="center" wrapText="1"/>
    </xf>
    <xf numFmtId="0" fontId="11" fillId="0" borderId="8" xfId="3" applyBorder="1" applyAlignment="1">
      <alignment horizontal="center" vertical="center"/>
    </xf>
    <xf numFmtId="0" fontId="11" fillId="0" borderId="0" xfId="3" applyBorder="1" applyAlignment="1">
      <alignment horizontal="center" vertical="center"/>
    </xf>
    <xf numFmtId="0" fontId="11" fillId="0" borderId="0" xfId="3" applyAlignment="1">
      <alignment horizontal="center" vertical="center"/>
    </xf>
    <xf numFmtId="0" fontId="11" fillId="0" borderId="0" xfId="3" applyBorder="1" applyAlignment="1">
      <alignment vertical="center"/>
    </xf>
    <xf numFmtId="49" fontId="11" fillId="0" borderId="0" xfId="3" applyNumberFormat="1" applyBorder="1" applyAlignment="1">
      <alignment vertical="center"/>
    </xf>
    <xf numFmtId="0" fontId="11" fillId="0" borderId="11" xfId="3" applyBorder="1" applyAlignment="1">
      <alignment horizontal="center" vertical="center"/>
    </xf>
    <xf numFmtId="0" fontId="11" fillId="0" borderId="10" xfId="3" applyBorder="1" applyAlignment="1">
      <alignment horizontal="center" vertical="center"/>
    </xf>
    <xf numFmtId="0" fontId="11" fillId="0" borderId="0" xfId="3" applyFont="1" applyBorder="1" applyAlignment="1">
      <alignment horizontal="left" vertical="center"/>
    </xf>
    <xf numFmtId="0" fontId="11" fillId="0" borderId="9" xfId="3" applyBorder="1" applyAlignment="1">
      <alignment horizontal="center" vertical="center"/>
    </xf>
    <xf numFmtId="0" fontId="11" fillId="0" borderId="0" xfId="3" applyFont="1" applyFill="1" applyBorder="1" applyAlignment="1">
      <alignment horizontal="center" vertical="center"/>
    </xf>
    <xf numFmtId="0" fontId="11" fillId="0" borderId="0" xfId="3" applyFill="1" applyBorder="1" applyAlignment="1">
      <alignment horizontal="center" vertical="center"/>
    </xf>
    <xf numFmtId="0" fontId="13" fillId="0" borderId="0" xfId="3" applyFont="1" applyFill="1" applyBorder="1" applyAlignment="1">
      <alignment horizontal="center"/>
    </xf>
    <xf numFmtId="0" fontId="11" fillId="0" borderId="0" xfId="3" applyFill="1" applyAlignment="1">
      <alignment horizontal="center" vertical="center"/>
    </xf>
    <xf numFmtId="0" fontId="11" fillId="0" borderId="0" xfId="3"/>
    <xf numFmtId="0" fontId="17" fillId="0" borderId="1" xfId="3" applyFont="1" applyBorder="1" applyAlignment="1">
      <alignment horizontal="center" vertical="center"/>
    </xf>
    <xf numFmtId="0" fontId="11" fillId="0" borderId="0" xfId="3" applyBorder="1"/>
    <xf numFmtId="0" fontId="11" fillId="0" borderId="0" xfId="3" applyFont="1" applyBorder="1" applyAlignment="1">
      <alignment horizontal="left" vertical="center" wrapText="1"/>
    </xf>
    <xf numFmtId="0" fontId="16" fillId="0" borderId="0" xfId="3" applyFont="1" applyBorder="1" applyAlignment="1">
      <alignment horizontal="center" vertical="center" wrapText="1"/>
    </xf>
    <xf numFmtId="0" fontId="24" fillId="0" borderId="0" xfId="3" applyFont="1" applyBorder="1" applyAlignment="1">
      <alignment horizontal="center"/>
    </xf>
    <xf numFmtId="0" fontId="16" fillId="0" borderId="7" xfId="3" applyFont="1" applyBorder="1"/>
    <xf numFmtId="0" fontId="16" fillId="0" borderId="8" xfId="3" applyFont="1" applyBorder="1"/>
    <xf numFmtId="0" fontId="11" fillId="0" borderId="9" xfId="3" applyBorder="1"/>
    <xf numFmtId="0" fontId="16" fillId="0" borderId="9" xfId="3" applyFont="1" applyBorder="1"/>
    <xf numFmtId="0" fontId="25" fillId="0" borderId="13" xfId="3" applyFont="1" applyBorder="1"/>
    <xf numFmtId="0" fontId="11" fillId="0" borderId="14" xfId="3" applyFont="1" applyBorder="1"/>
    <xf numFmtId="0" fontId="11" fillId="0" borderId="12" xfId="3" applyFont="1" applyBorder="1"/>
    <xf numFmtId="0" fontId="11" fillId="0" borderId="13" xfId="3" applyFont="1" applyBorder="1"/>
    <xf numFmtId="0" fontId="11" fillId="0" borderId="0" xfId="3" applyAlignment="1">
      <alignment wrapText="1"/>
    </xf>
    <xf numFmtId="0" fontId="27" fillId="0" borderId="0" xfId="3" applyFont="1" applyBorder="1" applyAlignment="1">
      <alignment horizontal="left"/>
    </xf>
    <xf numFmtId="0" fontId="11" fillId="0" borderId="11" xfId="3" applyBorder="1"/>
    <xf numFmtId="0" fontId="11" fillId="0" borderId="10" xfId="3" applyBorder="1"/>
    <xf numFmtId="0" fontId="28" fillId="0" borderId="1" xfId="3" applyFont="1" applyBorder="1"/>
    <xf numFmtId="0" fontId="11" fillId="0" borderId="10" xfId="3" applyBorder="1" applyAlignment="1"/>
    <xf numFmtId="0" fontId="11" fillId="0" borderId="0" xfId="3" applyBorder="1" applyAlignment="1"/>
    <xf numFmtId="0" fontId="28" fillId="0" borderId="1" xfId="3" applyFont="1" applyBorder="1" applyAlignment="1"/>
    <xf numFmtId="0" fontId="11" fillId="0" borderId="11" xfId="3" applyBorder="1" applyAlignment="1"/>
    <xf numFmtId="0" fontId="11" fillId="0" borderId="0" xfId="3" applyAlignment="1"/>
    <xf numFmtId="0" fontId="28" fillId="0" borderId="0" xfId="3" applyFont="1" applyBorder="1"/>
    <xf numFmtId="0" fontId="27" fillId="0" borderId="0" xfId="3" applyFont="1" applyBorder="1"/>
    <xf numFmtId="0" fontId="11" fillId="0" borderId="10" xfId="3" applyFont="1" applyBorder="1"/>
    <xf numFmtId="0" fontId="11" fillId="0" borderId="0" xfId="3" applyFont="1" applyBorder="1"/>
    <xf numFmtId="0" fontId="11" fillId="0" borderId="11" xfId="3" applyFont="1" applyBorder="1"/>
    <xf numFmtId="0" fontId="11" fillId="0" borderId="0" xfId="3" applyFont="1"/>
    <xf numFmtId="0" fontId="11" fillId="0" borderId="10" xfId="3" applyFont="1" applyBorder="1" applyAlignment="1">
      <alignment horizontal="left" vertical="center" wrapText="1"/>
    </xf>
    <xf numFmtId="0" fontId="11" fillId="0" borderId="11" xfId="3" applyFont="1" applyBorder="1" applyAlignment="1">
      <alignment horizontal="left" vertical="center" wrapText="1"/>
    </xf>
    <xf numFmtId="0" fontId="16" fillId="0" borderId="10" xfId="3" applyFont="1" applyBorder="1" applyAlignment="1">
      <alignment horizontal="center" vertical="center" wrapText="1"/>
    </xf>
    <xf numFmtId="0" fontId="24" fillId="0" borderId="11" xfId="3" applyFont="1" applyBorder="1" applyAlignment="1">
      <alignment horizontal="center"/>
    </xf>
    <xf numFmtId="0" fontId="11" fillId="0" borderId="12" xfId="3" applyBorder="1"/>
    <xf numFmtId="0" fontId="11" fillId="0" borderId="13" xfId="3" applyBorder="1"/>
    <xf numFmtId="0" fontId="27" fillId="0" borderId="13" xfId="3" applyFont="1" applyBorder="1"/>
    <xf numFmtId="0" fontId="11" fillId="0" borderId="14" xfId="3" applyBorder="1"/>
    <xf numFmtId="0" fontId="27" fillId="0" borderId="0" xfId="3" applyFont="1"/>
    <xf numFmtId="0" fontId="13" fillId="0" borderId="0" xfId="3" applyFont="1" applyBorder="1" applyAlignment="1">
      <alignment horizontal="center"/>
    </xf>
    <xf numFmtId="0" fontId="29" fillId="0" borderId="0" xfId="3" applyFont="1" applyBorder="1" applyAlignment="1">
      <alignment horizontal="center"/>
    </xf>
    <xf numFmtId="0" fontId="30" fillId="0" borderId="0" xfId="3" applyFont="1" applyBorder="1" applyAlignment="1">
      <alignment horizontal="center"/>
    </xf>
    <xf numFmtId="0" fontId="29" fillId="0" borderId="1" xfId="3" applyFont="1" applyBorder="1" applyAlignment="1">
      <alignment horizontal="center"/>
    </xf>
    <xf numFmtId="0" fontId="13" fillId="0" borderId="1" xfId="3" applyFont="1" applyBorder="1" applyAlignment="1">
      <alignment horizontal="center"/>
    </xf>
    <xf numFmtId="0" fontId="10" fillId="0" borderId="0" xfId="0" applyFont="1" applyFill="1" applyBorder="1" applyAlignment="1">
      <alignment horizontal="center"/>
    </xf>
    <xf numFmtId="0" fontId="31" fillId="0" borderId="0" xfId="4" applyNumberFormat="1" applyFont="1" applyFill="1" applyBorder="1" applyAlignment="1" applyProtection="1">
      <alignment horizontal="center"/>
    </xf>
    <xf numFmtId="0" fontId="32" fillId="0" borderId="0" xfId="4" applyNumberFormat="1" applyFont="1" applyFill="1" applyBorder="1" applyAlignment="1" applyProtection="1">
      <alignment horizontal="center"/>
    </xf>
    <xf numFmtId="0" fontId="29" fillId="0" borderId="0" xfId="3" applyFont="1" applyFill="1" applyBorder="1" applyAlignment="1">
      <alignment horizontal="center"/>
    </xf>
    <xf numFmtId="0" fontId="31" fillId="0" borderId="0" xfId="2" applyNumberFormat="1" applyFont="1" applyFill="1" applyBorder="1" applyAlignment="1" applyProtection="1">
      <alignment horizontal="center"/>
    </xf>
    <xf numFmtId="0" fontId="31" fillId="0" borderId="0" xfId="2" applyNumberFormat="1" applyFont="1" applyFill="1" applyBorder="1" applyAlignment="1" applyProtection="1">
      <alignment horizontal="left"/>
    </xf>
    <xf numFmtId="0" fontId="13" fillId="5" borderId="0" xfId="3" applyFont="1" applyFill="1" applyBorder="1" applyAlignment="1">
      <alignment horizontal="center"/>
    </xf>
    <xf numFmtId="0" fontId="29" fillId="0" borderId="1" xfId="3" applyFont="1" applyFill="1" applyBorder="1" applyAlignment="1">
      <alignment horizontal="center"/>
    </xf>
    <xf numFmtId="0" fontId="13" fillId="0" borderId="1" xfId="3" applyFont="1" applyFill="1" applyBorder="1" applyAlignment="1">
      <alignment horizontal="center"/>
    </xf>
    <xf numFmtId="0" fontId="13" fillId="0" borderId="0" xfId="4" applyNumberFormat="1" applyFont="1" applyFill="1" applyBorder="1" applyAlignment="1" applyProtection="1">
      <alignment horizontal="center"/>
    </xf>
    <xf numFmtId="0" fontId="13" fillId="0" borderId="0" xfId="2" applyNumberFormat="1" applyFont="1" applyFill="1" applyBorder="1" applyAlignment="1" applyProtection="1">
      <alignment horizontal="center"/>
    </xf>
    <xf numFmtId="0" fontId="33" fillId="0" borderId="0" xfId="3" applyFont="1" applyFill="1" applyBorder="1" applyAlignment="1">
      <alignment horizontal="center"/>
    </xf>
    <xf numFmtId="0" fontId="34" fillId="0" borderId="0" xfId="3" applyFont="1" applyBorder="1" applyAlignment="1">
      <alignment horizontal="center"/>
    </xf>
    <xf numFmtId="0" fontId="30" fillId="0" borderId="1" xfId="3" applyFont="1" applyBorder="1" applyAlignment="1">
      <alignment horizontal="center"/>
    </xf>
    <xf numFmtId="0" fontId="13" fillId="0" borderId="1" xfId="3" applyFont="1" applyBorder="1" applyAlignment="1">
      <alignment horizontal="left" vertical="top"/>
    </xf>
    <xf numFmtId="0" fontId="13" fillId="0" borderId="0" xfId="3" applyFont="1" applyBorder="1" applyAlignment="1">
      <alignment horizontal="left"/>
    </xf>
    <xf numFmtId="0" fontId="33" fillId="0" borderId="0" xfId="3" applyFont="1" applyBorder="1" applyAlignment="1">
      <alignment horizontal="center"/>
    </xf>
    <xf numFmtId="49" fontId="30" fillId="0" borderId="1" xfId="3" applyNumberFormat="1" applyFont="1" applyBorder="1" applyAlignment="1">
      <alignment horizontal="left"/>
    </xf>
    <xf numFmtId="0" fontId="33" fillId="0" borderId="0" xfId="3" applyFont="1" applyBorder="1" applyAlignment="1">
      <alignment horizontal="left"/>
    </xf>
    <xf numFmtId="49" fontId="30" fillId="0" borderId="1" xfId="3" quotePrefix="1" applyNumberFormat="1" applyFont="1" applyBorder="1" applyAlignment="1">
      <alignment horizontal="left"/>
    </xf>
    <xf numFmtId="0" fontId="3" fillId="0" borderId="0" xfId="0" applyFont="1"/>
    <xf numFmtId="0" fontId="2" fillId="0" borderId="0" xfId="0" applyFont="1"/>
    <xf numFmtId="0" fontId="35" fillId="0" borderId="0" xfId="3" applyFont="1"/>
    <xf numFmtId="0" fontId="25" fillId="0" borderId="0" xfId="3" applyFont="1"/>
    <xf numFmtId="11" fontId="0" fillId="0" borderId="0" xfId="0" applyNumberFormat="1"/>
    <xf numFmtId="0" fontId="0" fillId="5" borderId="0" xfId="0" quotePrefix="1" applyFill="1"/>
    <xf numFmtId="20" fontId="0" fillId="0" borderId="0" xfId="0" applyNumberFormat="1"/>
    <xf numFmtId="0" fontId="0" fillId="0" borderId="10" xfId="0" applyBorder="1" applyAlignment="1">
      <alignment horizontal="center" vertical="center" wrapText="1"/>
    </xf>
    <xf numFmtId="0" fontId="11" fillId="0" borderId="8" xfId="3" applyFont="1" applyBorder="1" applyAlignment="1">
      <alignment horizontal="center" vertical="center"/>
    </xf>
    <xf numFmtId="0" fontId="11" fillId="0" borderId="9" xfId="3" applyFont="1" applyBorder="1" applyAlignment="1">
      <alignment horizontal="center" vertical="center"/>
    </xf>
    <xf numFmtId="0" fontId="11" fillId="0" borderId="11" xfId="3" applyFont="1" applyBorder="1" applyAlignment="1">
      <alignment horizontal="center" vertical="center"/>
    </xf>
    <xf numFmtId="0" fontId="11" fillId="0" borderId="13" xfId="3" applyFont="1" applyBorder="1" applyAlignment="1">
      <alignment horizontal="center" vertical="center"/>
    </xf>
    <xf numFmtId="0" fontId="11" fillId="0" borderId="14" xfId="3" applyFont="1" applyBorder="1" applyAlignment="1">
      <alignment horizontal="center" vertical="center"/>
    </xf>
    <xf numFmtId="0" fontId="36" fillId="0" borderId="0" xfId="3" applyFont="1" applyFill="1" applyBorder="1"/>
    <xf numFmtId="0" fontId="11" fillId="0" borderId="0" xfId="3" applyFill="1" applyBorder="1"/>
    <xf numFmtId="0" fontId="0" fillId="6" borderId="1" xfId="0" applyFill="1" applyBorder="1" applyAlignment="1">
      <alignment horizontal="center" vertical="center" wrapText="1"/>
    </xf>
    <xf numFmtId="0" fontId="11" fillId="0" borderId="13" xfId="3" applyBorder="1" applyAlignment="1">
      <alignment horizontal="center" vertical="center"/>
    </xf>
    <xf numFmtId="0" fontId="11" fillId="0" borderId="13" xfId="3" applyFont="1" applyBorder="1" applyAlignment="1">
      <alignment horizontal="left" vertical="center"/>
    </xf>
    <xf numFmtId="0" fontId="11" fillId="0" borderId="0" xfId="0" applyFont="1" applyFill="1"/>
    <xf numFmtId="0" fontId="11" fillId="5" borderId="0" xfId="3" applyFill="1" applyBorder="1" applyAlignment="1">
      <alignment horizontal="center" vertical="center"/>
    </xf>
    <xf numFmtId="0" fontId="28" fillId="0" borderId="0" xfId="3" applyFont="1" applyFill="1" applyBorder="1" applyAlignment="1"/>
    <xf numFmtId="0" fontId="11" fillId="0" borderId="0" xfId="3" applyFill="1" applyBorder="1" applyAlignment="1">
      <alignment horizontal="left"/>
    </xf>
    <xf numFmtId="0" fontId="11" fillId="0" borderId="0" xfId="3" applyFont="1" applyFill="1" applyBorder="1" applyAlignment="1">
      <alignment horizontal="center"/>
    </xf>
    <xf numFmtId="0" fontId="11" fillId="0" borderId="0" xfId="3" applyFill="1" applyBorder="1" applyAlignment="1">
      <alignment horizontal="center"/>
    </xf>
    <xf numFmtId="0" fontId="11" fillId="0" borderId="7" xfId="3" applyBorder="1" applyAlignment="1">
      <alignment horizontal="center" vertical="center"/>
    </xf>
    <xf numFmtId="0" fontId="11" fillId="0" borderId="12" xfId="3" applyBorder="1" applyAlignment="1">
      <alignment horizontal="center" vertical="center"/>
    </xf>
    <xf numFmtId="0" fontId="11" fillId="0" borderId="14" xfId="3" applyBorder="1" applyAlignment="1">
      <alignment horizontal="center" vertical="center"/>
    </xf>
    <xf numFmtId="0" fontId="11" fillId="7" borderId="0" xfId="3" applyFill="1" applyBorder="1" applyAlignment="1">
      <alignment horizontal="center" vertical="center"/>
    </xf>
    <xf numFmtId="0" fontId="11" fillId="8" borderId="0" xfId="3" applyFill="1" applyBorder="1" applyAlignment="1">
      <alignment horizontal="center" vertical="center"/>
    </xf>
    <xf numFmtId="0" fontId="11" fillId="8" borderId="11" xfId="3" applyFont="1" applyFill="1" applyBorder="1" applyAlignment="1">
      <alignment horizontal="center" vertical="center"/>
    </xf>
    <xf numFmtId="0" fontId="11" fillId="0" borderId="0" xfId="3" applyFont="1" applyFill="1" applyBorder="1" applyAlignment="1">
      <alignment horizontal="left" vertical="center"/>
    </xf>
    <xf numFmtId="2" fontId="11" fillId="0" borderId="0" xfId="3" applyNumberFormat="1"/>
    <xf numFmtId="0" fontId="28" fillId="0" borderId="0" xfId="3" applyFont="1" applyFill="1" applyBorder="1" applyAlignment="1">
      <alignment horizontal="left"/>
    </xf>
    <xf numFmtId="0" fontId="11" fillId="0" borderId="0" xfId="3" applyBorder="1" applyAlignment="1">
      <alignment horizontal="left"/>
    </xf>
    <xf numFmtId="0" fontId="11" fillId="0" borderId="0" xfId="3" applyFont="1" applyBorder="1" applyAlignment="1">
      <alignment horizontal="left"/>
    </xf>
    <xf numFmtId="0" fontId="11" fillId="0" borderId="0" xfId="3" applyFont="1" applyFill="1" applyBorder="1" applyAlignment="1"/>
    <xf numFmtId="0" fontId="0" fillId="0" borderId="1" xfId="0" applyFill="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11" fillId="0" borderId="0" xfId="3" applyBorder="1" applyAlignment="1">
      <alignment horizontal="left" vertical="center"/>
    </xf>
    <xf numFmtId="0" fontId="11" fillId="0" borderId="0" xfId="3" applyBorder="1" applyAlignment="1">
      <alignment horizontal="center"/>
    </xf>
    <xf numFmtId="0" fontId="11" fillId="0" borderId="0" xfId="3" applyFont="1" applyBorder="1" applyAlignment="1">
      <alignment horizontal="center" vertical="center"/>
    </xf>
    <xf numFmtId="0" fontId="36" fillId="0" borderId="0" xfId="3" applyFont="1" applyFill="1" applyBorder="1" applyAlignment="1">
      <alignment horizontal="center"/>
    </xf>
    <xf numFmtId="0" fontId="11" fillId="7" borderId="13" xfId="3" applyFill="1" applyBorder="1" applyAlignment="1">
      <alignment horizontal="center" vertical="center"/>
    </xf>
    <xf numFmtId="0" fontId="11" fillId="4" borderId="1" xfId="3" applyFill="1" applyBorder="1" applyAlignment="1">
      <alignment horizontal="center"/>
    </xf>
    <xf numFmtId="0" fontId="11" fillId="5" borderId="0" xfId="3" applyFont="1" applyFill="1"/>
    <xf numFmtId="0" fontId="28" fillId="5" borderId="0" xfId="3" applyFont="1" applyFill="1" applyBorder="1" applyAlignment="1"/>
    <xf numFmtId="0" fontId="28" fillId="0" borderId="0" xfId="3" applyFont="1" applyBorder="1" applyAlignment="1">
      <alignment horizontal="left"/>
    </xf>
    <xf numFmtId="0" fontId="11" fillId="5" borderId="0" xfId="3" applyFill="1" applyBorder="1" applyAlignment="1"/>
    <xf numFmtId="0" fontId="11" fillId="0" borderId="0" xfId="3" applyFill="1" applyBorder="1" applyAlignment="1"/>
    <xf numFmtId="0" fontId="11" fillId="5" borderId="0" xfId="3" applyFill="1" applyBorder="1" applyAlignment="1">
      <alignment vertical="center"/>
    </xf>
    <xf numFmtId="0" fontId="11" fillId="4" borderId="0" xfId="3" applyFill="1" applyBorder="1"/>
    <xf numFmtId="0" fontId="11" fillId="0" borderId="0" xfId="3" applyBorder="1" applyAlignment="1">
      <alignment horizontal="center"/>
    </xf>
    <xf numFmtId="0" fontId="11" fillId="0" borderId="0" xfId="3" applyFont="1" applyBorder="1" applyAlignment="1">
      <alignment horizontal="center" vertical="center" wrapText="1"/>
    </xf>
    <xf numFmtId="0" fontId="11" fillId="0" borderId="0" xfId="3" applyFont="1" applyBorder="1" applyAlignment="1">
      <alignment horizontal="center" vertical="center"/>
    </xf>
    <xf numFmtId="49" fontId="11" fillId="3" borderId="0" xfId="0" applyNumberFormat="1" applyFont="1" applyFill="1" applyBorder="1" applyAlignment="1">
      <alignment horizontal="left"/>
    </xf>
    <xf numFmtId="0" fontId="11" fillId="3" borderId="0" xfId="3" applyFill="1" applyBorder="1" applyAlignment="1">
      <alignment horizontal="left" vertical="center"/>
    </xf>
    <xf numFmtId="0" fontId="11" fillId="3" borderId="0" xfId="3" applyFill="1" applyBorder="1" applyAlignment="1">
      <alignment horizontal="left"/>
    </xf>
    <xf numFmtId="0" fontId="25" fillId="0" borderId="0" xfId="3" applyFont="1" applyBorder="1"/>
    <xf numFmtId="0" fontId="11" fillId="0" borderId="0" xfId="3" applyFont="1" applyFill="1" applyBorder="1"/>
    <xf numFmtId="0" fontId="11" fillId="3" borderId="0" xfId="3" applyFont="1" applyFill="1" applyBorder="1" applyAlignment="1">
      <alignment horizontal="left"/>
    </xf>
    <xf numFmtId="0" fontId="11" fillId="0" borderId="0" xfId="3" quotePrefix="1" applyFont="1" applyFill="1" applyBorder="1"/>
    <xf numFmtId="0" fontId="11" fillId="3" borderId="0" xfId="3" quotePrefix="1" applyFont="1" applyFill="1" applyBorder="1" applyAlignment="1">
      <alignment horizontal="left"/>
    </xf>
    <xf numFmtId="0" fontId="39" fillId="0" borderId="0" xfId="3" applyFont="1" applyFill="1" applyBorder="1"/>
    <xf numFmtId="0" fontId="39" fillId="0" borderId="0" xfId="3" quotePrefix="1" applyFont="1" applyFill="1" applyBorder="1"/>
    <xf numFmtId="0" fontId="39" fillId="0" borderId="0" xfId="3" applyFont="1" applyFill="1" applyBorder="1" applyAlignment="1">
      <alignment horizontal="left"/>
    </xf>
    <xf numFmtId="0" fontId="11" fillId="3" borderId="0" xfId="3" quotePrefix="1" applyFill="1" applyBorder="1" applyAlignment="1">
      <alignment horizontal="center" vertical="center"/>
    </xf>
    <xf numFmtId="0" fontId="11" fillId="3" borderId="0" xfId="3" applyFill="1" applyBorder="1" applyAlignment="1">
      <alignment horizontal="center" vertical="center"/>
    </xf>
    <xf numFmtId="0" fontId="11" fillId="3" borderId="0" xfId="3" applyFont="1" applyFill="1" applyBorder="1" applyAlignment="1">
      <alignment horizontal="center" vertical="center"/>
    </xf>
    <xf numFmtId="0" fontId="11" fillId="3" borderId="0" xfId="3" quotePrefix="1" applyFont="1" applyFill="1" applyBorder="1" applyAlignment="1">
      <alignment horizontal="center" vertical="center"/>
    </xf>
    <xf numFmtId="0" fontId="11" fillId="9" borderId="7" xfId="3" applyFill="1" applyBorder="1"/>
    <xf numFmtId="0" fontId="11" fillId="9" borderId="9" xfId="3" applyFill="1" applyBorder="1"/>
    <xf numFmtId="0" fontId="11" fillId="9" borderId="12" xfId="3" applyFill="1" applyBorder="1"/>
    <xf numFmtId="0" fontId="11" fillId="9" borderId="14" xfId="3" applyFill="1" applyBorder="1"/>
    <xf numFmtId="0" fontId="25" fillId="0" borderId="0" xfId="3" applyFont="1" applyFill="1" applyBorder="1"/>
    <xf numFmtId="0" fontId="11" fillId="3" borderId="0" xfId="3" applyFont="1" applyFill="1" applyBorder="1"/>
    <xf numFmtId="0" fontId="11" fillId="3" borderId="0" xfId="3" quotePrefix="1" applyFont="1" applyFill="1" applyBorder="1"/>
    <xf numFmtId="0" fontId="39" fillId="0" borderId="0" xfId="3" applyFont="1" applyFill="1" applyBorder="1" applyAlignment="1">
      <alignment horizontal="center"/>
    </xf>
    <xf numFmtId="0" fontId="40" fillId="0" borderId="0" xfId="3" applyFont="1" applyFill="1" applyBorder="1"/>
    <xf numFmtId="0" fontId="40" fillId="0" borderId="0" xfId="3" applyFont="1"/>
    <xf numFmtId="49" fontId="38" fillId="3" borderId="0" xfId="0" applyNumberFormat="1" applyFont="1" applyFill="1" applyBorder="1" applyAlignment="1">
      <alignment horizontal="left"/>
    </xf>
    <xf numFmtId="0" fontId="38" fillId="3" borderId="0" xfId="3" applyFont="1" applyFill="1" applyBorder="1" applyAlignment="1">
      <alignment horizontal="left"/>
    </xf>
    <xf numFmtId="0" fontId="2" fillId="3" borderId="0" xfId="0" applyFont="1" applyFill="1"/>
    <xf numFmtId="0" fontId="28" fillId="0" borderId="0" xfId="3" applyNumberFormat="1" applyFont="1" applyFill="1" applyBorder="1" applyAlignment="1"/>
    <xf numFmtId="0" fontId="28" fillId="5" borderId="0" xfId="3" applyNumberFormat="1" applyFont="1" applyFill="1" applyBorder="1" applyAlignment="1"/>
    <xf numFmtId="0" fontId="11" fillId="0" borderId="0" xfId="3" applyNumberFormat="1" applyFill="1" applyBorder="1" applyAlignment="1"/>
    <xf numFmtId="0" fontId="11" fillId="5" borderId="0" xfId="3" applyNumberFormat="1" applyFill="1" applyBorder="1" applyAlignment="1"/>
    <xf numFmtId="0" fontId="39" fillId="0" borderId="0" xfId="3" applyFont="1" applyFill="1" applyBorder="1" applyAlignment="1"/>
    <xf numFmtId="0" fontId="11" fillId="3" borderId="0" xfId="3" applyFont="1" applyFill="1" applyBorder="1" applyAlignment="1">
      <alignment horizontal="left" vertical="center"/>
    </xf>
    <xf numFmtId="49" fontId="11" fillId="0" borderId="0" xfId="3" applyNumberFormat="1" applyBorder="1"/>
    <xf numFmtId="49" fontId="10" fillId="0" borderId="0" xfId="0" applyNumberFormat="1" applyFont="1" applyAlignment="1">
      <alignment horizontal="right" vertical="center" wrapText="1"/>
    </xf>
    <xf numFmtId="0" fontId="10" fillId="0" borderId="0" xfId="0" applyFont="1"/>
    <xf numFmtId="0" fontId="0" fillId="0" borderId="0" xfId="0" applyNumberFormat="1" applyAlignment="1">
      <alignment horizontal="center" vertical="center" wrapText="1"/>
    </xf>
    <xf numFmtId="0" fontId="0" fillId="2" borderId="1" xfId="0" quotePrefix="1" applyFill="1" applyBorder="1" applyAlignment="1" applyProtection="1">
      <alignment horizontal="left"/>
      <protection locked="0"/>
    </xf>
    <xf numFmtId="0" fontId="11" fillId="0" borderId="9" xfId="3" applyBorder="1" applyAlignment="1">
      <alignment horizontal="center"/>
    </xf>
    <xf numFmtId="0" fontId="11" fillId="0" borderId="11" xfId="3" applyBorder="1" applyAlignment="1">
      <alignment horizontal="center"/>
    </xf>
    <xf numFmtId="0" fontId="11" fillId="0" borderId="14" xfId="3" applyBorder="1" applyAlignment="1">
      <alignment horizontal="center"/>
    </xf>
    <xf numFmtId="49" fontId="11" fillId="5" borderId="0" xfId="0" applyNumberFormat="1" applyFont="1" applyFill="1" applyBorder="1" applyAlignment="1">
      <alignment horizontal="left"/>
    </xf>
    <xf numFmtId="49" fontId="4" fillId="0" borderId="0" xfId="0" applyNumberFormat="1" applyFont="1" applyAlignment="1">
      <alignment horizontal="center" vertical="center" wrapText="1"/>
    </xf>
    <xf numFmtId="0" fontId="42" fillId="0" borderId="1" xfId="0" applyFont="1" applyBorder="1" applyAlignment="1">
      <alignment horizontal="center" vertical="center"/>
    </xf>
    <xf numFmtId="0" fontId="10" fillId="0" borderId="5" xfId="0" applyFont="1" applyBorder="1" applyAlignment="1">
      <alignment horizontal="center" vertical="center"/>
    </xf>
    <xf numFmtId="0" fontId="10" fillId="0" borderId="1" xfId="0" applyFont="1" applyBorder="1" applyAlignment="1">
      <alignment horizontal="left" vertical="center"/>
    </xf>
    <xf numFmtId="0" fontId="42" fillId="0" borderId="5" xfId="0" applyFont="1" applyBorder="1" applyAlignment="1">
      <alignment horizontal="center" vertical="center"/>
    </xf>
    <xf numFmtId="49" fontId="10" fillId="0" borderId="1" xfId="2" applyNumberFormat="1" applyFont="1" applyBorder="1" applyAlignment="1">
      <alignment horizontal="center" vertical="center" wrapText="1"/>
    </xf>
    <xf numFmtId="0" fontId="12" fillId="0" borderId="0" xfId="3" applyFont="1" applyBorder="1" applyAlignment="1">
      <alignment horizontal="left" vertical="center"/>
    </xf>
    <xf numFmtId="0" fontId="12" fillId="0" borderId="10" xfId="3" applyFont="1" applyBorder="1" applyAlignment="1">
      <alignment horizontal="left" vertical="center"/>
    </xf>
    <xf numFmtId="0" fontId="12" fillId="0" borderId="10" xfId="0" applyFont="1" applyBorder="1" applyAlignment="1">
      <alignment horizontal="left" vertical="center"/>
    </xf>
    <xf numFmtId="0" fontId="11" fillId="0" borderId="0" xfId="3" applyFont="1" applyBorder="1" applyAlignment="1">
      <alignment horizontal="center" vertical="center"/>
    </xf>
    <xf numFmtId="0" fontId="11" fillId="0" borderId="7" xfId="3" applyFont="1" applyBorder="1" applyAlignment="1">
      <alignment horizontal="left" vertical="center"/>
    </xf>
    <xf numFmtId="0" fontId="11" fillId="0" borderId="10" xfId="3" applyFont="1" applyBorder="1" applyAlignment="1">
      <alignment horizontal="left" vertical="center"/>
    </xf>
    <xf numFmtId="0" fontId="11" fillId="0" borderId="11" xfId="3" applyFont="1" applyBorder="1" applyAlignment="1">
      <alignment horizontal="left" vertical="center"/>
    </xf>
    <xf numFmtId="0" fontId="11" fillId="0" borderId="0" xfId="3" applyFont="1" applyBorder="1" applyAlignment="1">
      <alignment vertical="center"/>
    </xf>
    <xf numFmtId="0" fontId="11" fillId="0" borderId="10" xfId="3" applyFont="1" applyBorder="1" applyAlignment="1">
      <alignment horizontal="center" vertical="center"/>
    </xf>
    <xf numFmtId="0" fontId="11" fillId="0" borderId="12" xfId="3" applyFont="1" applyBorder="1" applyAlignment="1">
      <alignment horizontal="center" vertical="center"/>
    </xf>
    <xf numFmtId="0" fontId="11" fillId="0" borderId="0" xfId="3" applyFont="1" applyAlignment="1">
      <alignment horizontal="center" vertical="center"/>
    </xf>
    <xf numFmtId="0" fontId="11" fillId="0" borderId="0" xfId="3" applyFont="1" applyBorder="1" applyAlignment="1">
      <alignment horizontal="center" vertical="center"/>
    </xf>
    <xf numFmtId="0" fontId="43" fillId="0" borderId="10" xfId="0" applyFont="1" applyBorder="1" applyAlignment="1">
      <alignment horizontal="left" vertical="center"/>
    </xf>
    <xf numFmtId="0" fontId="43" fillId="0" borderId="0" xfId="0" applyFont="1" applyBorder="1" applyAlignment="1">
      <alignment horizontal="center" vertical="center"/>
    </xf>
    <xf numFmtId="0" fontId="43" fillId="0" borderId="11" xfId="0" applyFont="1" applyBorder="1" applyAlignment="1">
      <alignment horizontal="center" vertical="center"/>
    </xf>
    <xf numFmtId="164" fontId="43" fillId="0" borderId="0" xfId="0" applyNumberFormat="1" applyFont="1" applyBorder="1" applyAlignment="1">
      <alignment horizontal="center" vertical="center"/>
    </xf>
    <xf numFmtId="0" fontId="43" fillId="0" borderId="10" xfId="0" applyFont="1" applyBorder="1" applyAlignment="1">
      <alignment horizontal="center" vertical="center"/>
    </xf>
    <xf numFmtId="0" fontId="43" fillId="0" borderId="12" xfId="0" applyFont="1" applyBorder="1" applyAlignment="1">
      <alignment horizontal="center" vertical="center"/>
    </xf>
    <xf numFmtId="0" fontId="43" fillId="0" borderId="13" xfId="0" applyFont="1" applyBorder="1" applyAlignment="1">
      <alignment horizontal="center" vertical="center"/>
    </xf>
    <xf numFmtId="0" fontId="43" fillId="0" borderId="14" xfId="0" applyFont="1" applyBorder="1" applyAlignment="1">
      <alignment horizontal="center" vertical="center"/>
    </xf>
    <xf numFmtId="0" fontId="43" fillId="3" borderId="10" xfId="0" applyFont="1" applyFill="1" applyBorder="1" applyAlignment="1">
      <alignment horizontal="center" vertical="center"/>
    </xf>
    <xf numFmtId="0" fontId="43" fillId="3" borderId="0" xfId="0" applyFont="1" applyFill="1" applyBorder="1" applyAlignment="1">
      <alignment horizontal="center" vertical="center"/>
    </xf>
    <xf numFmtId="0" fontId="43" fillId="3" borderId="11" xfId="0" applyFont="1" applyFill="1" applyBorder="1" applyAlignment="1">
      <alignment horizontal="center" vertical="center"/>
    </xf>
    <xf numFmtId="0" fontId="43" fillId="4" borderId="8" xfId="0" applyFont="1" applyFill="1" applyBorder="1" applyAlignment="1">
      <alignment horizontal="center" vertical="center"/>
    </xf>
    <xf numFmtId="0" fontId="43" fillId="4" borderId="9" xfId="0" applyFont="1" applyFill="1" applyBorder="1" applyAlignment="1">
      <alignment horizontal="center" vertical="center"/>
    </xf>
    <xf numFmtId="0" fontId="43" fillId="4" borderId="10" xfId="0" applyFont="1" applyFill="1" applyBorder="1" applyAlignment="1">
      <alignment horizontal="left" vertical="center"/>
    </xf>
    <xf numFmtId="0" fontId="43" fillId="4" borderId="0" xfId="0" applyFont="1" applyFill="1" applyBorder="1" applyAlignment="1">
      <alignment horizontal="center" vertical="center"/>
    </xf>
    <xf numFmtId="0" fontId="43" fillId="4" borderId="11" xfId="0" applyFont="1" applyFill="1" applyBorder="1" applyAlignment="1">
      <alignment horizontal="center" vertical="center"/>
    </xf>
    <xf numFmtId="0" fontId="43" fillId="4" borderId="10" xfId="0" applyFont="1" applyFill="1" applyBorder="1" applyAlignment="1">
      <alignment horizontal="center" vertical="center"/>
    </xf>
    <xf numFmtId="0" fontId="43" fillId="4" borderId="13" xfId="0" applyFont="1" applyFill="1" applyBorder="1" applyAlignment="1">
      <alignment horizontal="center" vertical="center"/>
    </xf>
    <xf numFmtId="0" fontId="43" fillId="4" borderId="14" xfId="0" applyFont="1" applyFill="1" applyBorder="1" applyAlignment="1">
      <alignment horizontal="center" vertical="center"/>
    </xf>
    <xf numFmtId="0" fontId="12" fillId="0" borderId="11" xfId="0" applyFont="1" applyBorder="1" applyAlignment="1">
      <alignment horizontal="right" vertical="center"/>
    </xf>
    <xf numFmtId="164" fontId="43" fillId="0" borderId="11" xfId="0" applyNumberFormat="1" applyFont="1" applyBorder="1" applyAlignment="1">
      <alignment horizontal="center" vertical="center"/>
    </xf>
    <xf numFmtId="0" fontId="43" fillId="0" borderId="0" xfId="0" applyFont="1" applyBorder="1" applyAlignment="1">
      <alignment horizontal="left" vertical="center"/>
    </xf>
    <xf numFmtId="0" fontId="43" fillId="0" borderId="0" xfId="0" applyFont="1" applyBorder="1"/>
    <xf numFmtId="0" fontId="43" fillId="0" borderId="11" xfId="0" applyFont="1" applyBorder="1"/>
    <xf numFmtId="0" fontId="11" fillId="0" borderId="0" xfId="3" applyFont="1" applyBorder="1" applyAlignment="1">
      <alignment horizontal="center" vertical="center"/>
    </xf>
    <xf numFmtId="0" fontId="12" fillId="0" borderId="0" xfId="0" applyFont="1" applyBorder="1" applyAlignment="1">
      <alignment horizontal="left" vertical="center"/>
    </xf>
    <xf numFmtId="0" fontId="12" fillId="4" borderId="0" xfId="0" applyFont="1" applyFill="1" applyBorder="1" applyAlignment="1">
      <alignment horizontal="left" vertical="center"/>
    </xf>
    <xf numFmtId="0" fontId="43" fillId="4" borderId="17" xfId="0" applyFont="1" applyFill="1" applyBorder="1" applyAlignment="1">
      <alignment horizontal="right" vertical="center"/>
    </xf>
    <xf numFmtId="164" fontId="43" fillId="4" borderId="18" xfId="0" applyNumberFormat="1" applyFont="1" applyFill="1" applyBorder="1" applyAlignment="1">
      <alignment horizontal="left" vertical="center"/>
    </xf>
    <xf numFmtId="0" fontId="43" fillId="0" borderId="17" xfId="0" applyFont="1" applyBorder="1" applyAlignment="1">
      <alignment horizontal="right" vertical="center"/>
    </xf>
    <xf numFmtId="164" fontId="43" fillId="0" borderId="18" xfId="0" applyNumberFormat="1" applyFont="1" applyBorder="1" applyAlignment="1">
      <alignment horizontal="left" vertical="center"/>
    </xf>
    <xf numFmtId="0" fontId="43" fillId="4" borderId="20" xfId="0" applyFont="1" applyFill="1" applyBorder="1" applyAlignment="1">
      <alignment horizontal="left" vertical="center"/>
    </xf>
    <xf numFmtId="0" fontId="43" fillId="0" borderId="20" xfId="0" applyFont="1" applyBorder="1" applyAlignment="1">
      <alignment horizontal="left" vertical="center"/>
    </xf>
    <xf numFmtId="0" fontId="43" fillId="0" borderId="21" xfId="0" applyFont="1" applyBorder="1" applyAlignment="1">
      <alignment horizontal="left" vertical="center"/>
    </xf>
    <xf numFmtId="164" fontId="43" fillId="0" borderId="21" xfId="0" applyNumberFormat="1" applyFont="1" applyBorder="1" applyAlignment="1">
      <alignment horizontal="left" vertical="center"/>
    </xf>
    <xf numFmtId="164" fontId="43" fillId="4" borderId="21" xfId="0" applyNumberFormat="1" applyFont="1" applyFill="1" applyBorder="1" applyAlignment="1">
      <alignment horizontal="left" vertical="center"/>
    </xf>
    <xf numFmtId="0" fontId="11" fillId="0" borderId="20" xfId="3" applyFont="1" applyBorder="1" applyAlignment="1">
      <alignment horizontal="left" vertical="center"/>
    </xf>
    <xf numFmtId="0" fontId="11" fillId="0" borderId="21" xfId="3" applyFont="1" applyFill="1" applyBorder="1" applyAlignment="1">
      <alignment horizontal="left" vertical="center"/>
    </xf>
    <xf numFmtId="0" fontId="11" fillId="0" borderId="23" xfId="3" applyFont="1" applyBorder="1" applyAlignment="1">
      <alignment horizontal="left" vertical="center"/>
    </xf>
    <xf numFmtId="0" fontId="43" fillId="0" borderId="18" xfId="0" applyFont="1" applyBorder="1" applyAlignment="1">
      <alignment horizontal="left" vertical="center"/>
    </xf>
    <xf numFmtId="0" fontId="11" fillId="0" borderId="25" xfId="3" applyFont="1" applyBorder="1" applyAlignment="1">
      <alignment horizontal="left" vertical="center"/>
    </xf>
    <xf numFmtId="0" fontId="11" fillId="0" borderId="26" xfId="3" applyFont="1" applyBorder="1" applyAlignment="1">
      <alignment horizontal="left" vertical="center"/>
    </xf>
    <xf numFmtId="0" fontId="11" fillId="0" borderId="27" xfId="3" applyFont="1" applyBorder="1" applyAlignment="1">
      <alignment horizontal="left" vertical="center"/>
    </xf>
    <xf numFmtId="0" fontId="11" fillId="0" borderId="28" xfId="3" applyFont="1" applyBorder="1" applyAlignment="1">
      <alignment horizontal="left" vertical="center"/>
    </xf>
    <xf numFmtId="0" fontId="11" fillId="0" borderId="27" xfId="3" applyFont="1" applyFill="1" applyBorder="1" applyAlignment="1">
      <alignment horizontal="left" vertical="center"/>
    </xf>
    <xf numFmtId="0" fontId="11" fillId="0" borderId="24" xfId="3" applyFont="1" applyBorder="1" applyAlignment="1">
      <alignment horizontal="left" vertical="center"/>
    </xf>
    <xf numFmtId="0" fontId="11" fillId="0" borderId="30" xfId="3" applyFont="1" applyBorder="1" applyAlignment="1">
      <alignment horizontal="left" vertical="center"/>
    </xf>
    <xf numFmtId="0" fontId="11" fillId="0" borderId="31" xfId="3" applyFont="1" applyBorder="1" applyAlignment="1">
      <alignment horizontal="left" vertical="center"/>
    </xf>
    <xf numFmtId="0" fontId="11" fillId="0" borderId="32" xfId="3" applyFont="1" applyBorder="1" applyAlignment="1">
      <alignment horizontal="left" vertical="center"/>
    </xf>
    <xf numFmtId="0" fontId="11" fillId="0" borderId="22" xfId="3" applyFont="1" applyBorder="1" applyAlignment="1">
      <alignment horizontal="left" vertical="center"/>
    </xf>
    <xf numFmtId="0" fontId="11" fillId="0" borderId="33" xfId="3" applyFont="1" applyBorder="1" applyAlignment="1">
      <alignment horizontal="left" vertical="center"/>
    </xf>
    <xf numFmtId="0" fontId="11" fillId="0" borderId="34" xfId="3" applyFont="1" applyBorder="1" applyAlignment="1">
      <alignment horizontal="left" vertical="center"/>
    </xf>
    <xf numFmtId="0" fontId="11" fillId="0" borderId="16" xfId="3" applyFont="1" applyBorder="1" applyAlignment="1">
      <alignment horizontal="left" vertical="center"/>
    </xf>
    <xf numFmtId="0" fontId="11" fillId="0" borderId="29" xfId="3" applyFont="1" applyBorder="1" applyAlignment="1">
      <alignment horizontal="left" vertical="center"/>
    </xf>
    <xf numFmtId="49" fontId="11" fillId="0" borderId="29" xfId="3" applyNumberFormat="1" applyFont="1" applyBorder="1" applyAlignment="1">
      <alignment horizontal="left" vertical="center"/>
    </xf>
    <xf numFmtId="49" fontId="11" fillId="0" borderId="0" xfId="3" applyNumberFormat="1" applyFont="1" applyBorder="1" applyAlignment="1">
      <alignment vertical="center"/>
    </xf>
    <xf numFmtId="0" fontId="14" fillId="0" borderId="7" xfId="3" applyFont="1" applyBorder="1" applyAlignment="1">
      <alignment horizontal="center" vertical="center"/>
    </xf>
    <xf numFmtId="0" fontId="14" fillId="0" borderId="8" xfId="3" applyFont="1" applyBorder="1" applyAlignment="1">
      <alignment horizontal="center" vertical="center"/>
    </xf>
    <xf numFmtId="0" fontId="12" fillId="4" borderId="8" xfId="0" applyFont="1" applyFill="1" applyBorder="1" applyAlignment="1">
      <alignment horizontal="left" vertical="center"/>
    </xf>
    <xf numFmtId="0" fontId="12" fillId="4" borderId="7" xfId="0" applyFont="1" applyFill="1" applyBorder="1" applyAlignment="1">
      <alignment horizontal="left" vertical="center"/>
    </xf>
    <xf numFmtId="0" fontId="12" fillId="4" borderId="10" xfId="0" applyFont="1" applyFill="1" applyBorder="1" applyAlignment="1">
      <alignment horizontal="left" vertical="center"/>
    </xf>
    <xf numFmtId="0" fontId="43" fillId="0" borderId="0" xfId="0" applyFont="1"/>
    <xf numFmtId="0" fontId="11" fillId="0" borderId="31" xfId="3" applyFont="1" applyBorder="1" applyAlignment="1">
      <alignment vertical="center"/>
    </xf>
    <xf numFmtId="0" fontId="11" fillId="0" borderId="36" xfId="3" applyFont="1" applyBorder="1" applyAlignment="1">
      <alignment horizontal="left" vertical="center"/>
    </xf>
    <xf numFmtId="0" fontId="11" fillId="0" borderId="35" xfId="3" applyFont="1" applyBorder="1" applyAlignment="1">
      <alignment horizontal="left" vertical="center"/>
    </xf>
    <xf numFmtId="0" fontId="11" fillId="0" borderId="20" xfId="3" applyFont="1" applyFill="1" applyBorder="1" applyAlignment="1">
      <alignment horizontal="left" vertical="center"/>
    </xf>
    <xf numFmtId="2" fontId="43" fillId="0" borderId="21" xfId="0" applyNumberFormat="1" applyFont="1" applyBorder="1" applyAlignment="1">
      <alignment horizontal="left" vertical="center"/>
    </xf>
    <xf numFmtId="0" fontId="43" fillId="0" borderId="20" xfId="0" applyFont="1" applyFill="1" applyBorder="1" applyAlignment="1">
      <alignment horizontal="left" vertical="center"/>
    </xf>
    <xf numFmtId="2" fontId="43" fillId="0" borderId="21" xfId="0" applyNumberFormat="1" applyFont="1" applyFill="1" applyBorder="1" applyAlignment="1">
      <alignment horizontal="left" vertical="center"/>
    </xf>
    <xf numFmtId="0" fontId="43" fillId="0" borderId="23" xfId="0" applyFont="1" applyBorder="1" applyAlignment="1">
      <alignment horizontal="right" vertical="center"/>
    </xf>
    <xf numFmtId="0" fontId="11" fillId="0" borderId="20" xfId="0" applyFont="1" applyBorder="1" applyAlignment="1">
      <alignment horizontal="right" vertical="center"/>
    </xf>
    <xf numFmtId="1" fontId="43" fillId="0" borderId="21" xfId="0" applyNumberFormat="1" applyFont="1" applyBorder="1" applyAlignment="1">
      <alignment horizontal="left" vertical="center"/>
    </xf>
    <xf numFmtId="0" fontId="11" fillId="0" borderId="0" xfId="3" applyFont="1" applyBorder="1" applyAlignment="1">
      <alignment horizontal="center" vertical="center"/>
    </xf>
    <xf numFmtId="0" fontId="11" fillId="4" borderId="0" xfId="0" applyFont="1" applyFill="1" applyBorder="1" applyAlignment="1">
      <alignment horizontal="center" vertical="center"/>
    </xf>
    <xf numFmtId="0" fontId="44" fillId="0" borderId="0" xfId="0" applyFont="1" applyBorder="1" applyAlignment="1">
      <alignment horizontal="center" vertical="center"/>
    </xf>
    <xf numFmtId="0" fontId="44" fillId="0" borderId="0" xfId="3" applyFont="1" applyBorder="1" applyAlignment="1">
      <alignment horizontal="center" vertical="center"/>
    </xf>
    <xf numFmtId="0" fontId="11" fillId="0" borderId="23" xfId="3" applyFont="1" applyFill="1" applyBorder="1" applyAlignment="1">
      <alignment horizontal="left" vertical="center"/>
    </xf>
    <xf numFmtId="0" fontId="11" fillId="0" borderId="18" xfId="3" applyFont="1" applyFill="1" applyBorder="1" applyAlignment="1">
      <alignment horizontal="left" vertical="center"/>
    </xf>
    <xf numFmtId="0" fontId="0" fillId="0" borderId="13" xfId="0" applyBorder="1" applyAlignment="1">
      <alignment horizontal="center" vertical="center"/>
    </xf>
    <xf numFmtId="0" fontId="10" fillId="0" borderId="3" xfId="2" applyFont="1" applyFill="1" applyBorder="1" applyAlignment="1">
      <alignment horizontal="center" vertical="center" wrapText="1"/>
    </xf>
    <xf numFmtId="0" fontId="10" fillId="0" borderId="6" xfId="2" applyFont="1" applyFill="1" applyBorder="1" applyAlignment="1">
      <alignment horizontal="center" vertical="center" wrapText="1"/>
    </xf>
    <xf numFmtId="0" fontId="10" fillId="0" borderId="4" xfId="2" applyFont="1" applyFill="1" applyBorder="1" applyAlignment="1">
      <alignment horizontal="center" vertical="center" wrapText="1"/>
    </xf>
    <xf numFmtId="0" fontId="10" fillId="0" borderId="5" xfId="2" applyFont="1" applyFill="1" applyBorder="1" applyAlignment="1">
      <alignment horizontal="center" vertical="center" wrapText="1"/>
    </xf>
    <xf numFmtId="0" fontId="15" fillId="4" borderId="10" xfId="0" applyFont="1" applyFill="1" applyBorder="1" applyAlignment="1">
      <alignment horizontal="center" vertical="center"/>
    </xf>
    <xf numFmtId="0" fontId="15" fillId="4" borderId="0" xfId="0" applyFont="1" applyFill="1" applyBorder="1" applyAlignment="1">
      <alignment horizontal="center" vertical="center"/>
    </xf>
    <xf numFmtId="0" fontId="15" fillId="4" borderId="12" xfId="0" applyFont="1" applyFill="1" applyBorder="1" applyAlignment="1">
      <alignment horizontal="center" vertical="center"/>
    </xf>
    <xf numFmtId="0" fontId="15" fillId="4" borderId="13" xfId="0" applyFont="1" applyFill="1" applyBorder="1" applyAlignment="1">
      <alignment horizontal="center" vertical="center"/>
    </xf>
    <xf numFmtId="49" fontId="11" fillId="0" borderId="21" xfId="3" applyNumberFormat="1" applyFont="1" applyFill="1" applyBorder="1" applyAlignment="1">
      <alignment horizontal="left" vertical="center"/>
    </xf>
    <xf numFmtId="49" fontId="11" fillId="0" borderId="17" xfId="3" applyNumberFormat="1" applyFont="1" applyFill="1" applyBorder="1" applyAlignment="1">
      <alignment horizontal="left" vertical="center"/>
    </xf>
    <xf numFmtId="49" fontId="11" fillId="0" borderId="19" xfId="3" applyNumberFormat="1" applyFont="1" applyFill="1" applyBorder="1" applyAlignment="1">
      <alignment horizontal="left" vertical="center"/>
    </xf>
    <xf numFmtId="49" fontId="11" fillId="0" borderId="28" xfId="3" applyNumberFormat="1" applyFont="1" applyFill="1" applyBorder="1" applyAlignment="1">
      <alignment horizontal="left" vertical="center"/>
    </xf>
    <xf numFmtId="49" fontId="11" fillId="0" borderId="16" xfId="3" applyNumberFormat="1" applyFont="1" applyFill="1" applyBorder="1" applyAlignment="1">
      <alignment horizontal="left" vertical="center"/>
    </xf>
    <xf numFmtId="49" fontId="11" fillId="0" borderId="29" xfId="3" applyNumberFormat="1" applyFont="1" applyFill="1" applyBorder="1" applyAlignment="1">
      <alignment horizontal="left" vertical="center"/>
    </xf>
    <xf numFmtId="0" fontId="11" fillId="0" borderId="28" xfId="3" applyFont="1" applyFill="1" applyBorder="1" applyAlignment="1">
      <alignment horizontal="left" vertical="center"/>
    </xf>
    <xf numFmtId="0" fontId="11" fillId="0" borderId="16" xfId="3" applyFont="1" applyFill="1" applyBorder="1" applyAlignment="1">
      <alignment horizontal="left" vertical="center"/>
    </xf>
    <xf numFmtId="0" fontId="11" fillId="0" borderId="29" xfId="3" applyFont="1" applyFill="1" applyBorder="1" applyAlignment="1">
      <alignment horizontal="left" vertical="center"/>
    </xf>
    <xf numFmtId="0" fontId="14" fillId="0" borderId="10" xfId="3" applyFont="1" applyBorder="1" applyAlignment="1">
      <alignment horizontal="left" vertical="center"/>
    </xf>
    <xf numFmtId="0" fontId="14" fillId="0" borderId="0" xfId="3" applyFont="1" applyBorder="1" applyAlignment="1">
      <alignment horizontal="left" vertical="center"/>
    </xf>
    <xf numFmtId="0" fontId="26" fillId="0" borderId="31" xfId="3" applyFont="1" applyBorder="1" applyAlignment="1">
      <alignment horizontal="left" vertical="center"/>
    </xf>
    <xf numFmtId="0" fontId="26" fillId="0" borderId="18" xfId="3" applyFont="1" applyBorder="1" applyAlignment="1">
      <alignment horizontal="left" vertical="center"/>
    </xf>
    <xf numFmtId="0" fontId="11" fillId="0" borderId="20" xfId="3" applyFont="1" applyBorder="1" applyAlignment="1">
      <alignment horizontal="left" vertical="center"/>
    </xf>
    <xf numFmtId="0" fontId="11" fillId="0" borderId="22" xfId="3" applyFont="1" applyBorder="1" applyAlignment="1">
      <alignment horizontal="left" vertical="center"/>
    </xf>
    <xf numFmtId="0" fontId="16" fillId="0" borderId="1" xfId="3" applyFont="1" applyBorder="1" applyAlignment="1">
      <alignment horizontal="left" vertical="center"/>
    </xf>
    <xf numFmtId="0" fontId="17" fillId="0" borderId="1" xfId="3" applyFont="1" applyBorder="1" applyAlignment="1">
      <alignment horizontal="left" vertical="center"/>
    </xf>
    <xf numFmtId="0" fontId="11" fillId="0" borderId="13" xfId="3" applyBorder="1" applyAlignment="1">
      <alignment horizontal="center"/>
    </xf>
    <xf numFmtId="0" fontId="18" fillId="0" borderId="4" xfId="3" applyFont="1" applyBorder="1" applyAlignment="1">
      <alignment horizontal="left" vertical="center" wrapText="1"/>
    </xf>
    <xf numFmtId="0" fontId="18" fillId="0" borderId="15" xfId="3" applyFont="1" applyBorder="1" applyAlignment="1">
      <alignment horizontal="left" vertical="center" wrapText="1"/>
    </xf>
    <xf numFmtId="0" fontId="18" fillId="0" borderId="5" xfId="3" applyFont="1" applyBorder="1" applyAlignment="1">
      <alignment horizontal="left" vertical="center" wrapText="1"/>
    </xf>
    <xf numFmtId="0" fontId="19" fillId="0" borderId="0" xfId="3" applyFont="1" applyBorder="1" applyAlignment="1">
      <alignment horizontal="center" vertical="center"/>
    </xf>
    <xf numFmtId="0" fontId="20" fillId="0" borderId="1" xfId="3" applyFont="1" applyBorder="1" applyAlignment="1">
      <alignment horizontal="center" vertical="center"/>
    </xf>
    <xf numFmtId="0" fontId="20" fillId="0" borderId="1" xfId="3" applyFont="1" applyBorder="1" applyAlignment="1">
      <alignment horizontal="left" vertical="center"/>
    </xf>
    <xf numFmtId="0" fontId="17" fillId="0" borderId="1" xfId="3" applyFont="1" applyBorder="1" applyAlignment="1">
      <alignment horizontal="center" vertical="center"/>
    </xf>
    <xf numFmtId="0" fontId="16" fillId="0" borderId="4" xfId="3" applyFont="1" applyBorder="1" applyAlignment="1">
      <alignment horizontal="center" vertical="center" wrapText="1"/>
    </xf>
    <xf numFmtId="0" fontId="16" fillId="0" borderId="15" xfId="3" applyFont="1" applyBorder="1" applyAlignment="1">
      <alignment horizontal="center" vertical="center" wrapText="1"/>
    </xf>
    <xf numFmtId="0" fontId="17" fillId="0" borderId="4" xfId="3" applyFont="1" applyBorder="1" applyAlignment="1">
      <alignment horizontal="center" vertical="center" wrapText="1"/>
    </xf>
    <xf numFmtId="0" fontId="17" fillId="0" borderId="15" xfId="3" applyFont="1" applyBorder="1" applyAlignment="1">
      <alignment horizontal="center" vertical="center" wrapText="1"/>
    </xf>
    <xf numFmtId="0" fontId="17" fillId="0" borderId="5" xfId="3" applyFont="1" applyBorder="1" applyAlignment="1">
      <alignment horizontal="center" vertical="center" wrapText="1"/>
    </xf>
    <xf numFmtId="0" fontId="21" fillId="0" borderId="1" xfId="3" applyFont="1" applyBorder="1" applyAlignment="1">
      <alignment horizontal="center" vertical="center"/>
    </xf>
    <xf numFmtId="0" fontId="22" fillId="0" borderId="1" xfId="3" applyFont="1" applyBorder="1" applyAlignment="1">
      <alignment horizontal="center" vertical="center"/>
    </xf>
    <xf numFmtId="4" fontId="17" fillId="0" borderId="4" xfId="3" applyNumberFormat="1" applyFont="1" applyBorder="1" applyAlignment="1">
      <alignment horizontal="center" vertical="center" wrapText="1"/>
    </xf>
    <xf numFmtId="0" fontId="16" fillId="0" borderId="0" xfId="3" applyFont="1" applyBorder="1" applyAlignment="1">
      <alignment horizontal="center" vertical="center" wrapText="1"/>
    </xf>
    <xf numFmtId="0" fontId="17" fillId="0" borderId="0" xfId="3" applyFont="1" applyBorder="1" applyAlignment="1">
      <alignment horizontal="center" vertical="center" wrapText="1"/>
    </xf>
    <xf numFmtId="0" fontId="21" fillId="0" borderId="0" xfId="3" applyFont="1" applyBorder="1" applyAlignment="1">
      <alignment horizontal="center" vertical="center"/>
    </xf>
    <xf numFmtId="0" fontId="22" fillId="0" borderId="0" xfId="3" applyFont="1" applyBorder="1" applyAlignment="1">
      <alignment horizontal="center" vertical="center"/>
    </xf>
    <xf numFmtId="0" fontId="20" fillId="0" borderId="0" xfId="3" applyFont="1" applyBorder="1" applyAlignment="1">
      <alignment horizontal="center" vertical="center"/>
    </xf>
    <xf numFmtId="0" fontId="11" fillId="0" borderId="4" xfId="3" applyFont="1" applyBorder="1" applyAlignment="1">
      <alignment horizontal="left" vertical="center" wrapText="1"/>
    </xf>
    <xf numFmtId="0" fontId="11" fillId="0" borderId="15" xfId="3" applyFont="1" applyBorder="1" applyAlignment="1">
      <alignment horizontal="left" vertical="center" wrapText="1"/>
    </xf>
    <xf numFmtId="0" fontId="11" fillId="0" borderId="5" xfId="3" applyFont="1" applyBorder="1" applyAlignment="1">
      <alignment horizontal="left" vertical="center" wrapText="1"/>
    </xf>
    <xf numFmtId="0" fontId="16" fillId="0" borderId="1" xfId="3" applyFont="1" applyBorder="1" applyAlignment="1">
      <alignment horizontal="center" vertical="center" wrapText="1"/>
    </xf>
    <xf numFmtId="0" fontId="24" fillId="0" borderId="1" xfId="3" applyFont="1" applyBorder="1" applyAlignment="1">
      <alignment horizontal="center"/>
    </xf>
    <xf numFmtId="14" fontId="25" fillId="0" borderId="12" xfId="3" applyNumberFormat="1" applyFont="1" applyBorder="1" applyAlignment="1">
      <alignment horizontal="center"/>
    </xf>
    <xf numFmtId="0" fontId="11" fillId="0" borderId="13" xfId="3" applyBorder="1"/>
    <xf numFmtId="0" fontId="27" fillId="0" borderId="1" xfId="3" applyFont="1" applyBorder="1" applyAlignment="1">
      <alignment horizontal="center"/>
    </xf>
    <xf numFmtId="0" fontId="11" fillId="0" borderId="1" xfId="3" applyBorder="1" applyAlignment="1">
      <alignment horizontal="center"/>
    </xf>
    <xf numFmtId="0" fontId="18" fillId="0" borderId="1" xfId="3" applyFont="1" applyBorder="1" applyAlignment="1">
      <alignment horizontal="left" vertical="center" wrapText="1"/>
    </xf>
    <xf numFmtId="0" fontId="17" fillId="0" borderId="1" xfId="3" applyFont="1" applyBorder="1" applyAlignment="1">
      <alignment horizontal="left" vertical="center" wrapText="1"/>
    </xf>
    <xf numFmtId="0" fontId="19" fillId="0" borderId="10" xfId="3" applyFont="1" applyBorder="1" applyAlignment="1">
      <alignment horizontal="center" vertical="center"/>
    </xf>
    <xf numFmtId="0" fontId="19" fillId="0" borderId="11" xfId="3" applyFont="1" applyBorder="1" applyAlignment="1">
      <alignment horizontal="center" vertical="center"/>
    </xf>
    <xf numFmtId="0" fontId="26" fillId="0" borderId="10" xfId="3" applyFont="1" applyBorder="1" applyAlignment="1">
      <alignment horizontal="center"/>
    </xf>
    <xf numFmtId="0" fontId="26" fillId="0" borderId="0" xfId="3" applyFont="1" applyBorder="1" applyAlignment="1">
      <alignment horizontal="center"/>
    </xf>
    <xf numFmtId="0" fontId="26" fillId="0" borderId="11" xfId="3" applyFont="1" applyBorder="1" applyAlignment="1">
      <alignment horizontal="center"/>
    </xf>
    <xf numFmtId="0" fontId="11" fillId="0" borderId="10" xfId="3" applyBorder="1" applyAlignment="1">
      <alignment horizontal="center"/>
    </xf>
    <xf numFmtId="0" fontId="11" fillId="0" borderId="0" xfId="3" applyBorder="1" applyAlignment="1">
      <alignment horizontal="center"/>
    </xf>
    <xf numFmtId="2" fontId="27" fillId="0" borderId="1" xfId="3" applyNumberFormat="1" applyFont="1" applyBorder="1" applyAlignment="1">
      <alignment horizontal="center"/>
    </xf>
    <xf numFmtId="9" fontId="27" fillId="0" borderId="1" xfId="1" applyFont="1" applyBorder="1" applyAlignment="1">
      <alignment horizontal="center"/>
    </xf>
    <xf numFmtId="0" fontId="11" fillId="0" borderId="4" xfId="3" applyFont="1" applyBorder="1" applyAlignment="1">
      <alignment horizontal="center" vertical="center" wrapText="1"/>
    </xf>
    <xf numFmtId="0" fontId="11" fillId="0" borderId="15" xfId="3" applyFont="1" applyBorder="1" applyAlignment="1">
      <alignment horizontal="center" vertical="center" wrapText="1"/>
    </xf>
    <xf numFmtId="0" fontId="11" fillId="0" borderId="5" xfId="3" applyFont="1" applyBorder="1" applyAlignment="1">
      <alignment horizontal="center" vertical="center" wrapText="1"/>
    </xf>
    <xf numFmtId="0" fontId="13" fillId="0" borderId="0" xfId="3" applyFont="1" applyFill="1" applyBorder="1" applyAlignment="1">
      <alignment horizontal="center"/>
    </xf>
    <xf numFmtId="0" fontId="11" fillId="0" borderId="10" xfId="3" applyBorder="1" applyAlignment="1">
      <alignment horizontal="center" vertical="center"/>
    </xf>
    <xf numFmtId="0" fontId="12" fillId="0" borderId="0" xfId="0" applyFont="1" applyBorder="1" applyAlignment="1">
      <alignment horizontal="left" vertical="center"/>
    </xf>
    <xf numFmtId="0" fontId="12" fillId="0" borderId="11" xfId="0" applyFont="1" applyBorder="1" applyAlignment="1">
      <alignment horizontal="left" vertical="center"/>
    </xf>
    <xf numFmtId="0" fontId="38" fillId="0" borderId="7" xfId="3" applyFont="1" applyBorder="1" applyAlignment="1">
      <alignment horizontal="center" vertical="center"/>
    </xf>
    <xf numFmtId="0" fontId="38" fillId="0" borderId="8" xfId="3" applyFont="1" applyBorder="1" applyAlignment="1">
      <alignment horizontal="center" vertical="center"/>
    </xf>
    <xf numFmtId="0" fontId="38" fillId="0" borderId="9" xfId="3" applyFont="1" applyBorder="1" applyAlignment="1">
      <alignment horizontal="center" vertical="center"/>
    </xf>
    <xf numFmtId="0" fontId="11" fillId="0" borderId="31" xfId="3" applyFont="1" applyBorder="1" applyAlignment="1">
      <alignment horizontal="left" vertical="center"/>
    </xf>
    <xf numFmtId="0" fontId="10" fillId="0" borderId="1" xfId="2" applyFont="1" applyFill="1" applyBorder="1" applyAlignment="1">
      <alignment horizontal="center" vertical="center" wrapText="1"/>
    </xf>
    <xf numFmtId="0" fontId="10" fillId="0" borderId="1" xfId="2" applyFont="1" applyBorder="1" applyAlignment="1">
      <alignment horizontal="center" vertical="center" wrapText="1"/>
    </xf>
    <xf numFmtId="0" fontId="11" fillId="0" borderId="0" xfId="3" applyFont="1" applyBorder="1" applyAlignment="1">
      <alignment horizontal="center" vertical="center" wrapText="1"/>
    </xf>
    <xf numFmtId="0" fontId="11" fillId="0" borderId="0" xfId="3" applyFont="1" applyBorder="1" applyAlignment="1">
      <alignment horizontal="center"/>
    </xf>
    <xf numFmtId="0" fontId="11" fillId="0" borderId="0" xfId="3" applyFont="1" applyBorder="1" applyAlignment="1">
      <alignment horizontal="center" vertical="center"/>
    </xf>
  </cellXfs>
  <cellStyles count="6">
    <cellStyle name="Normal" xfId="0" builtinId="0"/>
    <cellStyle name="Normal 2" xfId="3" xr:uid="{00000000-0005-0000-0000-000001000000}"/>
    <cellStyle name="Normal 3" xfId="2" xr:uid="{00000000-0005-0000-0000-000002000000}"/>
    <cellStyle name="Normal 4" xfId="4" xr:uid="{00000000-0005-0000-0000-000003000000}"/>
    <cellStyle name="Normal 5" xfId="5" xr:uid="{00000000-0005-0000-0000-000004000000}"/>
    <cellStyle name="Percent" xfId="1" builtinId="5"/>
  </cellStyles>
  <dxfs count="5">
    <dxf>
      <font>
        <color rgb="FF006100"/>
      </font>
      <fill>
        <patternFill>
          <bgColor rgb="FFC6EFCE"/>
        </patternFill>
      </fill>
    </dxf>
    <dxf>
      <font>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b/>
        <i val="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K$8"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6</xdr:col>
      <xdr:colOff>66675</xdr:colOff>
      <xdr:row>15</xdr:row>
      <xdr:rowOff>0</xdr:rowOff>
    </xdr:from>
    <xdr:to>
      <xdr:col>6</xdr:col>
      <xdr:colOff>219075</xdr:colOff>
      <xdr:row>15</xdr:row>
      <xdr:rowOff>152400</xdr:rowOff>
    </xdr:to>
    <xdr:pic>
      <xdr:nvPicPr>
        <xdr:cNvPr id="2" name="DataFileGreenTick" hidden="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00800" y="2552700"/>
          <a:ext cx="152400" cy="152400"/>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314325</xdr:colOff>
          <xdr:row>5</xdr:row>
          <xdr:rowOff>57150</xdr:rowOff>
        </xdr:from>
        <xdr:to>
          <xdr:col>7</xdr:col>
          <xdr:colOff>657225</xdr:colOff>
          <xdr:row>9</xdr:row>
          <xdr:rowOff>57150</xdr:rowOff>
        </xdr:to>
        <xdr:sp macro="" textlink="">
          <xdr:nvSpPr>
            <xdr:cNvPr id="1026" name="btnColl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Ready: </a:t>
              </a:r>
              <a:r>
                <a:rPr lang="en-GB" sz="1200" b="1" i="0" u="none" strike="noStrike" baseline="0">
                  <a:solidFill>
                    <a:srgbClr val="000000"/>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10</xdr:row>
          <xdr:rowOff>47625</xdr:rowOff>
        </xdr:from>
        <xdr:to>
          <xdr:col>7</xdr:col>
          <xdr:colOff>657225</xdr:colOff>
          <xdr:row>11</xdr:row>
          <xdr:rowOff>76200</xdr:rowOff>
        </xdr:to>
        <xdr:sp macro="" textlink="">
          <xdr:nvSpPr>
            <xdr:cNvPr id="1027" name="btnRese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xdr:twoCellAnchor editAs="oneCell">
    <xdr:from>
      <xdr:col>6</xdr:col>
      <xdr:colOff>57150</xdr:colOff>
      <xdr:row>15</xdr:row>
      <xdr:rowOff>0</xdr:rowOff>
    </xdr:from>
    <xdr:to>
      <xdr:col>6</xdr:col>
      <xdr:colOff>209550</xdr:colOff>
      <xdr:row>15</xdr:row>
      <xdr:rowOff>152400</xdr:rowOff>
    </xdr:to>
    <xdr:pic>
      <xdr:nvPicPr>
        <xdr:cNvPr id="13" name="SAPDataRedCross" hidden="1">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91275" y="3095625"/>
          <a:ext cx="152400" cy="152400"/>
        </a:xfrm>
        <a:prstGeom prst="rect">
          <a:avLst/>
        </a:prstGeom>
      </xdr:spPr>
    </xdr:pic>
    <xdr:clientData/>
  </xdr:twoCellAnchor>
  <xdr:twoCellAnchor editAs="oneCell">
    <xdr:from>
      <xdr:col>6</xdr:col>
      <xdr:colOff>57150</xdr:colOff>
      <xdr:row>15</xdr:row>
      <xdr:rowOff>0</xdr:rowOff>
    </xdr:from>
    <xdr:to>
      <xdr:col>6</xdr:col>
      <xdr:colOff>209550</xdr:colOff>
      <xdr:row>15</xdr:row>
      <xdr:rowOff>146050</xdr:rowOff>
    </xdr:to>
    <xdr:pic>
      <xdr:nvPicPr>
        <xdr:cNvPr id="14" name="SAPDataGreenTick" hidden="1">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91275" y="3095625"/>
          <a:ext cx="152400" cy="146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19050</xdr:colOff>
          <xdr:row>6</xdr:row>
          <xdr:rowOff>161925</xdr:rowOff>
        </xdr:from>
        <xdr:to>
          <xdr:col>10</xdr:col>
          <xdr:colOff>1162050</xdr:colOff>
          <xdr:row>8</xdr:row>
          <xdr:rowOff>0</xdr:rowOff>
        </xdr:to>
        <xdr:sp macro="" textlink="">
          <xdr:nvSpPr>
            <xdr:cNvPr id="1028" name="chkLoadNonSAP"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Load items without SAP data</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266700</xdr:colOff>
      <xdr:row>22</xdr:row>
      <xdr:rowOff>0</xdr:rowOff>
    </xdr:from>
    <xdr:to>
      <xdr:col>20</xdr:col>
      <xdr:colOff>276225</xdr:colOff>
      <xdr:row>22</xdr:row>
      <xdr:rowOff>0</xdr:rowOff>
    </xdr:to>
    <xdr:grpSp>
      <xdr:nvGrpSpPr>
        <xdr:cNvPr id="3" name="Group 8">
          <a:extLst>
            <a:ext uri="{FF2B5EF4-FFF2-40B4-BE49-F238E27FC236}">
              <a16:creationId xmlns:a16="http://schemas.microsoft.com/office/drawing/2014/main" id="{00000000-0008-0000-0B00-000003000000}"/>
            </a:ext>
          </a:extLst>
        </xdr:cNvPr>
        <xdr:cNvGrpSpPr>
          <a:grpSpLocks/>
        </xdr:cNvGrpSpPr>
      </xdr:nvGrpSpPr>
      <xdr:grpSpPr bwMode="auto">
        <a:xfrm>
          <a:off x="11849100" y="3676650"/>
          <a:ext cx="3667125" cy="0"/>
          <a:chOff x="6343650" y="1228725"/>
          <a:chExt cx="3667125" cy="523875"/>
        </a:xfrm>
      </xdr:grpSpPr>
      <xdr:cxnSp macro="">
        <xdr:nvCxnSpPr>
          <xdr:cNvPr id="4" name="Straight Arrow Connector 3">
            <a:extLst>
              <a:ext uri="{FF2B5EF4-FFF2-40B4-BE49-F238E27FC236}">
                <a16:creationId xmlns:a16="http://schemas.microsoft.com/office/drawing/2014/main" id="{00000000-0008-0000-0B00-000004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0B00-000005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twoCellAnchor>
    <xdr:from>
      <xdr:col>14</xdr:col>
      <xdr:colOff>266700</xdr:colOff>
      <xdr:row>22</xdr:row>
      <xdr:rowOff>0</xdr:rowOff>
    </xdr:from>
    <xdr:to>
      <xdr:col>20</xdr:col>
      <xdr:colOff>276225</xdr:colOff>
      <xdr:row>22</xdr:row>
      <xdr:rowOff>0</xdr:rowOff>
    </xdr:to>
    <xdr:grpSp>
      <xdr:nvGrpSpPr>
        <xdr:cNvPr id="9" name="Group 8">
          <a:extLst>
            <a:ext uri="{FF2B5EF4-FFF2-40B4-BE49-F238E27FC236}">
              <a16:creationId xmlns:a16="http://schemas.microsoft.com/office/drawing/2014/main" id="{00000000-0008-0000-0B00-000009000000}"/>
            </a:ext>
          </a:extLst>
        </xdr:cNvPr>
        <xdr:cNvGrpSpPr>
          <a:grpSpLocks/>
        </xdr:cNvGrpSpPr>
      </xdr:nvGrpSpPr>
      <xdr:grpSpPr bwMode="auto">
        <a:xfrm>
          <a:off x="11849100" y="3676650"/>
          <a:ext cx="3667125" cy="0"/>
          <a:chOff x="6343650" y="1228725"/>
          <a:chExt cx="3667125" cy="523875"/>
        </a:xfrm>
      </xdr:grpSpPr>
      <xdr:cxnSp macro="">
        <xdr:nvCxnSpPr>
          <xdr:cNvPr id="10" name="Straight Arrow Connector 9">
            <a:extLst>
              <a:ext uri="{FF2B5EF4-FFF2-40B4-BE49-F238E27FC236}">
                <a16:creationId xmlns:a16="http://schemas.microsoft.com/office/drawing/2014/main" id="{00000000-0008-0000-0B00-00000A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B00-00000B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B00-00000C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3" name="TextBox 12">
            <a:extLst>
              <a:ext uri="{FF2B5EF4-FFF2-40B4-BE49-F238E27FC236}">
                <a16:creationId xmlns:a16="http://schemas.microsoft.com/office/drawing/2014/main" id="{00000000-0008-0000-0B00-00000D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oneCellAnchor>
    <xdr:from>
      <xdr:col>13</xdr:col>
      <xdr:colOff>466725</xdr:colOff>
      <xdr:row>9</xdr:row>
      <xdr:rowOff>28575</xdr:rowOff>
    </xdr:from>
    <xdr:ext cx="5245894" cy="4614863"/>
    <xdr:pic>
      <xdr:nvPicPr>
        <xdr:cNvPr id="14" name="Picture 8">
          <a:extLst>
            <a:ext uri="{FF2B5EF4-FFF2-40B4-BE49-F238E27FC236}">
              <a16:creationId xmlns:a16="http://schemas.microsoft.com/office/drawing/2014/main" id="{00000000-0008-0000-0B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328" t="11926" r="7735" b="10556"/>
        <a:stretch>
          <a:fillRect/>
        </a:stretch>
      </xdr:blipFill>
      <xdr:spPr bwMode="auto">
        <a:xfrm>
          <a:off x="7543800" y="1323975"/>
          <a:ext cx="5245894" cy="46148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oneCellAnchor>
  <xdr:twoCellAnchor>
    <xdr:from>
      <xdr:col>14</xdr:col>
      <xdr:colOff>266700</xdr:colOff>
      <xdr:row>22</xdr:row>
      <xdr:rowOff>0</xdr:rowOff>
    </xdr:from>
    <xdr:to>
      <xdr:col>20</xdr:col>
      <xdr:colOff>276225</xdr:colOff>
      <xdr:row>22</xdr:row>
      <xdr:rowOff>0</xdr:rowOff>
    </xdr:to>
    <xdr:grpSp>
      <xdr:nvGrpSpPr>
        <xdr:cNvPr id="15" name="Group 8">
          <a:extLst>
            <a:ext uri="{FF2B5EF4-FFF2-40B4-BE49-F238E27FC236}">
              <a16:creationId xmlns:a16="http://schemas.microsoft.com/office/drawing/2014/main" id="{00000000-0008-0000-0B00-00000F000000}"/>
            </a:ext>
          </a:extLst>
        </xdr:cNvPr>
        <xdr:cNvGrpSpPr>
          <a:grpSpLocks/>
        </xdr:cNvGrpSpPr>
      </xdr:nvGrpSpPr>
      <xdr:grpSpPr bwMode="auto">
        <a:xfrm>
          <a:off x="11849100" y="3676650"/>
          <a:ext cx="3667125" cy="0"/>
          <a:chOff x="6343650" y="1228725"/>
          <a:chExt cx="3667125" cy="523875"/>
        </a:xfrm>
      </xdr:grpSpPr>
      <xdr:cxnSp macro="">
        <xdr:nvCxnSpPr>
          <xdr:cNvPr id="16" name="Straight Arrow Connector 15">
            <a:extLst>
              <a:ext uri="{FF2B5EF4-FFF2-40B4-BE49-F238E27FC236}">
                <a16:creationId xmlns:a16="http://schemas.microsoft.com/office/drawing/2014/main" id="{00000000-0008-0000-0B00-000010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B00-000011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8" name="TextBox 17">
            <a:extLst>
              <a:ext uri="{FF2B5EF4-FFF2-40B4-BE49-F238E27FC236}">
                <a16:creationId xmlns:a16="http://schemas.microsoft.com/office/drawing/2014/main" id="{00000000-0008-0000-0B00-000012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9" name="TextBox 18">
            <a:extLst>
              <a:ext uri="{FF2B5EF4-FFF2-40B4-BE49-F238E27FC236}">
                <a16:creationId xmlns:a16="http://schemas.microsoft.com/office/drawing/2014/main" id="{00000000-0008-0000-0B00-000013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Z1192"/>
  <sheetViews>
    <sheetView workbookViewId="0">
      <selection activeCell="E35" sqref="E35"/>
    </sheetView>
  </sheetViews>
  <sheetFormatPr defaultRowHeight="15" x14ac:dyDescent="0.25"/>
  <cols>
    <col min="1" max="1" width="1.42578125" customWidth="1"/>
    <col min="2" max="3" width="10.7109375" customWidth="1"/>
    <col min="4" max="4" width="1.7109375" customWidth="1"/>
    <col min="5" max="5" width="68.5703125" customWidth="1"/>
    <col min="6" max="6" width="1.5703125" style="1" customWidth="1"/>
    <col min="7" max="7" width="21.42578125" style="12" customWidth="1"/>
    <col min="8" max="8" width="24.42578125" style="12" customWidth="1"/>
    <col min="9" max="9" width="1.28515625" customWidth="1"/>
    <col min="10" max="10" width="18.28515625" style="137" customWidth="1"/>
    <col min="11" max="11" width="18.5703125" style="137" customWidth="1"/>
    <col min="12" max="15" width="14.85546875" style="137" customWidth="1"/>
    <col min="16" max="16" width="17.5703125" style="137" customWidth="1"/>
    <col min="17" max="17" width="19.28515625" style="137" customWidth="1"/>
    <col min="18" max="18" width="1.140625" style="2" customWidth="1"/>
    <col min="19" max="19" width="9" style="3" customWidth="1"/>
    <col min="20" max="20" width="14.28515625" customWidth="1"/>
    <col min="21" max="21" width="13" style="2" customWidth="1"/>
    <col min="22" max="23" width="13.85546875" style="2" customWidth="1"/>
    <col min="24" max="24" width="11.7109375" style="2" customWidth="1"/>
    <col min="25" max="25" width="1.5703125" customWidth="1"/>
    <col min="26" max="26" width="9.140625" style="2"/>
  </cols>
  <sheetData>
    <row r="1" spans="2:26" ht="7.5" customHeight="1" x14ac:dyDescent="0.25">
      <c r="G1"/>
      <c r="H1"/>
      <c r="U1"/>
      <c r="V1"/>
      <c r="W1"/>
      <c r="X1"/>
      <c r="Z1"/>
    </row>
    <row r="2" spans="2:26" ht="28.5" customHeight="1" x14ac:dyDescent="0.45">
      <c r="B2" s="4" t="s">
        <v>953</v>
      </c>
      <c r="C2" s="5"/>
      <c r="F2"/>
      <c r="G2" s="137"/>
      <c r="H2" s="137"/>
      <c r="I2" s="137"/>
      <c r="J2"/>
      <c r="K2"/>
      <c r="L2"/>
      <c r="O2" s="2"/>
      <c r="P2" s="3"/>
      <c r="Q2"/>
      <c r="R2"/>
      <c r="S2"/>
      <c r="U2"/>
      <c r="V2"/>
      <c r="W2"/>
      <c r="X2"/>
      <c r="Z2"/>
    </row>
    <row r="3" spans="2:26" ht="15" customHeight="1" x14ac:dyDescent="0.25">
      <c r="C3" s="1"/>
      <c r="F3"/>
      <c r="G3" s="137"/>
      <c r="H3" s="137"/>
      <c r="I3" s="137"/>
      <c r="J3"/>
      <c r="K3"/>
      <c r="L3"/>
      <c r="O3" s="2"/>
      <c r="P3" s="3"/>
      <c r="Q3"/>
      <c r="R3"/>
      <c r="S3"/>
      <c r="U3"/>
      <c r="V3"/>
      <c r="W3"/>
      <c r="X3"/>
      <c r="Z3"/>
    </row>
    <row r="4" spans="2:26" ht="15" customHeight="1" x14ac:dyDescent="0.25">
      <c r="B4" t="s">
        <v>983</v>
      </c>
      <c r="C4" s="1"/>
      <c r="F4"/>
      <c r="G4" s="192"/>
      <c r="H4" s="137"/>
      <c r="I4" s="137"/>
      <c r="J4"/>
      <c r="K4"/>
      <c r="L4"/>
      <c r="O4" s="2"/>
      <c r="P4" s="3"/>
      <c r="Q4"/>
      <c r="R4"/>
      <c r="S4"/>
      <c r="U4"/>
      <c r="V4"/>
      <c r="W4"/>
      <c r="X4"/>
      <c r="Z4"/>
    </row>
    <row r="5" spans="2:26" ht="15" customHeight="1" x14ac:dyDescent="0.25">
      <c r="C5" s="1"/>
      <c r="F5"/>
      <c r="G5" s="190"/>
      <c r="H5" s="191"/>
      <c r="I5" s="137"/>
      <c r="J5"/>
      <c r="K5"/>
      <c r="L5"/>
      <c r="O5" s="2"/>
      <c r="P5" s="3"/>
      <c r="Q5"/>
      <c r="R5"/>
      <c r="S5"/>
      <c r="U5"/>
      <c r="V5"/>
      <c r="W5"/>
      <c r="X5"/>
      <c r="Z5"/>
    </row>
    <row r="6" spans="2:26" ht="6" customHeight="1" x14ac:dyDescent="0.25">
      <c r="G6"/>
      <c r="H6"/>
      <c r="M6"/>
      <c r="N6"/>
      <c r="O6"/>
      <c r="U6"/>
      <c r="V6"/>
      <c r="W6"/>
      <c r="X6"/>
      <c r="Z6"/>
    </row>
    <row r="7" spans="2:26" x14ac:dyDescent="0.25">
      <c r="B7" s="6" t="s">
        <v>823</v>
      </c>
      <c r="E7" s="1"/>
      <c r="F7"/>
      <c r="G7"/>
      <c r="H7"/>
      <c r="I7" s="137"/>
      <c r="L7"/>
      <c r="M7"/>
      <c r="N7"/>
      <c r="Q7" s="2"/>
      <c r="R7" s="3"/>
      <c r="S7" s="7" t="b">
        <v>1</v>
      </c>
      <c r="U7"/>
      <c r="V7"/>
      <c r="W7"/>
      <c r="X7"/>
      <c r="Z7"/>
    </row>
    <row r="8" spans="2:26" x14ac:dyDescent="0.25">
      <c r="B8" s="6" t="s">
        <v>824</v>
      </c>
      <c r="E8" s="1"/>
      <c r="F8"/>
      <c r="G8"/>
      <c r="H8"/>
      <c r="I8" s="137"/>
      <c r="K8" s="198" t="b">
        <v>1</v>
      </c>
      <c r="L8"/>
      <c r="M8"/>
      <c r="N8"/>
      <c r="Q8" s="2"/>
      <c r="R8" s="3"/>
      <c r="S8" s="7" t="b">
        <v>1</v>
      </c>
      <c r="U8"/>
      <c r="V8"/>
      <c r="W8"/>
      <c r="X8"/>
      <c r="Z8"/>
    </row>
    <row r="9" spans="2:26" x14ac:dyDescent="0.25">
      <c r="C9" s="6"/>
      <c r="G9"/>
      <c r="H9"/>
      <c r="M9"/>
      <c r="N9"/>
      <c r="O9"/>
      <c r="T9" s="7" t="b">
        <v>1</v>
      </c>
      <c r="U9"/>
      <c r="V9"/>
      <c r="W9"/>
      <c r="X9"/>
      <c r="Z9"/>
    </row>
    <row r="10" spans="2:26" ht="6" customHeight="1" x14ac:dyDescent="0.25">
      <c r="G10"/>
      <c r="H10"/>
      <c r="M10"/>
      <c r="N10"/>
      <c r="O10"/>
      <c r="U10"/>
      <c r="V10"/>
      <c r="W10"/>
      <c r="X10"/>
      <c r="Z10"/>
    </row>
    <row r="11" spans="2:26" x14ac:dyDescent="0.25">
      <c r="B11" s="8"/>
      <c r="C11" s="2" t="s">
        <v>0</v>
      </c>
      <c r="E11" s="193"/>
      <c r="F11" s="10"/>
      <c r="G11"/>
      <c r="H11"/>
      <c r="M11"/>
      <c r="N11"/>
      <c r="O11"/>
      <c r="T11" s="7" t="b">
        <v>1</v>
      </c>
      <c r="U11"/>
      <c r="V11"/>
      <c r="W11"/>
      <c r="X11"/>
      <c r="Z11"/>
    </row>
    <row r="12" spans="2:26" x14ac:dyDescent="0.25">
      <c r="C12" s="2" t="s">
        <v>1</v>
      </c>
      <c r="E12" s="9"/>
      <c r="F12" s="10"/>
      <c r="G12"/>
      <c r="H12"/>
      <c r="M12"/>
      <c r="N12"/>
      <c r="O12"/>
      <c r="U12"/>
      <c r="V12"/>
      <c r="W12"/>
      <c r="X12"/>
      <c r="Z12"/>
    </row>
    <row r="13" spans="2:26" x14ac:dyDescent="0.25">
      <c r="C13" s="2" t="s">
        <v>2</v>
      </c>
      <c r="E13" s="9"/>
      <c r="F13" s="10"/>
      <c r="G13"/>
      <c r="H13"/>
      <c r="M13"/>
      <c r="N13"/>
      <c r="O13"/>
      <c r="U13"/>
      <c r="V13"/>
      <c r="W13"/>
      <c r="X13"/>
      <c r="Z13"/>
    </row>
    <row r="14" spans="2:26" x14ac:dyDescent="0.25">
      <c r="C14" s="2" t="s">
        <v>768</v>
      </c>
      <c r="E14" s="9"/>
      <c r="F14" s="10"/>
      <c r="G14"/>
      <c r="H14"/>
      <c r="M14"/>
      <c r="N14"/>
      <c r="O14"/>
      <c r="U14"/>
      <c r="V14"/>
      <c r="W14"/>
      <c r="X14"/>
      <c r="Z14"/>
    </row>
    <row r="15" spans="2:26" x14ac:dyDescent="0.25">
      <c r="E15" s="11"/>
      <c r="S15"/>
      <c r="U15"/>
      <c r="V15"/>
      <c r="X15"/>
      <c r="Z15"/>
    </row>
    <row r="16" spans="2:26" x14ac:dyDescent="0.25">
      <c r="D16" s="13"/>
      <c r="S16" s="294" t="s">
        <v>426</v>
      </c>
      <c r="T16" s="294"/>
      <c r="U16" s="294"/>
      <c r="V16" s="294"/>
      <c r="W16" s="294"/>
      <c r="X16" s="294"/>
    </row>
    <row r="17" spans="2:26" ht="33" customHeight="1" x14ac:dyDescent="0.25">
      <c r="B17" s="14" t="s">
        <v>3</v>
      </c>
      <c r="C17" s="14" t="s">
        <v>4</v>
      </c>
      <c r="D17" s="15"/>
      <c r="E17" s="16" t="s">
        <v>10</v>
      </c>
      <c r="F17" s="17"/>
      <c r="G17" s="18" t="s">
        <v>5</v>
      </c>
      <c r="H17" s="18" t="s">
        <v>6</v>
      </c>
      <c r="I17" s="107"/>
      <c r="J17" s="136" t="s">
        <v>770</v>
      </c>
      <c r="K17" s="136" t="s">
        <v>774</v>
      </c>
      <c r="L17" s="136" t="s">
        <v>448</v>
      </c>
      <c r="M17" s="136" t="s">
        <v>424</v>
      </c>
      <c r="N17" s="136" t="s">
        <v>772</v>
      </c>
      <c r="O17" s="136" t="s">
        <v>771</v>
      </c>
      <c r="P17" s="136" t="s">
        <v>773</v>
      </c>
      <c r="Q17" s="136" t="s">
        <v>769</v>
      </c>
      <c r="R17"/>
      <c r="S17" s="115" t="s">
        <v>9</v>
      </c>
      <c r="T17" s="115" t="s">
        <v>192</v>
      </c>
      <c r="U17" s="115" t="s">
        <v>193</v>
      </c>
      <c r="V17" s="115" t="s">
        <v>425</v>
      </c>
      <c r="W17" s="115" t="s">
        <v>19</v>
      </c>
      <c r="X17" s="115" t="s">
        <v>194</v>
      </c>
      <c r="Z17"/>
    </row>
    <row r="18" spans="2:26" x14ac:dyDescent="0.25">
      <c r="F18"/>
      <c r="G18"/>
      <c r="H18"/>
      <c r="J18"/>
      <c r="K18"/>
      <c r="L18"/>
      <c r="M18"/>
      <c r="N18"/>
      <c r="O18"/>
      <c r="P18"/>
      <c r="Q18"/>
      <c r="R18"/>
      <c r="S18"/>
      <c r="U18"/>
      <c r="V18"/>
      <c r="W18"/>
      <c r="X18"/>
      <c r="Z18"/>
    </row>
    <row r="19" spans="2:26" x14ac:dyDescent="0.25">
      <c r="F19"/>
      <c r="G19"/>
      <c r="H19"/>
      <c r="J19"/>
      <c r="K19"/>
      <c r="L19"/>
      <c r="M19"/>
      <c r="N19"/>
      <c r="O19"/>
      <c r="P19"/>
      <c r="Q19"/>
      <c r="R19"/>
      <c r="S19"/>
      <c r="U19"/>
      <c r="V19"/>
      <c r="W19"/>
      <c r="X19"/>
      <c r="Z19"/>
    </row>
    <row r="20" spans="2:26" x14ac:dyDescent="0.25">
      <c r="F20"/>
      <c r="G20"/>
      <c r="H20"/>
      <c r="J20"/>
      <c r="K20"/>
      <c r="L20"/>
      <c r="M20"/>
      <c r="N20"/>
      <c r="O20"/>
      <c r="P20"/>
      <c r="Q20"/>
      <c r="R20"/>
      <c r="S20"/>
      <c r="U20"/>
      <c r="V20"/>
      <c r="W20"/>
      <c r="X20"/>
      <c r="Z20"/>
    </row>
    <row r="21" spans="2:26" x14ac:dyDescent="0.25">
      <c r="F21"/>
      <c r="G21"/>
      <c r="H21"/>
      <c r="J21"/>
      <c r="K21"/>
      <c r="L21"/>
      <c r="M21"/>
      <c r="N21"/>
      <c r="O21"/>
      <c r="P21"/>
      <c r="Q21"/>
      <c r="R21"/>
      <c r="S21"/>
      <c r="U21"/>
      <c r="V21"/>
      <c r="W21"/>
      <c r="X21"/>
      <c r="Z21"/>
    </row>
    <row r="22" spans="2:26" ht="15" customHeight="1" x14ac:dyDescent="0.25">
      <c r="F22"/>
      <c r="G22"/>
      <c r="H22"/>
      <c r="J22"/>
      <c r="K22"/>
      <c r="L22"/>
      <c r="M22"/>
      <c r="N22"/>
      <c r="O22"/>
      <c r="P22"/>
      <c r="Q22"/>
      <c r="R22"/>
      <c r="S22"/>
      <c r="U22"/>
      <c r="V22"/>
      <c r="W22"/>
      <c r="X22"/>
      <c r="Z22"/>
    </row>
    <row r="23" spans="2:26" x14ac:dyDescent="0.25">
      <c r="F23"/>
      <c r="G23"/>
      <c r="H23"/>
      <c r="J23"/>
      <c r="K23"/>
      <c r="L23"/>
      <c r="M23"/>
      <c r="N23"/>
      <c r="O23"/>
      <c r="P23"/>
      <c r="Q23"/>
      <c r="R23"/>
      <c r="S23"/>
      <c r="U23"/>
      <c r="V23"/>
      <c r="W23"/>
      <c r="X23"/>
      <c r="Z23"/>
    </row>
    <row r="24" spans="2:26" x14ac:dyDescent="0.25">
      <c r="F24"/>
      <c r="G24"/>
      <c r="H24"/>
      <c r="J24"/>
      <c r="K24"/>
      <c r="L24"/>
      <c r="M24"/>
      <c r="N24"/>
      <c r="O24"/>
      <c r="P24"/>
      <c r="Q24"/>
      <c r="R24"/>
      <c r="S24"/>
      <c r="U24"/>
      <c r="V24"/>
      <c r="W24"/>
      <c r="X24"/>
      <c r="Z24"/>
    </row>
    <row r="25" spans="2:26" x14ac:dyDescent="0.25">
      <c r="F25"/>
      <c r="G25"/>
      <c r="H25"/>
      <c r="J25"/>
      <c r="K25"/>
      <c r="L25"/>
      <c r="M25"/>
      <c r="N25"/>
      <c r="O25"/>
      <c r="P25"/>
      <c r="Q25"/>
      <c r="R25"/>
      <c r="S25"/>
      <c r="U25"/>
      <c r="V25"/>
      <c r="W25"/>
      <c r="X25"/>
      <c r="Z25"/>
    </row>
    <row r="26" spans="2:26" x14ac:dyDescent="0.25">
      <c r="F26"/>
      <c r="G26"/>
      <c r="H26"/>
      <c r="J26"/>
      <c r="K26"/>
      <c r="L26"/>
      <c r="M26"/>
      <c r="N26"/>
      <c r="O26"/>
      <c r="P26"/>
      <c r="Q26"/>
      <c r="R26"/>
      <c r="S26"/>
      <c r="U26"/>
      <c r="V26"/>
      <c r="W26"/>
      <c r="X26"/>
      <c r="Z26"/>
    </row>
    <row r="27" spans="2:26" x14ac:dyDescent="0.25">
      <c r="F27"/>
      <c r="G27"/>
      <c r="H27"/>
      <c r="J27"/>
      <c r="K27"/>
      <c r="L27"/>
      <c r="M27"/>
      <c r="N27"/>
      <c r="O27"/>
      <c r="P27"/>
      <c r="Q27"/>
      <c r="R27"/>
      <c r="S27"/>
      <c r="U27"/>
      <c r="V27"/>
      <c r="W27"/>
      <c r="X27"/>
      <c r="Z27"/>
    </row>
    <row r="28" spans="2:26" x14ac:dyDescent="0.25">
      <c r="F28"/>
      <c r="G28"/>
      <c r="H28"/>
      <c r="J28"/>
      <c r="K28"/>
      <c r="L28"/>
      <c r="M28"/>
      <c r="N28"/>
      <c r="O28"/>
      <c r="P28"/>
      <c r="Q28"/>
      <c r="R28"/>
      <c r="S28"/>
      <c r="U28"/>
      <c r="V28"/>
      <c r="W28"/>
      <c r="X28"/>
      <c r="Z28"/>
    </row>
    <row r="29" spans="2:26" x14ac:dyDescent="0.25">
      <c r="F29"/>
      <c r="G29"/>
      <c r="H29"/>
      <c r="J29"/>
      <c r="K29"/>
      <c r="L29"/>
      <c r="M29"/>
      <c r="N29"/>
      <c r="O29"/>
      <c r="P29"/>
      <c r="Q29"/>
      <c r="R29"/>
      <c r="S29"/>
      <c r="U29"/>
      <c r="V29"/>
      <c r="W29"/>
      <c r="X29"/>
      <c r="Z29"/>
    </row>
    <row r="30" spans="2:26" x14ac:dyDescent="0.25">
      <c r="F30"/>
      <c r="G30"/>
      <c r="H30"/>
      <c r="J30"/>
      <c r="K30"/>
      <c r="L30"/>
      <c r="M30"/>
      <c r="N30"/>
      <c r="O30"/>
      <c r="P30"/>
      <c r="Q30"/>
      <c r="R30"/>
      <c r="S30"/>
      <c r="U30"/>
      <c r="V30"/>
      <c r="W30"/>
      <c r="X30"/>
      <c r="Z30"/>
    </row>
    <row r="31" spans="2:26" x14ac:dyDescent="0.25">
      <c r="F31"/>
      <c r="G31"/>
      <c r="H31"/>
      <c r="J31"/>
      <c r="K31"/>
      <c r="L31"/>
      <c r="M31"/>
      <c r="N31"/>
      <c r="O31"/>
      <c r="P31"/>
      <c r="Q31"/>
      <c r="R31"/>
      <c r="S31"/>
      <c r="U31"/>
      <c r="V31"/>
      <c r="W31"/>
      <c r="X31"/>
      <c r="Z31"/>
    </row>
    <row r="32" spans="2:26" x14ac:dyDescent="0.25">
      <c r="F32"/>
      <c r="G32"/>
      <c r="H32"/>
      <c r="J32"/>
      <c r="K32"/>
      <c r="L32"/>
      <c r="M32"/>
      <c r="N32"/>
      <c r="O32"/>
      <c r="P32"/>
      <c r="Q32"/>
      <c r="R32"/>
      <c r="S32"/>
      <c r="U32"/>
      <c r="V32"/>
      <c r="W32"/>
      <c r="X32"/>
      <c r="Z32"/>
    </row>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spans="2:26" x14ac:dyDescent="0.25">
      <c r="F1009"/>
      <c r="G1009"/>
      <c r="H1009"/>
      <c r="J1009"/>
      <c r="K1009"/>
      <c r="L1009"/>
      <c r="M1009"/>
      <c r="N1009"/>
      <c r="O1009"/>
      <c r="P1009"/>
      <c r="Q1009"/>
      <c r="R1009"/>
      <c r="S1009"/>
      <c r="U1009"/>
      <c r="V1009"/>
      <c r="W1009"/>
      <c r="X1009"/>
      <c r="Z1009"/>
    </row>
    <row r="1010" spans="2:26" x14ac:dyDescent="0.25">
      <c r="F1010"/>
      <c r="G1010"/>
      <c r="H1010"/>
      <c r="J1010"/>
      <c r="K1010"/>
      <c r="L1010"/>
      <c r="M1010"/>
      <c r="N1010"/>
      <c r="O1010"/>
      <c r="P1010"/>
      <c r="Q1010"/>
      <c r="R1010"/>
      <c r="S1010"/>
      <c r="U1010"/>
      <c r="V1010"/>
      <c r="W1010"/>
      <c r="X1010"/>
      <c r="Z1010"/>
    </row>
    <row r="1011" spans="2:26" x14ac:dyDescent="0.25">
      <c r="F1011"/>
      <c r="G1011"/>
      <c r="H1011"/>
      <c r="J1011"/>
      <c r="K1011"/>
      <c r="L1011"/>
      <c r="M1011"/>
      <c r="N1011"/>
      <c r="O1011"/>
      <c r="P1011"/>
      <c r="Q1011"/>
      <c r="R1011"/>
      <c r="S1011"/>
      <c r="U1011"/>
      <c r="V1011"/>
      <c r="W1011"/>
      <c r="X1011"/>
      <c r="Z1011"/>
    </row>
    <row r="1012" spans="2:26" x14ac:dyDescent="0.25">
      <c r="F1012"/>
      <c r="G1012"/>
      <c r="H1012"/>
      <c r="J1012"/>
      <c r="K1012"/>
      <c r="L1012"/>
      <c r="M1012"/>
      <c r="N1012"/>
      <c r="O1012"/>
      <c r="P1012"/>
      <c r="Q1012"/>
      <c r="R1012"/>
      <c r="S1012"/>
      <c r="U1012"/>
      <c r="V1012"/>
      <c r="W1012"/>
      <c r="X1012"/>
      <c r="Z1012"/>
    </row>
    <row r="1013" spans="2:26" x14ac:dyDescent="0.25">
      <c r="F1013"/>
      <c r="G1013"/>
      <c r="H1013"/>
      <c r="J1013"/>
      <c r="K1013"/>
      <c r="L1013"/>
      <c r="M1013"/>
      <c r="N1013"/>
      <c r="O1013"/>
      <c r="P1013"/>
      <c r="Q1013"/>
      <c r="R1013"/>
      <c r="S1013"/>
      <c r="U1013"/>
      <c r="V1013"/>
      <c r="W1013"/>
      <c r="X1013"/>
      <c r="Z1013"/>
    </row>
    <row r="1014" spans="2:26" x14ac:dyDescent="0.25">
      <c r="F1014"/>
      <c r="G1014"/>
      <c r="H1014"/>
      <c r="J1014"/>
      <c r="K1014"/>
      <c r="L1014"/>
      <c r="M1014"/>
      <c r="N1014"/>
      <c r="O1014"/>
      <c r="P1014"/>
      <c r="Q1014"/>
      <c r="R1014"/>
      <c r="S1014"/>
      <c r="U1014"/>
      <c r="V1014"/>
      <c r="W1014"/>
      <c r="X1014"/>
      <c r="Z1014"/>
    </row>
    <row r="1015" spans="2:26" x14ac:dyDescent="0.25">
      <c r="F1015"/>
      <c r="G1015"/>
      <c r="H1015"/>
      <c r="J1015"/>
      <c r="K1015"/>
      <c r="L1015"/>
      <c r="M1015"/>
      <c r="N1015"/>
      <c r="O1015"/>
      <c r="P1015"/>
      <c r="Q1015"/>
      <c r="R1015"/>
      <c r="S1015"/>
      <c r="U1015"/>
      <c r="V1015"/>
      <c r="W1015"/>
      <c r="X1015"/>
      <c r="Z1015"/>
    </row>
    <row r="1016" spans="2:26" x14ac:dyDescent="0.25">
      <c r="F1016"/>
      <c r="G1016"/>
      <c r="H1016"/>
      <c r="J1016"/>
      <c r="K1016"/>
      <c r="L1016"/>
      <c r="M1016"/>
      <c r="N1016"/>
      <c r="O1016"/>
      <c r="P1016"/>
      <c r="Q1016"/>
      <c r="R1016"/>
      <c r="S1016"/>
      <c r="U1016"/>
      <c r="V1016"/>
      <c r="W1016"/>
      <c r="X1016"/>
      <c r="Z1016"/>
    </row>
    <row r="1017" spans="2:26" x14ac:dyDescent="0.25">
      <c r="F1017"/>
      <c r="G1017"/>
      <c r="H1017"/>
      <c r="J1017"/>
      <c r="K1017"/>
      <c r="L1017"/>
      <c r="M1017"/>
      <c r="N1017"/>
      <c r="O1017"/>
      <c r="P1017"/>
      <c r="Q1017"/>
      <c r="R1017"/>
      <c r="S1017"/>
      <c r="U1017"/>
      <c r="V1017"/>
      <c r="W1017"/>
      <c r="X1017"/>
      <c r="Z1017"/>
    </row>
    <row r="1018" spans="2:26" x14ac:dyDescent="0.25">
      <c r="B1018" s="19"/>
      <c r="C1018" s="19"/>
      <c r="E1018" s="19"/>
      <c r="J1018" s="138"/>
      <c r="K1018" s="138"/>
      <c r="L1018" s="138"/>
      <c r="M1018" s="138"/>
      <c r="N1018" s="138"/>
      <c r="O1018" s="138"/>
      <c r="P1018" s="138"/>
      <c r="Q1018" s="138"/>
      <c r="R1018" s="19"/>
      <c r="S1018" s="19"/>
      <c r="T1018" s="19"/>
      <c r="U1018" s="19"/>
      <c r="V1018" s="19"/>
      <c r="W1018" s="19"/>
      <c r="X1018" s="19"/>
      <c r="Z1018" s="19"/>
    </row>
    <row r="1019" spans="2:26" x14ac:dyDescent="0.25">
      <c r="B1019" s="19"/>
      <c r="C1019" s="19"/>
      <c r="E1019" s="19"/>
      <c r="J1019" s="138"/>
      <c r="K1019" s="138"/>
      <c r="L1019" s="138"/>
      <c r="M1019" s="138"/>
      <c r="N1019" s="138"/>
      <c r="O1019" s="138"/>
      <c r="P1019" s="138"/>
      <c r="Q1019" s="138"/>
      <c r="R1019" s="19"/>
      <c r="S1019" s="19"/>
      <c r="T1019" s="19"/>
      <c r="U1019" s="19"/>
      <c r="V1019" s="19"/>
      <c r="W1019" s="19"/>
      <c r="X1019" s="19"/>
      <c r="Z1019" s="19"/>
    </row>
    <row r="1020" spans="2:26" x14ac:dyDescent="0.25">
      <c r="B1020" s="19"/>
      <c r="C1020" s="19"/>
      <c r="E1020" s="19"/>
      <c r="J1020" s="138"/>
      <c r="K1020" s="138"/>
      <c r="L1020" s="138"/>
      <c r="M1020" s="138"/>
      <c r="N1020" s="138"/>
      <c r="O1020" s="138"/>
      <c r="P1020" s="138"/>
      <c r="Q1020" s="138"/>
      <c r="R1020" s="19"/>
      <c r="S1020" s="19"/>
      <c r="T1020" s="19"/>
      <c r="U1020" s="19"/>
      <c r="V1020" s="19"/>
      <c r="W1020" s="19"/>
      <c r="X1020" s="19"/>
      <c r="Z1020" s="19"/>
    </row>
    <row r="1021" spans="2:26" x14ac:dyDescent="0.25">
      <c r="B1021" s="19"/>
      <c r="C1021" s="19"/>
      <c r="E1021" s="19"/>
      <c r="J1021" s="138"/>
      <c r="K1021" s="138"/>
      <c r="L1021" s="138"/>
      <c r="M1021" s="138"/>
      <c r="N1021" s="138"/>
      <c r="O1021" s="138"/>
      <c r="P1021" s="138"/>
      <c r="Q1021" s="138"/>
      <c r="R1021" s="19"/>
      <c r="S1021" s="19"/>
      <c r="T1021" s="19"/>
      <c r="U1021" s="19"/>
      <c r="V1021" s="19"/>
      <c r="W1021" s="19"/>
      <c r="X1021" s="19"/>
      <c r="Z1021" s="19"/>
    </row>
    <row r="1022" spans="2:26" x14ac:dyDescent="0.25">
      <c r="B1022" s="19"/>
      <c r="C1022" s="19"/>
      <c r="E1022" s="19"/>
      <c r="J1022" s="138"/>
      <c r="K1022" s="138"/>
      <c r="L1022" s="138"/>
      <c r="M1022" s="138"/>
      <c r="N1022" s="138"/>
      <c r="O1022" s="138"/>
      <c r="P1022" s="138"/>
      <c r="Q1022" s="138"/>
      <c r="R1022" s="19"/>
      <c r="S1022" s="19"/>
      <c r="T1022" s="19"/>
      <c r="U1022" s="19"/>
      <c r="V1022" s="19"/>
      <c r="W1022" s="19"/>
      <c r="X1022" s="19"/>
      <c r="Z1022" s="19"/>
    </row>
    <row r="1023" spans="2:26" x14ac:dyDescent="0.25">
      <c r="B1023" s="19"/>
      <c r="C1023" s="19"/>
      <c r="E1023" s="19"/>
      <c r="J1023" s="138"/>
      <c r="K1023" s="138"/>
      <c r="L1023" s="138"/>
      <c r="M1023" s="138"/>
      <c r="N1023" s="138"/>
      <c r="O1023" s="138"/>
      <c r="P1023" s="138"/>
      <c r="Q1023" s="138"/>
      <c r="R1023" s="19"/>
      <c r="S1023" s="19"/>
      <c r="T1023" s="19"/>
      <c r="U1023" s="19"/>
      <c r="V1023" s="19"/>
      <c r="W1023" s="19"/>
      <c r="X1023" s="19"/>
      <c r="Z1023" s="19"/>
    </row>
    <row r="1024" spans="2:26" x14ac:dyDescent="0.25">
      <c r="B1024" s="19"/>
      <c r="C1024" s="19"/>
      <c r="E1024" s="19"/>
      <c r="J1024" s="138"/>
      <c r="K1024" s="138"/>
      <c r="L1024" s="138"/>
      <c r="M1024" s="138"/>
      <c r="N1024" s="138"/>
      <c r="O1024" s="138"/>
      <c r="P1024" s="138"/>
      <c r="Q1024" s="138"/>
      <c r="R1024" s="19"/>
      <c r="S1024" s="19"/>
      <c r="T1024" s="19"/>
      <c r="U1024" s="19"/>
      <c r="V1024" s="19"/>
      <c r="W1024" s="19"/>
      <c r="X1024" s="19"/>
      <c r="Z1024" s="19"/>
    </row>
    <row r="1025" spans="2:26" x14ac:dyDescent="0.25">
      <c r="B1025" s="19"/>
      <c r="C1025" s="19"/>
      <c r="E1025" s="19"/>
      <c r="J1025" s="138"/>
      <c r="K1025" s="138"/>
      <c r="L1025" s="138"/>
      <c r="M1025" s="138"/>
      <c r="N1025" s="138"/>
      <c r="O1025" s="138"/>
      <c r="P1025" s="138"/>
      <c r="Q1025" s="138"/>
      <c r="R1025" s="19"/>
      <c r="S1025" s="19"/>
      <c r="T1025" s="19"/>
      <c r="U1025" s="19"/>
      <c r="V1025" s="19"/>
      <c r="W1025" s="19"/>
      <c r="X1025" s="19"/>
      <c r="Z1025" s="19"/>
    </row>
    <row r="1026" spans="2:26" x14ac:dyDescent="0.25">
      <c r="B1026" s="19"/>
      <c r="C1026" s="19"/>
      <c r="E1026" s="19"/>
      <c r="J1026" s="138"/>
      <c r="K1026" s="138"/>
      <c r="L1026" s="138"/>
      <c r="M1026" s="138"/>
      <c r="N1026" s="138"/>
      <c r="O1026" s="138"/>
      <c r="P1026" s="138"/>
      <c r="Q1026" s="138"/>
      <c r="R1026" s="19"/>
      <c r="S1026" s="19"/>
      <c r="T1026" s="19"/>
      <c r="U1026" s="19"/>
      <c r="V1026" s="19"/>
      <c r="W1026" s="19"/>
      <c r="X1026" s="19"/>
      <c r="Z1026" s="19"/>
    </row>
    <row r="1027" spans="2:26" x14ac:dyDescent="0.25">
      <c r="B1027" s="19"/>
      <c r="C1027" s="19"/>
      <c r="E1027" s="19"/>
      <c r="J1027" s="138"/>
      <c r="K1027" s="138"/>
      <c r="L1027" s="138"/>
      <c r="M1027" s="138"/>
      <c r="N1027" s="138"/>
      <c r="O1027" s="138"/>
      <c r="P1027" s="138"/>
      <c r="Q1027" s="138"/>
      <c r="R1027" s="19"/>
      <c r="S1027" s="19"/>
      <c r="T1027" s="19"/>
      <c r="U1027" s="19"/>
      <c r="V1027" s="19"/>
      <c r="W1027" s="19"/>
      <c r="X1027" s="19"/>
      <c r="Z1027" s="19"/>
    </row>
    <row r="1028" spans="2:26" x14ac:dyDescent="0.25">
      <c r="B1028" s="19"/>
      <c r="C1028" s="19"/>
      <c r="E1028" s="19"/>
      <c r="J1028" s="138"/>
      <c r="K1028" s="138"/>
      <c r="L1028" s="138"/>
      <c r="M1028" s="138"/>
      <c r="N1028" s="138"/>
      <c r="O1028" s="138"/>
      <c r="P1028" s="138"/>
      <c r="Q1028" s="138"/>
      <c r="R1028" s="19"/>
      <c r="S1028" s="19"/>
      <c r="T1028" s="19"/>
      <c r="U1028" s="19"/>
      <c r="V1028" s="19"/>
      <c r="W1028" s="19"/>
      <c r="X1028" s="19"/>
      <c r="Z1028" s="19"/>
    </row>
    <row r="1029" spans="2:26" x14ac:dyDescent="0.25">
      <c r="B1029" s="19"/>
      <c r="C1029" s="19"/>
      <c r="E1029" s="19"/>
      <c r="J1029" s="138"/>
      <c r="K1029" s="138"/>
      <c r="L1029" s="138"/>
      <c r="M1029" s="138"/>
      <c r="N1029" s="138"/>
      <c r="O1029" s="138"/>
      <c r="P1029" s="138"/>
      <c r="Q1029" s="138"/>
      <c r="R1029" s="19"/>
      <c r="S1029" s="19"/>
      <c r="T1029" s="19"/>
      <c r="U1029" s="19"/>
      <c r="V1029" s="19"/>
      <c r="W1029" s="19"/>
      <c r="X1029" s="19"/>
      <c r="Z1029" s="19"/>
    </row>
    <row r="1030" spans="2:26" x14ac:dyDescent="0.25">
      <c r="B1030" s="19"/>
      <c r="C1030" s="19"/>
      <c r="E1030" s="19"/>
      <c r="J1030" s="138"/>
      <c r="K1030" s="138"/>
      <c r="L1030" s="138"/>
      <c r="M1030" s="138"/>
      <c r="N1030" s="138"/>
      <c r="O1030" s="138"/>
      <c r="P1030" s="138"/>
      <c r="Q1030" s="138"/>
      <c r="R1030" s="19"/>
      <c r="S1030" s="19"/>
      <c r="T1030" s="19"/>
      <c r="U1030" s="19"/>
      <c r="V1030" s="19"/>
      <c r="W1030" s="19"/>
      <c r="X1030" s="19"/>
      <c r="Z1030" s="19"/>
    </row>
    <row r="1031" spans="2:26" x14ac:dyDescent="0.25">
      <c r="B1031" s="19"/>
      <c r="C1031" s="19"/>
      <c r="E1031" s="19"/>
      <c r="J1031" s="138"/>
      <c r="K1031" s="138"/>
      <c r="L1031" s="138"/>
      <c r="M1031" s="138"/>
      <c r="N1031" s="138"/>
      <c r="O1031" s="138"/>
      <c r="P1031" s="138"/>
      <c r="Q1031" s="138"/>
      <c r="R1031" s="19"/>
      <c r="S1031" s="19"/>
      <c r="T1031" s="19"/>
      <c r="U1031" s="19"/>
      <c r="V1031" s="19"/>
      <c r="W1031" s="19"/>
      <c r="X1031" s="19"/>
      <c r="Z1031" s="19"/>
    </row>
    <row r="1032" spans="2:26" x14ac:dyDescent="0.25">
      <c r="B1032" s="19"/>
      <c r="C1032" s="19"/>
      <c r="E1032" s="19"/>
      <c r="J1032" s="138"/>
      <c r="K1032" s="138"/>
      <c r="L1032" s="138"/>
      <c r="M1032" s="138"/>
      <c r="N1032" s="138"/>
      <c r="O1032" s="138"/>
      <c r="P1032" s="138"/>
      <c r="Q1032" s="138"/>
      <c r="R1032" s="19"/>
      <c r="S1032" s="19"/>
      <c r="T1032" s="19"/>
      <c r="U1032" s="19"/>
      <c r="V1032" s="19"/>
      <c r="W1032" s="19"/>
      <c r="X1032" s="19"/>
      <c r="Z1032" s="19"/>
    </row>
    <row r="1033" spans="2:26" x14ac:dyDescent="0.25">
      <c r="B1033" s="19"/>
      <c r="C1033" s="19"/>
      <c r="E1033" s="19"/>
      <c r="J1033" s="138"/>
      <c r="K1033" s="138"/>
      <c r="L1033" s="138"/>
      <c r="M1033" s="138"/>
      <c r="N1033" s="138"/>
      <c r="O1033" s="138"/>
      <c r="P1033" s="138"/>
      <c r="Q1033" s="138"/>
      <c r="R1033" s="19"/>
      <c r="S1033" s="19"/>
      <c r="T1033" s="19"/>
      <c r="U1033" s="19"/>
      <c r="V1033" s="19"/>
      <c r="W1033" s="19"/>
      <c r="X1033" s="19"/>
      <c r="Z1033" s="19"/>
    </row>
    <row r="1034" spans="2:26" x14ac:dyDescent="0.25">
      <c r="B1034" s="19"/>
      <c r="C1034" s="19"/>
      <c r="E1034" s="19"/>
      <c r="J1034" s="138"/>
      <c r="K1034" s="138"/>
      <c r="L1034" s="138"/>
      <c r="M1034" s="138"/>
      <c r="N1034" s="138"/>
      <c r="O1034" s="138"/>
      <c r="P1034" s="138"/>
      <c r="Q1034" s="138"/>
      <c r="R1034" s="19"/>
      <c r="S1034" s="19"/>
      <c r="T1034" s="19"/>
      <c r="U1034" s="19"/>
      <c r="V1034" s="19"/>
      <c r="W1034" s="19"/>
      <c r="X1034" s="19"/>
      <c r="Z1034" s="19"/>
    </row>
    <row r="1035" spans="2:26" x14ac:dyDescent="0.25">
      <c r="B1035" s="19"/>
      <c r="C1035" s="19"/>
      <c r="E1035" s="19"/>
      <c r="J1035" s="138"/>
      <c r="K1035" s="138"/>
      <c r="L1035" s="138"/>
      <c r="M1035" s="138"/>
      <c r="N1035" s="138"/>
      <c r="O1035" s="138"/>
      <c r="P1035" s="138"/>
      <c r="Q1035" s="138"/>
      <c r="R1035" s="19"/>
      <c r="S1035" s="19"/>
      <c r="T1035" s="19"/>
      <c r="U1035" s="19"/>
      <c r="V1035" s="19"/>
      <c r="W1035" s="19"/>
      <c r="X1035" s="19"/>
      <c r="Z1035" s="19"/>
    </row>
    <row r="1036" spans="2:26" x14ac:dyDescent="0.25">
      <c r="B1036" s="19"/>
      <c r="C1036" s="19"/>
      <c r="E1036" s="19"/>
      <c r="J1036" s="138"/>
      <c r="K1036" s="138"/>
      <c r="L1036" s="138"/>
      <c r="M1036" s="138"/>
      <c r="N1036" s="138"/>
      <c r="O1036" s="138"/>
      <c r="P1036" s="138"/>
      <c r="Q1036" s="138"/>
      <c r="R1036" s="19"/>
      <c r="S1036" s="19"/>
      <c r="T1036" s="19"/>
      <c r="U1036" s="19"/>
      <c r="V1036" s="19"/>
      <c r="W1036" s="19"/>
      <c r="X1036" s="19"/>
      <c r="Z1036" s="19"/>
    </row>
    <row r="1037" spans="2:26" x14ac:dyDescent="0.25">
      <c r="B1037" s="19"/>
      <c r="C1037" s="19"/>
      <c r="E1037" s="19"/>
      <c r="J1037" s="138"/>
      <c r="K1037" s="138"/>
      <c r="L1037" s="138"/>
      <c r="M1037" s="138"/>
      <c r="N1037" s="138"/>
      <c r="O1037" s="138"/>
      <c r="P1037" s="138"/>
      <c r="Q1037" s="138"/>
      <c r="R1037" s="19"/>
      <c r="S1037" s="19"/>
      <c r="T1037" s="19"/>
      <c r="U1037" s="19"/>
      <c r="V1037" s="19"/>
      <c r="W1037" s="19"/>
      <c r="X1037" s="19"/>
      <c r="Z1037" s="19"/>
    </row>
    <row r="1038" spans="2:26" x14ac:dyDescent="0.25">
      <c r="B1038" s="19"/>
      <c r="C1038" s="19"/>
      <c r="E1038" s="19"/>
      <c r="J1038" s="138"/>
      <c r="K1038" s="138"/>
      <c r="L1038" s="138"/>
      <c r="M1038" s="138"/>
      <c r="N1038" s="138"/>
      <c r="O1038" s="138"/>
      <c r="P1038" s="138"/>
      <c r="Q1038" s="138"/>
      <c r="R1038" s="19"/>
      <c r="S1038" s="19"/>
      <c r="T1038" s="19"/>
      <c r="U1038" s="19"/>
      <c r="V1038" s="19"/>
      <c r="W1038" s="19"/>
      <c r="X1038" s="19"/>
      <c r="Z1038" s="19"/>
    </row>
    <row r="1039" spans="2:26" x14ac:dyDescent="0.25">
      <c r="B1039" s="19"/>
      <c r="C1039" s="19"/>
      <c r="E1039" s="19"/>
      <c r="J1039" s="138"/>
      <c r="K1039" s="138"/>
      <c r="L1039" s="138"/>
      <c r="M1039" s="138"/>
      <c r="N1039" s="138"/>
      <c r="O1039" s="138"/>
      <c r="P1039" s="138"/>
      <c r="Q1039" s="138"/>
      <c r="R1039" s="19"/>
      <c r="S1039" s="19"/>
      <c r="T1039" s="19"/>
      <c r="U1039" s="19"/>
      <c r="V1039" s="19"/>
      <c r="W1039" s="19"/>
      <c r="X1039" s="19"/>
      <c r="Z1039" s="19"/>
    </row>
    <row r="1040" spans="2:26" x14ac:dyDescent="0.25">
      <c r="B1040" s="19"/>
      <c r="C1040" s="19"/>
      <c r="E1040" s="19"/>
      <c r="J1040" s="138"/>
      <c r="K1040" s="138"/>
      <c r="L1040" s="138"/>
      <c r="M1040" s="138"/>
      <c r="N1040" s="138"/>
      <c r="O1040" s="138"/>
      <c r="P1040" s="138"/>
      <c r="Q1040" s="138"/>
      <c r="R1040" s="19"/>
      <c r="S1040" s="19"/>
      <c r="T1040" s="19"/>
      <c r="U1040" s="19"/>
      <c r="V1040" s="19"/>
      <c r="W1040" s="19"/>
      <c r="X1040" s="19"/>
      <c r="Z1040" s="19"/>
    </row>
    <row r="1041" spans="2:26" x14ac:dyDescent="0.25">
      <c r="B1041" s="19"/>
      <c r="C1041" s="19"/>
      <c r="E1041" s="19"/>
      <c r="J1041" s="138"/>
      <c r="K1041" s="138"/>
      <c r="L1041" s="138"/>
      <c r="M1041" s="138"/>
      <c r="N1041" s="138"/>
      <c r="O1041" s="138"/>
      <c r="P1041" s="138"/>
      <c r="Q1041" s="138"/>
      <c r="R1041" s="19"/>
      <c r="S1041" s="19"/>
      <c r="T1041" s="19"/>
      <c r="U1041" s="19"/>
      <c r="V1041" s="19"/>
      <c r="W1041" s="19"/>
      <c r="X1041" s="19"/>
      <c r="Z1041" s="19"/>
    </row>
    <row r="1042" spans="2:26" x14ac:dyDescent="0.25">
      <c r="B1042" s="19"/>
      <c r="C1042" s="19"/>
      <c r="E1042" s="19"/>
      <c r="J1042" s="138"/>
      <c r="K1042" s="138"/>
      <c r="L1042" s="138"/>
      <c r="M1042" s="138"/>
      <c r="N1042" s="138"/>
      <c r="O1042" s="138"/>
      <c r="P1042" s="138"/>
      <c r="Q1042" s="138"/>
      <c r="R1042" s="19"/>
      <c r="S1042" s="19"/>
      <c r="T1042" s="19"/>
      <c r="U1042" s="19"/>
      <c r="V1042" s="19"/>
      <c r="W1042" s="19"/>
      <c r="X1042" s="19"/>
      <c r="Z1042" s="19"/>
    </row>
    <row r="1043" spans="2:26" x14ac:dyDescent="0.25">
      <c r="B1043" s="19"/>
      <c r="C1043" s="19"/>
      <c r="E1043" s="19"/>
      <c r="J1043" s="138"/>
      <c r="K1043" s="138"/>
      <c r="L1043" s="138"/>
      <c r="M1043" s="138"/>
      <c r="N1043" s="138"/>
      <c r="O1043" s="138"/>
      <c r="P1043" s="138"/>
      <c r="Q1043" s="138"/>
      <c r="R1043" s="19"/>
      <c r="S1043" s="19"/>
      <c r="T1043" s="19"/>
      <c r="U1043" s="19"/>
      <c r="V1043" s="19"/>
      <c r="W1043" s="19"/>
      <c r="X1043" s="19"/>
      <c r="Z1043" s="19"/>
    </row>
    <row r="1044" spans="2:26" x14ac:dyDescent="0.25">
      <c r="B1044" s="19"/>
      <c r="C1044" s="19"/>
      <c r="E1044" s="19"/>
      <c r="J1044" s="138"/>
      <c r="K1044" s="138"/>
      <c r="L1044" s="138"/>
      <c r="M1044" s="138"/>
      <c r="N1044" s="138"/>
      <c r="O1044" s="138"/>
      <c r="P1044" s="138"/>
      <c r="Q1044" s="138"/>
      <c r="R1044" s="19"/>
      <c r="S1044" s="19"/>
      <c r="T1044" s="19"/>
      <c r="U1044" s="19"/>
      <c r="V1044" s="19"/>
      <c r="W1044" s="19"/>
      <c r="X1044" s="19"/>
      <c r="Z1044" s="19"/>
    </row>
    <row r="1045" spans="2:26" x14ac:dyDescent="0.25">
      <c r="B1045" s="19"/>
      <c r="C1045" s="19"/>
      <c r="E1045" s="19"/>
      <c r="J1045" s="138"/>
      <c r="K1045" s="138"/>
      <c r="L1045" s="138"/>
      <c r="M1045" s="138"/>
      <c r="N1045" s="138"/>
      <c r="O1045" s="138"/>
      <c r="P1045" s="138"/>
      <c r="Q1045" s="138"/>
      <c r="R1045" s="19"/>
      <c r="S1045" s="19"/>
      <c r="T1045" s="19"/>
      <c r="U1045" s="19"/>
      <c r="V1045" s="19"/>
      <c r="W1045" s="19"/>
      <c r="X1045" s="19"/>
      <c r="Z1045" s="19"/>
    </row>
    <row r="1046" spans="2:26" x14ac:dyDescent="0.25">
      <c r="B1046" s="19"/>
      <c r="C1046" s="19"/>
      <c r="E1046" s="19"/>
      <c r="J1046" s="138"/>
      <c r="K1046" s="138"/>
      <c r="L1046" s="138"/>
      <c r="M1046" s="138"/>
      <c r="N1046" s="138"/>
      <c r="O1046" s="138"/>
      <c r="P1046" s="138"/>
      <c r="Q1046" s="138"/>
      <c r="R1046" s="19"/>
      <c r="S1046" s="19"/>
      <c r="T1046" s="19"/>
      <c r="U1046" s="19"/>
      <c r="V1046" s="19"/>
      <c r="W1046" s="19"/>
      <c r="X1046" s="19"/>
      <c r="Z1046" s="19"/>
    </row>
    <row r="1047" spans="2:26" x14ac:dyDescent="0.25">
      <c r="B1047" s="19"/>
      <c r="C1047" s="19"/>
      <c r="E1047" s="19"/>
      <c r="J1047" s="138"/>
      <c r="K1047" s="138"/>
      <c r="L1047" s="138"/>
      <c r="M1047" s="138"/>
      <c r="N1047" s="138"/>
      <c r="O1047" s="138"/>
      <c r="P1047" s="138"/>
      <c r="Q1047" s="138"/>
      <c r="R1047" s="19"/>
      <c r="S1047" s="19"/>
      <c r="T1047" s="19"/>
      <c r="U1047" s="19"/>
      <c r="V1047" s="19"/>
      <c r="W1047" s="19"/>
      <c r="X1047" s="19"/>
      <c r="Z1047" s="19"/>
    </row>
    <row r="1048" spans="2:26" x14ac:dyDescent="0.25">
      <c r="B1048" s="19"/>
      <c r="C1048" s="19"/>
      <c r="E1048" s="19"/>
      <c r="J1048" s="138"/>
      <c r="K1048" s="138"/>
      <c r="L1048" s="138"/>
      <c r="M1048" s="138"/>
      <c r="N1048" s="138"/>
      <c r="O1048" s="138"/>
      <c r="P1048" s="138"/>
      <c r="Q1048" s="138"/>
      <c r="R1048" s="19"/>
      <c r="S1048" s="19"/>
      <c r="T1048" s="19"/>
      <c r="U1048" s="19"/>
      <c r="V1048" s="19"/>
      <c r="W1048" s="19"/>
      <c r="X1048" s="19"/>
      <c r="Z1048" s="19"/>
    </row>
    <row r="1049" spans="2:26" x14ac:dyDescent="0.25">
      <c r="B1049" s="19"/>
      <c r="C1049" s="19"/>
      <c r="E1049" s="19"/>
      <c r="J1049" s="138"/>
      <c r="K1049" s="138"/>
      <c r="L1049" s="138"/>
      <c r="M1049" s="138"/>
      <c r="N1049" s="138"/>
      <c r="O1049" s="138"/>
      <c r="P1049" s="138"/>
      <c r="Q1049" s="138"/>
      <c r="R1049" s="19"/>
      <c r="S1049" s="19"/>
      <c r="T1049" s="19"/>
      <c r="U1049" s="19"/>
      <c r="V1049" s="19"/>
      <c r="W1049" s="19"/>
      <c r="X1049" s="19"/>
      <c r="Z1049" s="19"/>
    </row>
    <row r="1050" spans="2:26" x14ac:dyDescent="0.25">
      <c r="B1050" s="19"/>
      <c r="C1050" s="19"/>
      <c r="E1050" s="19"/>
      <c r="J1050" s="138"/>
      <c r="K1050" s="138"/>
      <c r="L1050" s="138"/>
      <c r="M1050" s="138"/>
      <c r="N1050" s="138"/>
      <c r="O1050" s="138"/>
      <c r="P1050" s="138"/>
      <c r="Q1050" s="138"/>
      <c r="R1050" s="19"/>
      <c r="S1050" s="19"/>
      <c r="T1050" s="19"/>
      <c r="U1050" s="19"/>
      <c r="V1050" s="19"/>
      <c r="W1050" s="19"/>
      <c r="X1050" s="19"/>
      <c r="Z1050" s="19"/>
    </row>
    <row r="1051" spans="2:26" x14ac:dyDescent="0.25">
      <c r="B1051" s="19"/>
      <c r="C1051" s="19"/>
      <c r="E1051" s="19"/>
      <c r="J1051" s="138"/>
      <c r="K1051" s="138"/>
      <c r="L1051" s="138"/>
      <c r="M1051" s="138"/>
      <c r="N1051" s="138"/>
      <c r="O1051" s="138"/>
      <c r="P1051" s="138"/>
      <c r="Q1051" s="138"/>
      <c r="R1051" s="19"/>
      <c r="S1051" s="19"/>
      <c r="T1051" s="19"/>
      <c r="U1051" s="19"/>
      <c r="V1051" s="19"/>
      <c r="W1051" s="19"/>
      <c r="X1051" s="19"/>
      <c r="Z1051" s="19"/>
    </row>
    <row r="1052" spans="2:26" x14ac:dyDescent="0.25">
      <c r="B1052" s="19"/>
      <c r="C1052" s="19"/>
      <c r="E1052" s="19"/>
      <c r="J1052" s="138"/>
      <c r="K1052" s="138"/>
      <c r="L1052" s="138"/>
      <c r="M1052" s="138"/>
      <c r="N1052" s="138"/>
      <c r="O1052" s="138"/>
      <c r="P1052" s="138"/>
      <c r="Q1052" s="138"/>
      <c r="R1052" s="19"/>
      <c r="S1052" s="19"/>
      <c r="T1052" s="19"/>
      <c r="U1052" s="19"/>
      <c r="V1052" s="19"/>
      <c r="W1052" s="19"/>
      <c r="X1052" s="19"/>
      <c r="Z1052" s="19"/>
    </row>
    <row r="1053" spans="2:26" x14ac:dyDescent="0.25">
      <c r="B1053" s="19"/>
      <c r="C1053" s="19"/>
      <c r="E1053" s="19"/>
      <c r="J1053" s="138"/>
      <c r="K1053" s="138"/>
      <c r="L1053" s="138"/>
      <c r="M1053" s="138"/>
      <c r="N1053" s="138"/>
      <c r="O1053" s="138"/>
      <c r="P1053" s="138"/>
      <c r="Q1053" s="138"/>
      <c r="R1053" s="19"/>
      <c r="S1053" s="19"/>
      <c r="T1053" s="19"/>
      <c r="U1053" s="19"/>
      <c r="V1053" s="19"/>
      <c r="W1053" s="19"/>
      <c r="X1053" s="19"/>
      <c r="Z1053" s="19"/>
    </row>
    <row r="1054" spans="2:26" x14ac:dyDescent="0.25">
      <c r="B1054" s="19"/>
      <c r="C1054" s="19"/>
      <c r="E1054" s="19"/>
      <c r="T1054" s="19"/>
      <c r="U1054"/>
      <c r="V1054"/>
      <c r="W1054"/>
      <c r="X1054"/>
      <c r="Z1054"/>
    </row>
    <row r="1055" spans="2:26" x14ac:dyDescent="0.25">
      <c r="B1055" s="19"/>
      <c r="C1055" s="19"/>
      <c r="E1055" s="19"/>
      <c r="T1055" s="19"/>
      <c r="U1055"/>
      <c r="V1055"/>
      <c r="W1055"/>
      <c r="X1055"/>
      <c r="Z1055"/>
    </row>
    <row r="1056" spans="2:26" x14ac:dyDescent="0.25">
      <c r="B1056" s="19"/>
      <c r="C1056" s="19"/>
      <c r="E1056" s="19"/>
      <c r="T1056" s="19"/>
      <c r="U1056"/>
      <c r="V1056"/>
      <c r="W1056"/>
      <c r="X1056"/>
      <c r="Z1056"/>
    </row>
    <row r="1057" spans="2:26" x14ac:dyDescent="0.25">
      <c r="B1057" s="19"/>
      <c r="C1057" s="19"/>
      <c r="E1057" s="19"/>
      <c r="T1057" s="19"/>
      <c r="U1057"/>
      <c r="V1057"/>
      <c r="W1057"/>
      <c r="X1057"/>
      <c r="Z1057"/>
    </row>
    <row r="1058" spans="2:26" x14ac:dyDescent="0.25">
      <c r="B1058" s="19"/>
      <c r="C1058" s="19"/>
      <c r="E1058" s="19"/>
      <c r="T1058" s="19"/>
      <c r="U1058"/>
      <c r="V1058"/>
      <c r="W1058"/>
      <c r="X1058"/>
      <c r="Z1058"/>
    </row>
    <row r="1059" spans="2:26" x14ac:dyDescent="0.25">
      <c r="B1059" s="19"/>
      <c r="C1059" s="19"/>
      <c r="E1059" s="19"/>
      <c r="T1059" s="19"/>
      <c r="U1059"/>
      <c r="V1059"/>
      <c r="W1059"/>
      <c r="X1059"/>
      <c r="Z1059"/>
    </row>
    <row r="1060" spans="2:26" x14ac:dyDescent="0.25">
      <c r="B1060" s="19"/>
      <c r="C1060" s="19"/>
      <c r="E1060" s="19"/>
      <c r="T1060" s="19"/>
      <c r="U1060"/>
      <c r="V1060"/>
      <c r="W1060"/>
      <c r="X1060"/>
      <c r="Z1060"/>
    </row>
    <row r="1061" spans="2:26" x14ac:dyDescent="0.25">
      <c r="B1061" s="19"/>
      <c r="C1061" s="19"/>
      <c r="E1061" s="19"/>
      <c r="T1061" s="19"/>
      <c r="U1061"/>
      <c r="V1061"/>
      <c r="W1061"/>
      <c r="X1061"/>
      <c r="Z1061"/>
    </row>
    <row r="1062" spans="2:26" x14ac:dyDescent="0.25">
      <c r="B1062" s="19"/>
      <c r="C1062" s="19"/>
      <c r="E1062" s="19"/>
      <c r="T1062" s="19"/>
      <c r="U1062"/>
      <c r="V1062"/>
      <c r="W1062"/>
      <c r="X1062"/>
      <c r="Z1062"/>
    </row>
    <row r="1063" spans="2:26" x14ac:dyDescent="0.25">
      <c r="B1063" s="19"/>
      <c r="C1063" s="19"/>
      <c r="E1063" s="19"/>
      <c r="T1063" s="19"/>
      <c r="U1063"/>
      <c r="V1063"/>
      <c r="W1063"/>
      <c r="X1063"/>
      <c r="Z1063"/>
    </row>
    <row r="1064" spans="2:26" x14ac:dyDescent="0.25">
      <c r="B1064" s="19"/>
      <c r="C1064" s="19"/>
      <c r="E1064" s="19"/>
      <c r="T1064" s="19"/>
      <c r="U1064"/>
      <c r="V1064"/>
      <c r="W1064"/>
      <c r="X1064"/>
      <c r="Z1064"/>
    </row>
    <row r="1065" spans="2:26" x14ac:dyDescent="0.25">
      <c r="B1065" s="19"/>
      <c r="C1065" s="19"/>
      <c r="E1065" s="19"/>
      <c r="T1065" s="19"/>
      <c r="U1065"/>
      <c r="V1065"/>
      <c r="W1065"/>
      <c r="X1065"/>
      <c r="Z1065"/>
    </row>
    <row r="1066" spans="2:26" x14ac:dyDescent="0.25">
      <c r="B1066" s="19"/>
      <c r="C1066" s="19"/>
      <c r="E1066" s="19"/>
      <c r="T1066" s="19"/>
      <c r="U1066"/>
      <c r="V1066"/>
      <c r="W1066"/>
      <c r="X1066"/>
      <c r="Z1066"/>
    </row>
    <row r="1067" spans="2:26" x14ac:dyDescent="0.25">
      <c r="B1067" s="19"/>
      <c r="C1067" s="19"/>
      <c r="E1067" s="19"/>
      <c r="T1067" s="19"/>
      <c r="U1067"/>
      <c r="V1067"/>
      <c r="W1067"/>
      <c r="X1067"/>
      <c r="Z1067"/>
    </row>
    <row r="1068" spans="2:26" x14ac:dyDescent="0.25">
      <c r="B1068" s="19"/>
      <c r="C1068" s="19"/>
      <c r="E1068" s="19"/>
      <c r="T1068" s="19"/>
      <c r="U1068"/>
      <c r="V1068"/>
      <c r="W1068"/>
      <c r="X1068"/>
      <c r="Z1068"/>
    </row>
    <row r="1069" spans="2:26" x14ac:dyDescent="0.25">
      <c r="B1069" s="19"/>
      <c r="C1069" s="19"/>
      <c r="E1069" s="19"/>
      <c r="T1069" s="19"/>
      <c r="U1069"/>
      <c r="V1069"/>
      <c r="W1069"/>
      <c r="X1069"/>
      <c r="Z1069"/>
    </row>
    <row r="1070" spans="2:26" x14ac:dyDescent="0.25">
      <c r="B1070" s="19"/>
      <c r="C1070" s="19"/>
      <c r="E1070" s="19"/>
      <c r="T1070" s="19"/>
      <c r="U1070"/>
      <c r="V1070"/>
      <c r="W1070"/>
      <c r="X1070"/>
      <c r="Z1070"/>
    </row>
    <row r="1071" spans="2:26" x14ac:dyDescent="0.25">
      <c r="B1071" s="19"/>
      <c r="C1071" s="19"/>
      <c r="E1071" s="19"/>
      <c r="T1071" s="19"/>
      <c r="U1071"/>
      <c r="V1071"/>
      <c r="W1071"/>
      <c r="X1071"/>
      <c r="Z1071"/>
    </row>
    <row r="1072" spans="2:26" x14ac:dyDescent="0.25">
      <c r="B1072" s="19"/>
      <c r="C1072" s="19"/>
      <c r="E1072" s="19"/>
      <c r="T1072" s="19"/>
      <c r="U1072"/>
      <c r="V1072"/>
      <c r="W1072"/>
      <c r="X1072"/>
      <c r="Z1072"/>
    </row>
    <row r="1073" spans="2:26" x14ac:dyDescent="0.25">
      <c r="B1073" s="19"/>
      <c r="C1073" s="19"/>
      <c r="E1073" s="19"/>
      <c r="T1073" s="19"/>
      <c r="U1073"/>
      <c r="V1073"/>
      <c r="W1073"/>
      <c r="X1073"/>
      <c r="Z1073"/>
    </row>
    <row r="1074" spans="2:26" x14ac:dyDescent="0.25">
      <c r="B1074" s="19"/>
      <c r="C1074" s="19"/>
      <c r="E1074" s="19"/>
      <c r="T1074" s="19"/>
      <c r="U1074"/>
      <c r="V1074"/>
      <c r="W1074"/>
      <c r="X1074"/>
      <c r="Z1074"/>
    </row>
    <row r="1075" spans="2:26" x14ac:dyDescent="0.25">
      <c r="B1075" s="19"/>
      <c r="C1075" s="19"/>
      <c r="E1075" s="19"/>
      <c r="T1075" s="19"/>
      <c r="U1075"/>
      <c r="V1075"/>
      <c r="W1075"/>
      <c r="X1075"/>
      <c r="Z1075"/>
    </row>
    <row r="1076" spans="2:26" x14ac:dyDescent="0.25">
      <c r="B1076" s="19"/>
      <c r="C1076" s="19"/>
      <c r="E1076" s="19"/>
      <c r="T1076" s="19"/>
      <c r="U1076"/>
      <c r="V1076"/>
      <c r="W1076"/>
      <c r="X1076"/>
      <c r="Z1076"/>
    </row>
    <row r="1077" spans="2:26" x14ac:dyDescent="0.25">
      <c r="B1077" s="19"/>
      <c r="C1077" s="19"/>
      <c r="E1077" s="19"/>
      <c r="T1077" s="19"/>
      <c r="U1077"/>
      <c r="V1077"/>
      <c r="W1077"/>
      <c r="X1077"/>
      <c r="Z1077"/>
    </row>
    <row r="1078" spans="2:26" x14ac:dyDescent="0.25">
      <c r="B1078" s="19"/>
      <c r="C1078" s="19"/>
      <c r="E1078" s="19"/>
      <c r="T1078" s="19"/>
      <c r="U1078"/>
      <c r="V1078"/>
      <c r="W1078"/>
      <c r="X1078"/>
      <c r="Z1078"/>
    </row>
    <row r="1079" spans="2:26" x14ac:dyDescent="0.25">
      <c r="B1079" s="19"/>
      <c r="C1079" s="19"/>
      <c r="E1079" s="19"/>
      <c r="T1079" s="19"/>
      <c r="U1079"/>
      <c r="V1079"/>
      <c r="W1079"/>
      <c r="X1079"/>
      <c r="Z1079"/>
    </row>
    <row r="1080" spans="2:26" x14ac:dyDescent="0.25">
      <c r="B1080" s="19"/>
      <c r="C1080" s="19"/>
      <c r="E1080" s="19"/>
      <c r="T1080" s="19"/>
      <c r="U1080"/>
      <c r="V1080"/>
      <c r="W1080"/>
      <c r="X1080"/>
      <c r="Z1080"/>
    </row>
    <row r="1081" spans="2:26" x14ac:dyDescent="0.25">
      <c r="B1081" s="19"/>
      <c r="C1081" s="19"/>
      <c r="E1081" s="19"/>
      <c r="T1081" s="19"/>
      <c r="U1081"/>
      <c r="V1081"/>
      <c r="W1081"/>
      <c r="X1081"/>
      <c r="Z1081"/>
    </row>
    <row r="1082" spans="2:26" x14ac:dyDescent="0.25">
      <c r="B1082" s="19"/>
      <c r="C1082" s="19"/>
      <c r="E1082" s="19"/>
      <c r="T1082" s="19"/>
      <c r="U1082"/>
      <c r="V1082"/>
      <c r="W1082"/>
      <c r="X1082"/>
      <c r="Z1082"/>
    </row>
    <row r="1083" spans="2:26" x14ac:dyDescent="0.25">
      <c r="B1083" s="19"/>
      <c r="C1083" s="19"/>
      <c r="E1083" s="19"/>
      <c r="T1083" s="19"/>
      <c r="U1083"/>
      <c r="V1083"/>
      <c r="W1083"/>
      <c r="X1083"/>
      <c r="Z1083"/>
    </row>
    <row r="1084" spans="2:26" x14ac:dyDescent="0.25">
      <c r="B1084" s="19"/>
      <c r="C1084" s="19"/>
      <c r="E1084" s="19"/>
      <c r="T1084" s="19"/>
      <c r="U1084"/>
      <c r="V1084"/>
      <c r="W1084"/>
      <c r="X1084"/>
      <c r="Z1084"/>
    </row>
    <row r="1085" spans="2:26" x14ac:dyDescent="0.25">
      <c r="B1085" s="19"/>
      <c r="C1085" s="19"/>
      <c r="E1085" s="19"/>
      <c r="T1085" s="19"/>
      <c r="U1085"/>
      <c r="V1085"/>
      <c r="W1085"/>
      <c r="X1085"/>
      <c r="Z1085"/>
    </row>
    <row r="1086" spans="2:26" x14ac:dyDescent="0.25">
      <c r="B1086" s="19"/>
      <c r="C1086" s="19"/>
      <c r="E1086" s="19"/>
      <c r="T1086" s="19"/>
      <c r="U1086"/>
      <c r="V1086"/>
      <c r="W1086"/>
      <c r="X1086"/>
      <c r="Z1086"/>
    </row>
    <row r="1087" spans="2:26" x14ac:dyDescent="0.25">
      <c r="B1087" s="19"/>
      <c r="C1087" s="19"/>
      <c r="E1087" s="19"/>
      <c r="T1087" s="19"/>
      <c r="U1087"/>
      <c r="V1087"/>
      <c r="W1087"/>
      <c r="X1087"/>
      <c r="Z1087"/>
    </row>
    <row r="1088" spans="2:26" x14ac:dyDescent="0.25">
      <c r="B1088" s="19"/>
      <c r="C1088" s="19"/>
      <c r="E1088" s="19"/>
      <c r="T1088" s="19"/>
      <c r="U1088"/>
      <c r="V1088"/>
      <c r="W1088"/>
      <c r="X1088"/>
      <c r="Z1088"/>
    </row>
    <row r="1089" spans="2:26" x14ac:dyDescent="0.25">
      <c r="B1089" s="19"/>
      <c r="C1089" s="19"/>
      <c r="E1089" s="19"/>
      <c r="T1089" s="19"/>
      <c r="U1089"/>
      <c r="V1089"/>
      <c r="W1089"/>
      <c r="X1089"/>
      <c r="Z1089"/>
    </row>
    <row r="1090" spans="2:26" x14ac:dyDescent="0.25">
      <c r="B1090" s="19"/>
      <c r="C1090" s="19"/>
      <c r="E1090" s="19"/>
      <c r="T1090" s="19"/>
      <c r="U1090"/>
      <c r="V1090"/>
      <c r="W1090"/>
      <c r="X1090"/>
      <c r="Z1090"/>
    </row>
    <row r="1091" spans="2:26" x14ac:dyDescent="0.25">
      <c r="B1091" s="19"/>
      <c r="C1091" s="19"/>
      <c r="E1091" s="19"/>
      <c r="T1091" s="19"/>
      <c r="U1091"/>
      <c r="V1091"/>
      <c r="W1091"/>
      <c r="X1091"/>
      <c r="Z1091"/>
    </row>
    <row r="1092" spans="2:26" x14ac:dyDescent="0.25">
      <c r="B1092" s="19"/>
      <c r="C1092" s="19"/>
      <c r="E1092" s="19"/>
      <c r="T1092" s="19"/>
      <c r="U1092"/>
      <c r="V1092"/>
      <c r="W1092"/>
      <c r="X1092"/>
      <c r="Z1092"/>
    </row>
    <row r="1093" spans="2:26" x14ac:dyDescent="0.25">
      <c r="B1093" s="19"/>
      <c r="C1093" s="19"/>
      <c r="E1093" s="19"/>
      <c r="T1093" s="19"/>
      <c r="U1093"/>
      <c r="V1093"/>
      <c r="W1093"/>
      <c r="X1093"/>
      <c r="Z1093"/>
    </row>
    <row r="1094" spans="2:26" x14ac:dyDescent="0.25">
      <c r="B1094" s="19"/>
      <c r="C1094" s="19"/>
      <c r="E1094" s="19"/>
      <c r="T1094" s="19"/>
      <c r="U1094"/>
      <c r="V1094"/>
      <c r="W1094"/>
      <c r="X1094"/>
      <c r="Z1094"/>
    </row>
    <row r="1095" spans="2:26" x14ac:dyDescent="0.25">
      <c r="B1095" s="19"/>
      <c r="C1095" s="19"/>
      <c r="E1095" s="19"/>
      <c r="T1095" s="19"/>
      <c r="U1095"/>
      <c r="V1095"/>
      <c r="W1095"/>
      <c r="X1095"/>
      <c r="Z1095"/>
    </row>
    <row r="1096" spans="2:26" x14ac:dyDescent="0.25">
      <c r="B1096" s="19"/>
      <c r="C1096" s="19"/>
      <c r="E1096" s="19"/>
      <c r="T1096" s="19"/>
      <c r="U1096"/>
      <c r="V1096"/>
      <c r="W1096"/>
      <c r="X1096"/>
      <c r="Z1096"/>
    </row>
    <row r="1097" spans="2:26" x14ac:dyDescent="0.25">
      <c r="B1097" s="19"/>
      <c r="C1097" s="19"/>
      <c r="E1097" s="19"/>
      <c r="T1097" s="19"/>
      <c r="U1097"/>
      <c r="V1097"/>
      <c r="W1097"/>
      <c r="X1097"/>
      <c r="Z1097"/>
    </row>
    <row r="1098" spans="2:26" x14ac:dyDescent="0.25">
      <c r="B1098" s="19"/>
      <c r="C1098" s="19"/>
      <c r="E1098" s="19"/>
      <c r="T1098" s="19"/>
      <c r="U1098"/>
      <c r="V1098"/>
      <c r="W1098"/>
      <c r="X1098"/>
      <c r="Z1098"/>
    </row>
    <row r="1099" spans="2:26" x14ac:dyDescent="0.25">
      <c r="B1099" s="19"/>
      <c r="C1099" s="19"/>
      <c r="E1099" s="19"/>
      <c r="T1099" s="19"/>
      <c r="U1099"/>
      <c r="V1099"/>
      <c r="W1099"/>
      <c r="X1099"/>
      <c r="Z1099"/>
    </row>
    <row r="1100" spans="2:26" x14ac:dyDescent="0.25">
      <c r="B1100" s="19"/>
      <c r="C1100" s="19"/>
      <c r="E1100" s="19"/>
      <c r="T1100" s="19"/>
      <c r="U1100"/>
      <c r="V1100"/>
      <c r="W1100"/>
      <c r="X1100"/>
      <c r="Z1100"/>
    </row>
    <row r="1101" spans="2:26" x14ac:dyDescent="0.25">
      <c r="B1101" s="19"/>
      <c r="C1101" s="19"/>
      <c r="E1101" s="19"/>
      <c r="T1101" s="19"/>
      <c r="U1101"/>
      <c r="V1101"/>
      <c r="W1101"/>
      <c r="X1101"/>
      <c r="Z1101"/>
    </row>
    <row r="1102" spans="2:26" x14ac:dyDescent="0.25">
      <c r="B1102" s="19"/>
      <c r="C1102" s="19"/>
      <c r="E1102" s="19"/>
      <c r="T1102" s="19"/>
      <c r="U1102"/>
      <c r="V1102"/>
      <c r="W1102"/>
      <c r="X1102"/>
      <c r="Z1102"/>
    </row>
    <row r="1103" spans="2:26" x14ac:dyDescent="0.25">
      <c r="B1103" s="19"/>
      <c r="C1103" s="19"/>
      <c r="E1103" s="19"/>
      <c r="T1103" s="19"/>
      <c r="U1103"/>
      <c r="V1103"/>
      <c r="W1103"/>
      <c r="X1103"/>
      <c r="Z1103"/>
    </row>
    <row r="1104" spans="2:26" x14ac:dyDescent="0.25">
      <c r="B1104" s="19"/>
      <c r="C1104" s="19"/>
      <c r="E1104" s="19"/>
      <c r="T1104" s="19"/>
      <c r="U1104"/>
      <c r="V1104"/>
      <c r="W1104"/>
      <c r="X1104"/>
      <c r="Z1104"/>
    </row>
    <row r="1105" spans="2:26" x14ac:dyDescent="0.25">
      <c r="B1105" s="19"/>
      <c r="C1105" s="19"/>
      <c r="E1105" s="19"/>
      <c r="T1105" s="19"/>
      <c r="U1105"/>
      <c r="V1105"/>
      <c r="W1105"/>
      <c r="X1105"/>
      <c r="Z1105"/>
    </row>
    <row r="1106" spans="2:26" x14ac:dyDescent="0.25">
      <c r="B1106" s="19"/>
      <c r="C1106" s="19"/>
      <c r="E1106" s="19"/>
      <c r="T1106" s="19"/>
      <c r="U1106"/>
      <c r="V1106"/>
      <c r="W1106"/>
      <c r="X1106"/>
      <c r="Z1106"/>
    </row>
    <row r="1107" spans="2:26" x14ac:dyDescent="0.25">
      <c r="B1107" s="19"/>
      <c r="C1107" s="19"/>
      <c r="E1107" s="19"/>
      <c r="T1107" s="19"/>
      <c r="U1107"/>
      <c r="V1107"/>
      <c r="W1107"/>
      <c r="X1107"/>
      <c r="Z1107"/>
    </row>
    <row r="1108" spans="2:26" x14ac:dyDescent="0.25">
      <c r="B1108" s="19"/>
      <c r="C1108" s="19"/>
      <c r="E1108" s="19"/>
      <c r="T1108" s="19"/>
      <c r="U1108"/>
      <c r="V1108"/>
      <c r="W1108"/>
      <c r="X1108"/>
      <c r="Z1108"/>
    </row>
    <row r="1109" spans="2:26" x14ac:dyDescent="0.25">
      <c r="B1109" s="19"/>
      <c r="C1109" s="19"/>
      <c r="E1109" s="19"/>
      <c r="T1109" s="19"/>
      <c r="U1109"/>
      <c r="V1109"/>
      <c r="W1109"/>
      <c r="X1109"/>
      <c r="Z1109"/>
    </row>
    <row r="1110" spans="2:26" x14ac:dyDescent="0.25">
      <c r="B1110" s="19"/>
      <c r="C1110" s="19"/>
      <c r="E1110" s="19"/>
      <c r="T1110" s="19"/>
      <c r="U1110"/>
      <c r="V1110"/>
      <c r="W1110"/>
      <c r="X1110"/>
      <c r="Z1110"/>
    </row>
    <row r="1111" spans="2:26" x14ac:dyDescent="0.25">
      <c r="B1111" s="19"/>
      <c r="C1111" s="19"/>
      <c r="E1111" s="19"/>
      <c r="T1111" s="19"/>
      <c r="U1111"/>
      <c r="V1111"/>
      <c r="W1111"/>
      <c r="X1111"/>
      <c r="Z1111"/>
    </row>
    <row r="1112" spans="2:26" x14ac:dyDescent="0.25">
      <c r="B1112" s="19"/>
      <c r="C1112" s="19"/>
      <c r="E1112" s="19"/>
      <c r="T1112" s="19"/>
      <c r="U1112"/>
      <c r="V1112"/>
      <c r="W1112"/>
      <c r="X1112"/>
      <c r="Z1112"/>
    </row>
    <row r="1113" spans="2:26" x14ac:dyDescent="0.25">
      <c r="B1113" s="19"/>
      <c r="C1113" s="19"/>
      <c r="E1113" s="19"/>
      <c r="T1113" s="19"/>
      <c r="U1113"/>
      <c r="V1113"/>
      <c r="W1113"/>
      <c r="X1113"/>
      <c r="Z1113"/>
    </row>
    <row r="1114" spans="2:26" x14ac:dyDescent="0.25">
      <c r="B1114" s="19"/>
      <c r="C1114" s="19"/>
      <c r="E1114" s="19"/>
      <c r="T1114" s="19"/>
      <c r="U1114"/>
      <c r="V1114"/>
      <c r="W1114"/>
      <c r="X1114"/>
      <c r="Z1114"/>
    </row>
    <row r="1115" spans="2:26" x14ac:dyDescent="0.25">
      <c r="B1115" s="19"/>
      <c r="C1115" s="19"/>
      <c r="E1115" s="19"/>
      <c r="T1115" s="19"/>
      <c r="U1115"/>
      <c r="V1115"/>
      <c r="W1115"/>
      <c r="X1115"/>
      <c r="Z1115"/>
    </row>
    <row r="1116" spans="2:26" x14ac:dyDescent="0.25">
      <c r="B1116" s="19"/>
      <c r="C1116" s="19"/>
      <c r="E1116" s="19"/>
      <c r="T1116" s="19"/>
      <c r="U1116"/>
      <c r="V1116"/>
      <c r="W1116"/>
      <c r="X1116"/>
      <c r="Z1116"/>
    </row>
    <row r="1117" spans="2:26" x14ac:dyDescent="0.25">
      <c r="B1117" s="19"/>
      <c r="C1117" s="19"/>
      <c r="E1117" s="19"/>
      <c r="T1117" s="19"/>
      <c r="U1117"/>
      <c r="V1117"/>
      <c r="W1117"/>
      <c r="X1117"/>
      <c r="Z1117"/>
    </row>
    <row r="1118" spans="2:26" x14ac:dyDescent="0.25">
      <c r="B1118" s="19"/>
      <c r="C1118" s="19"/>
      <c r="E1118" s="19"/>
      <c r="T1118" s="19"/>
      <c r="U1118"/>
      <c r="V1118"/>
      <c r="W1118"/>
      <c r="X1118"/>
      <c r="Z1118"/>
    </row>
    <row r="1119" spans="2:26" x14ac:dyDescent="0.25">
      <c r="B1119" s="19"/>
      <c r="C1119" s="19"/>
      <c r="E1119" s="19"/>
      <c r="T1119" s="19"/>
      <c r="U1119"/>
      <c r="V1119"/>
      <c r="W1119"/>
      <c r="X1119"/>
      <c r="Z1119"/>
    </row>
    <row r="1120" spans="2:26" x14ac:dyDescent="0.25">
      <c r="B1120" s="19"/>
      <c r="C1120" s="19"/>
      <c r="E1120" s="19"/>
      <c r="T1120" s="19"/>
      <c r="U1120"/>
      <c r="V1120"/>
      <c r="W1120"/>
      <c r="X1120"/>
      <c r="Z1120"/>
    </row>
    <row r="1121" spans="2:26" x14ac:dyDescent="0.25">
      <c r="B1121" s="19"/>
      <c r="C1121" s="19"/>
      <c r="E1121" s="19"/>
      <c r="T1121" s="19"/>
      <c r="U1121"/>
      <c r="V1121"/>
      <c r="W1121"/>
      <c r="X1121"/>
      <c r="Z1121"/>
    </row>
    <row r="1122" spans="2:26" x14ac:dyDescent="0.25">
      <c r="B1122" s="19"/>
      <c r="C1122" s="19"/>
      <c r="E1122" s="19"/>
      <c r="T1122" s="19"/>
      <c r="U1122"/>
      <c r="V1122"/>
      <c r="W1122"/>
      <c r="X1122"/>
      <c r="Z1122"/>
    </row>
    <row r="1123" spans="2:26" x14ac:dyDescent="0.25">
      <c r="B1123" s="19"/>
      <c r="C1123" s="19"/>
      <c r="E1123" s="19"/>
      <c r="T1123" s="19"/>
      <c r="U1123"/>
      <c r="V1123"/>
      <c r="W1123"/>
      <c r="X1123"/>
      <c r="Z1123"/>
    </row>
    <row r="1124" spans="2:26" x14ac:dyDescent="0.25">
      <c r="B1124" s="19"/>
      <c r="C1124" s="19"/>
      <c r="E1124" s="19"/>
      <c r="T1124" s="19"/>
      <c r="U1124"/>
      <c r="V1124"/>
      <c r="W1124"/>
      <c r="X1124"/>
      <c r="Z1124"/>
    </row>
    <row r="1125" spans="2:26" x14ac:dyDescent="0.25">
      <c r="B1125" s="19"/>
      <c r="C1125" s="19"/>
      <c r="E1125" s="19"/>
      <c r="T1125" s="19"/>
      <c r="U1125"/>
      <c r="V1125"/>
      <c r="W1125"/>
      <c r="X1125"/>
      <c r="Z1125"/>
    </row>
    <row r="1126" spans="2:26" x14ac:dyDescent="0.25">
      <c r="B1126" s="19"/>
      <c r="C1126" s="19"/>
      <c r="E1126" s="19"/>
      <c r="T1126" s="19"/>
      <c r="U1126"/>
      <c r="V1126"/>
      <c r="W1126"/>
      <c r="X1126"/>
      <c r="Z1126"/>
    </row>
    <row r="1127" spans="2:26" x14ac:dyDescent="0.25">
      <c r="B1127" s="19"/>
      <c r="C1127" s="19"/>
      <c r="E1127" s="19"/>
      <c r="T1127" s="19"/>
      <c r="U1127"/>
      <c r="V1127"/>
      <c r="W1127"/>
      <c r="X1127"/>
      <c r="Z1127"/>
    </row>
    <row r="1128" spans="2:26" x14ac:dyDescent="0.25">
      <c r="B1128" s="19"/>
      <c r="C1128" s="19"/>
      <c r="E1128" s="19"/>
      <c r="T1128" s="19"/>
      <c r="U1128"/>
      <c r="V1128"/>
      <c r="W1128"/>
      <c r="X1128"/>
      <c r="Z1128"/>
    </row>
    <row r="1129" spans="2:26" x14ac:dyDescent="0.25">
      <c r="B1129" s="19"/>
      <c r="C1129" s="19"/>
      <c r="E1129" s="19"/>
      <c r="T1129" s="19"/>
      <c r="U1129"/>
      <c r="V1129"/>
      <c r="W1129"/>
      <c r="X1129"/>
      <c r="Z1129"/>
    </row>
    <row r="1130" spans="2:26" x14ac:dyDescent="0.25">
      <c r="B1130" s="19"/>
      <c r="C1130" s="19"/>
      <c r="E1130" s="19"/>
      <c r="T1130" s="19"/>
      <c r="U1130"/>
      <c r="V1130"/>
      <c r="W1130"/>
      <c r="X1130"/>
      <c r="Z1130"/>
    </row>
    <row r="1131" spans="2:26" x14ac:dyDescent="0.25">
      <c r="B1131" s="19"/>
      <c r="C1131" s="19"/>
      <c r="E1131" s="19"/>
      <c r="T1131" s="19"/>
      <c r="U1131"/>
      <c r="V1131"/>
      <c r="W1131"/>
      <c r="X1131"/>
      <c r="Z1131"/>
    </row>
    <row r="1132" spans="2:26" x14ac:dyDescent="0.25">
      <c r="B1132" s="19"/>
      <c r="C1132" s="19"/>
      <c r="E1132" s="19"/>
      <c r="T1132" s="19"/>
      <c r="U1132"/>
      <c r="V1132"/>
      <c r="W1132"/>
      <c r="X1132"/>
      <c r="Z1132"/>
    </row>
    <row r="1133" spans="2:26" x14ac:dyDescent="0.25">
      <c r="B1133" s="19"/>
      <c r="C1133" s="19"/>
      <c r="E1133" s="19"/>
      <c r="T1133" s="19"/>
      <c r="U1133"/>
      <c r="V1133"/>
      <c r="W1133"/>
      <c r="X1133"/>
      <c r="Z1133"/>
    </row>
    <row r="1134" spans="2:26" x14ac:dyDescent="0.25">
      <c r="B1134" s="19"/>
      <c r="C1134" s="19"/>
      <c r="E1134" s="19"/>
      <c r="T1134" s="19"/>
      <c r="U1134"/>
      <c r="V1134"/>
      <c r="W1134"/>
      <c r="X1134"/>
      <c r="Z1134"/>
    </row>
    <row r="1135" spans="2:26" x14ac:dyDescent="0.25">
      <c r="B1135" s="19"/>
      <c r="C1135" s="19"/>
      <c r="E1135" s="19"/>
      <c r="T1135" s="19"/>
      <c r="U1135"/>
      <c r="V1135"/>
      <c r="W1135"/>
      <c r="X1135"/>
      <c r="Z1135"/>
    </row>
    <row r="1136" spans="2:26" x14ac:dyDescent="0.25">
      <c r="B1136" s="19"/>
      <c r="C1136" s="19"/>
      <c r="E1136" s="19"/>
      <c r="T1136" s="19"/>
      <c r="U1136"/>
      <c r="V1136"/>
      <c r="W1136"/>
      <c r="X1136"/>
      <c r="Z1136"/>
    </row>
    <row r="1137" spans="2:26" x14ac:dyDescent="0.25">
      <c r="B1137" s="19"/>
      <c r="C1137" s="19"/>
      <c r="E1137" s="19"/>
      <c r="T1137" s="19"/>
      <c r="U1137"/>
      <c r="V1137"/>
      <c r="W1137"/>
      <c r="X1137"/>
      <c r="Z1137"/>
    </row>
    <row r="1138" spans="2:26" x14ac:dyDescent="0.25">
      <c r="B1138" s="19"/>
      <c r="C1138" s="19"/>
      <c r="E1138" s="19"/>
      <c r="T1138" s="19"/>
      <c r="U1138"/>
      <c r="V1138"/>
      <c r="W1138"/>
      <c r="X1138"/>
      <c r="Z1138"/>
    </row>
    <row r="1139" spans="2:26" x14ac:dyDescent="0.25">
      <c r="B1139" s="19"/>
      <c r="C1139" s="19"/>
      <c r="E1139" s="19"/>
      <c r="T1139" s="19"/>
      <c r="U1139"/>
      <c r="V1139"/>
      <c r="W1139"/>
      <c r="X1139"/>
      <c r="Z1139"/>
    </row>
    <row r="1140" spans="2:26" x14ac:dyDescent="0.25">
      <c r="B1140" s="19"/>
      <c r="C1140" s="19"/>
      <c r="E1140" s="19"/>
      <c r="T1140" s="19"/>
      <c r="U1140"/>
      <c r="V1140"/>
      <c r="W1140"/>
      <c r="X1140"/>
      <c r="Z1140"/>
    </row>
    <row r="1141" spans="2:26" x14ac:dyDescent="0.25">
      <c r="B1141" s="19"/>
      <c r="C1141" s="19"/>
      <c r="E1141" s="19"/>
      <c r="T1141" s="19"/>
      <c r="U1141"/>
      <c r="V1141"/>
      <c r="W1141"/>
      <c r="X1141"/>
      <c r="Z1141"/>
    </row>
    <row r="1142" spans="2:26" x14ac:dyDescent="0.25">
      <c r="B1142" s="19"/>
      <c r="C1142" s="19"/>
      <c r="E1142" s="19"/>
      <c r="T1142" s="19"/>
      <c r="U1142"/>
      <c r="V1142"/>
      <c r="W1142"/>
      <c r="X1142"/>
      <c r="Z1142"/>
    </row>
    <row r="1143" spans="2:26" x14ac:dyDescent="0.25">
      <c r="B1143" s="19"/>
      <c r="C1143" s="19"/>
      <c r="E1143" s="19"/>
      <c r="T1143" s="19"/>
      <c r="U1143"/>
      <c r="V1143"/>
      <c r="W1143"/>
      <c r="X1143"/>
      <c r="Z1143"/>
    </row>
    <row r="1144" spans="2:26" x14ac:dyDescent="0.25">
      <c r="B1144" s="19"/>
      <c r="C1144" s="19"/>
      <c r="E1144" s="19"/>
      <c r="T1144" s="19"/>
      <c r="U1144"/>
      <c r="V1144"/>
      <c r="W1144"/>
      <c r="X1144"/>
      <c r="Z1144"/>
    </row>
    <row r="1145" spans="2:26" x14ac:dyDescent="0.25">
      <c r="B1145" s="19"/>
      <c r="C1145" s="19"/>
      <c r="E1145" s="19"/>
      <c r="T1145" s="19"/>
      <c r="U1145"/>
      <c r="V1145"/>
      <c r="W1145"/>
      <c r="X1145"/>
      <c r="Z1145"/>
    </row>
    <row r="1146" spans="2:26" x14ac:dyDescent="0.25">
      <c r="B1146" s="19"/>
      <c r="C1146" s="19"/>
      <c r="E1146" s="19"/>
      <c r="T1146" s="19"/>
      <c r="U1146"/>
      <c r="V1146"/>
      <c r="W1146"/>
      <c r="X1146"/>
      <c r="Z1146"/>
    </row>
    <row r="1147" spans="2:26" x14ac:dyDescent="0.25">
      <c r="B1147" s="19"/>
      <c r="C1147" s="19"/>
      <c r="E1147" s="19"/>
      <c r="T1147" s="19"/>
      <c r="U1147"/>
      <c r="V1147"/>
      <c r="W1147"/>
      <c r="X1147"/>
      <c r="Z1147"/>
    </row>
    <row r="1148" spans="2:26" x14ac:dyDescent="0.25">
      <c r="B1148" s="19"/>
      <c r="C1148" s="19"/>
      <c r="E1148" s="19"/>
      <c r="T1148" s="19"/>
      <c r="U1148"/>
      <c r="V1148"/>
      <c r="W1148"/>
      <c r="X1148"/>
      <c r="Z1148"/>
    </row>
    <row r="1149" spans="2:26" x14ac:dyDescent="0.25">
      <c r="B1149" s="19"/>
      <c r="C1149" s="19"/>
      <c r="E1149" s="19"/>
      <c r="T1149" s="19"/>
      <c r="U1149"/>
      <c r="V1149"/>
      <c r="W1149"/>
      <c r="X1149"/>
      <c r="Z1149"/>
    </row>
    <row r="1150" spans="2:26" x14ac:dyDescent="0.25">
      <c r="B1150" s="19"/>
      <c r="C1150" s="19"/>
      <c r="E1150" s="19"/>
      <c r="T1150" s="19"/>
      <c r="U1150"/>
      <c r="V1150"/>
      <c r="W1150"/>
      <c r="X1150"/>
      <c r="Z1150"/>
    </row>
    <row r="1151" spans="2:26" x14ac:dyDescent="0.25">
      <c r="B1151" s="19"/>
      <c r="C1151" s="19"/>
      <c r="E1151" s="19"/>
      <c r="T1151" s="19"/>
      <c r="U1151"/>
      <c r="V1151"/>
      <c r="W1151"/>
      <c r="X1151"/>
      <c r="Z1151"/>
    </row>
    <row r="1152" spans="2:26" x14ac:dyDescent="0.25">
      <c r="B1152" s="19"/>
      <c r="C1152" s="19"/>
      <c r="E1152" s="19"/>
      <c r="T1152" s="19"/>
      <c r="U1152"/>
      <c r="V1152"/>
      <c r="W1152"/>
      <c r="X1152"/>
      <c r="Z1152"/>
    </row>
    <row r="1153" spans="2:26" x14ac:dyDescent="0.25">
      <c r="B1153" s="19"/>
      <c r="C1153" s="19"/>
      <c r="E1153" s="19"/>
      <c r="T1153" s="19"/>
      <c r="U1153"/>
      <c r="V1153"/>
      <c r="W1153"/>
      <c r="X1153"/>
      <c r="Z1153"/>
    </row>
    <row r="1154" spans="2:26" x14ac:dyDescent="0.25">
      <c r="B1154" s="19"/>
      <c r="C1154" s="19"/>
      <c r="E1154" s="19"/>
      <c r="T1154" s="19"/>
      <c r="U1154"/>
      <c r="V1154"/>
      <c r="W1154"/>
      <c r="X1154"/>
      <c r="Z1154"/>
    </row>
    <row r="1155" spans="2:26" x14ac:dyDescent="0.25">
      <c r="B1155" s="19"/>
      <c r="C1155" s="19"/>
      <c r="E1155" s="19"/>
      <c r="T1155" s="19"/>
      <c r="U1155"/>
      <c r="V1155"/>
      <c r="W1155"/>
      <c r="X1155"/>
      <c r="Z1155"/>
    </row>
    <row r="1156" spans="2:26" x14ac:dyDescent="0.25">
      <c r="B1156" s="19"/>
      <c r="C1156" s="19"/>
      <c r="E1156" s="19"/>
      <c r="T1156" s="19"/>
      <c r="U1156"/>
      <c r="V1156"/>
      <c r="W1156"/>
      <c r="X1156"/>
      <c r="Z1156"/>
    </row>
    <row r="1157" spans="2:26" x14ac:dyDescent="0.25">
      <c r="B1157" s="19"/>
      <c r="C1157" s="19"/>
      <c r="E1157" s="19"/>
      <c r="T1157" s="19"/>
      <c r="U1157"/>
      <c r="V1157"/>
      <c r="W1157"/>
      <c r="X1157"/>
      <c r="Z1157"/>
    </row>
    <row r="1158" spans="2:26" x14ac:dyDescent="0.25">
      <c r="B1158" s="19"/>
      <c r="C1158" s="19"/>
      <c r="E1158" s="19"/>
      <c r="T1158" s="19"/>
      <c r="U1158"/>
      <c r="V1158"/>
      <c r="W1158"/>
      <c r="X1158"/>
      <c r="Z1158"/>
    </row>
    <row r="1159" spans="2:26" x14ac:dyDescent="0.25">
      <c r="B1159" s="19"/>
      <c r="C1159" s="19"/>
      <c r="E1159" s="19"/>
      <c r="T1159" s="19"/>
      <c r="U1159"/>
      <c r="V1159"/>
      <c r="W1159"/>
      <c r="X1159"/>
      <c r="Z1159"/>
    </row>
    <row r="1160" spans="2:26" x14ac:dyDescent="0.25">
      <c r="B1160" s="19"/>
      <c r="C1160" s="19"/>
      <c r="E1160" s="19"/>
      <c r="T1160" s="19"/>
      <c r="U1160"/>
      <c r="V1160"/>
      <c r="W1160"/>
      <c r="X1160"/>
      <c r="Z1160"/>
    </row>
    <row r="1161" spans="2:26" x14ac:dyDescent="0.25">
      <c r="B1161" s="19"/>
      <c r="C1161" s="19"/>
      <c r="E1161" s="19"/>
      <c r="T1161" s="19"/>
      <c r="U1161"/>
      <c r="V1161"/>
      <c r="W1161"/>
      <c r="X1161"/>
      <c r="Z1161"/>
    </row>
    <row r="1162" spans="2:26" x14ac:dyDescent="0.25">
      <c r="B1162" s="19"/>
      <c r="C1162" s="19"/>
      <c r="E1162" s="19"/>
      <c r="T1162" s="19"/>
      <c r="U1162"/>
      <c r="V1162"/>
      <c r="W1162"/>
      <c r="X1162"/>
      <c r="Z1162"/>
    </row>
    <row r="1163" spans="2:26" x14ac:dyDescent="0.25">
      <c r="B1163" s="19"/>
      <c r="C1163" s="19"/>
      <c r="E1163" s="19"/>
      <c r="T1163" s="19"/>
      <c r="U1163"/>
      <c r="V1163"/>
      <c r="W1163"/>
      <c r="X1163"/>
      <c r="Z1163"/>
    </row>
    <row r="1164" spans="2:26" x14ac:dyDescent="0.25">
      <c r="B1164" s="19"/>
      <c r="C1164" s="19"/>
      <c r="E1164" s="19"/>
      <c r="T1164" s="19"/>
      <c r="U1164"/>
      <c r="V1164"/>
      <c r="W1164"/>
      <c r="X1164"/>
      <c r="Z1164"/>
    </row>
    <row r="1165" spans="2:26" x14ac:dyDescent="0.25">
      <c r="B1165" s="19"/>
      <c r="C1165" s="19"/>
      <c r="E1165" s="19"/>
      <c r="T1165" s="19"/>
      <c r="U1165"/>
      <c r="V1165"/>
      <c r="W1165"/>
      <c r="X1165"/>
      <c r="Z1165"/>
    </row>
    <row r="1166" spans="2:26" x14ac:dyDescent="0.25">
      <c r="B1166" s="19"/>
      <c r="C1166" s="19"/>
      <c r="E1166" s="19"/>
      <c r="T1166" s="19"/>
      <c r="U1166"/>
      <c r="V1166"/>
      <c r="W1166"/>
      <c r="X1166"/>
      <c r="Z1166"/>
    </row>
    <row r="1167" spans="2:26" x14ac:dyDescent="0.25">
      <c r="B1167" s="19"/>
      <c r="C1167" s="19"/>
      <c r="E1167" s="19"/>
      <c r="T1167" s="19"/>
      <c r="U1167"/>
      <c r="V1167"/>
      <c r="W1167"/>
      <c r="X1167"/>
      <c r="Z1167"/>
    </row>
    <row r="1168" spans="2:26" x14ac:dyDescent="0.25">
      <c r="B1168" s="19"/>
      <c r="C1168" s="19"/>
      <c r="E1168" s="19"/>
      <c r="T1168" s="19"/>
      <c r="U1168"/>
      <c r="V1168"/>
      <c r="W1168"/>
      <c r="X1168"/>
      <c r="Z1168"/>
    </row>
    <row r="1169" spans="2:26" x14ac:dyDescent="0.25">
      <c r="B1169" s="19"/>
      <c r="C1169" s="19"/>
      <c r="E1169" s="19"/>
      <c r="T1169" s="19"/>
      <c r="U1169"/>
      <c r="V1169"/>
      <c r="W1169"/>
      <c r="X1169"/>
      <c r="Z1169"/>
    </row>
    <row r="1170" spans="2:26" x14ac:dyDescent="0.25">
      <c r="B1170" s="19"/>
      <c r="C1170" s="19"/>
      <c r="E1170" s="19"/>
      <c r="T1170" s="19"/>
      <c r="U1170"/>
      <c r="V1170"/>
      <c r="W1170"/>
      <c r="X1170"/>
      <c r="Z1170"/>
    </row>
    <row r="1171" spans="2:26" x14ac:dyDescent="0.25">
      <c r="B1171" s="19"/>
      <c r="C1171" s="19"/>
      <c r="E1171" s="19"/>
      <c r="T1171" s="19"/>
      <c r="U1171"/>
      <c r="V1171"/>
      <c r="W1171"/>
      <c r="X1171"/>
      <c r="Z1171"/>
    </row>
    <row r="1172" spans="2:26" x14ac:dyDescent="0.25">
      <c r="B1172" s="19"/>
      <c r="C1172" s="19"/>
      <c r="E1172" s="19"/>
      <c r="T1172" s="19"/>
      <c r="U1172"/>
      <c r="V1172"/>
      <c r="W1172"/>
      <c r="X1172"/>
      <c r="Z1172"/>
    </row>
    <row r="1173" spans="2:26" x14ac:dyDescent="0.25">
      <c r="B1173" s="19"/>
      <c r="C1173" s="19"/>
      <c r="E1173" s="19"/>
      <c r="T1173" s="19"/>
      <c r="U1173"/>
      <c r="V1173"/>
      <c r="W1173"/>
      <c r="X1173"/>
      <c r="Z1173"/>
    </row>
    <row r="1174" spans="2:26" x14ac:dyDescent="0.25">
      <c r="B1174" s="19"/>
      <c r="C1174" s="19"/>
      <c r="E1174" s="19"/>
      <c r="T1174" s="19"/>
      <c r="U1174"/>
      <c r="V1174"/>
      <c r="W1174"/>
      <c r="X1174"/>
      <c r="Z1174"/>
    </row>
    <row r="1175" spans="2:26" x14ac:dyDescent="0.25">
      <c r="B1175" s="19"/>
      <c r="C1175" s="19"/>
      <c r="E1175" s="19"/>
      <c r="T1175" s="19"/>
      <c r="U1175"/>
      <c r="V1175"/>
      <c r="W1175"/>
      <c r="X1175"/>
      <c r="Z1175"/>
    </row>
    <row r="1176" spans="2:26" x14ac:dyDescent="0.25">
      <c r="B1176" s="19"/>
      <c r="C1176" s="19"/>
      <c r="E1176" s="19"/>
      <c r="T1176" s="19"/>
      <c r="U1176"/>
      <c r="V1176"/>
      <c r="W1176"/>
      <c r="X1176"/>
      <c r="Z1176"/>
    </row>
    <row r="1177" spans="2:26" x14ac:dyDescent="0.25">
      <c r="B1177" s="19"/>
      <c r="C1177" s="19"/>
      <c r="E1177" s="19"/>
      <c r="T1177" s="19"/>
      <c r="U1177"/>
      <c r="V1177"/>
      <c r="W1177"/>
      <c r="X1177"/>
      <c r="Z1177"/>
    </row>
    <row r="1178" spans="2:26" x14ac:dyDescent="0.25">
      <c r="B1178" s="19"/>
      <c r="C1178" s="19"/>
      <c r="E1178" s="19"/>
      <c r="T1178" s="19"/>
      <c r="U1178"/>
      <c r="V1178"/>
      <c r="W1178"/>
      <c r="X1178"/>
      <c r="Z1178"/>
    </row>
    <row r="1179" spans="2:26" x14ac:dyDescent="0.25">
      <c r="B1179" s="19"/>
      <c r="C1179" s="19"/>
      <c r="E1179" s="19"/>
      <c r="T1179" s="19"/>
      <c r="U1179"/>
      <c r="V1179"/>
      <c r="W1179"/>
      <c r="X1179"/>
      <c r="Z1179"/>
    </row>
    <row r="1180" spans="2:26" x14ac:dyDescent="0.25">
      <c r="B1180" s="19"/>
      <c r="C1180" s="19"/>
      <c r="E1180" s="19"/>
      <c r="T1180" s="19"/>
      <c r="U1180"/>
      <c r="V1180"/>
      <c r="W1180"/>
      <c r="X1180"/>
      <c r="Z1180"/>
    </row>
    <row r="1181" spans="2:26" x14ac:dyDescent="0.25">
      <c r="B1181" s="19"/>
      <c r="C1181" s="19"/>
      <c r="E1181" s="19"/>
      <c r="T1181" s="19"/>
      <c r="U1181"/>
      <c r="V1181"/>
      <c r="W1181"/>
      <c r="X1181"/>
      <c r="Z1181"/>
    </row>
    <row r="1182" spans="2:26" x14ac:dyDescent="0.25">
      <c r="B1182" s="19"/>
      <c r="C1182" s="19"/>
      <c r="E1182" s="19"/>
      <c r="T1182" s="19"/>
      <c r="U1182"/>
      <c r="V1182"/>
      <c r="W1182"/>
      <c r="X1182"/>
      <c r="Z1182"/>
    </row>
    <row r="1183" spans="2:26" x14ac:dyDescent="0.25">
      <c r="B1183" s="19"/>
      <c r="C1183" s="19"/>
      <c r="E1183" s="19"/>
      <c r="T1183" s="19"/>
      <c r="U1183"/>
      <c r="V1183"/>
      <c r="W1183"/>
      <c r="X1183"/>
      <c r="Z1183"/>
    </row>
    <row r="1184" spans="2:26" x14ac:dyDescent="0.25">
      <c r="B1184" s="19"/>
      <c r="C1184" s="19"/>
      <c r="E1184" s="19"/>
      <c r="T1184" s="19"/>
      <c r="U1184"/>
      <c r="V1184"/>
      <c r="W1184"/>
      <c r="X1184"/>
      <c r="Z1184"/>
    </row>
    <row r="1185" spans="2:26" x14ac:dyDescent="0.25">
      <c r="B1185" s="19"/>
      <c r="C1185" s="19"/>
      <c r="E1185" s="19"/>
      <c r="T1185" s="19"/>
      <c r="U1185"/>
      <c r="V1185"/>
      <c r="W1185"/>
      <c r="X1185"/>
      <c r="Z1185"/>
    </row>
    <row r="1186" spans="2:26" x14ac:dyDescent="0.25">
      <c r="B1186" s="19"/>
      <c r="C1186" s="19"/>
      <c r="E1186" s="19"/>
      <c r="T1186" s="19"/>
      <c r="U1186"/>
      <c r="V1186"/>
      <c r="W1186"/>
      <c r="X1186"/>
      <c r="Z1186"/>
    </row>
    <row r="1187" spans="2:26" x14ac:dyDescent="0.25">
      <c r="B1187" s="19"/>
      <c r="C1187" s="19"/>
      <c r="E1187" s="19"/>
      <c r="T1187" s="19"/>
      <c r="U1187"/>
      <c r="V1187"/>
      <c r="W1187"/>
      <c r="X1187"/>
      <c r="Z1187"/>
    </row>
    <row r="1188" spans="2:26" x14ac:dyDescent="0.25">
      <c r="B1188" s="19"/>
      <c r="C1188" s="19"/>
      <c r="E1188" s="19"/>
      <c r="T1188" s="19"/>
      <c r="U1188"/>
      <c r="V1188"/>
      <c r="W1188"/>
      <c r="X1188"/>
      <c r="Z1188"/>
    </row>
    <row r="1189" spans="2:26" x14ac:dyDescent="0.25">
      <c r="B1189" s="19"/>
      <c r="C1189" s="19"/>
      <c r="E1189" s="19"/>
      <c r="T1189" s="19"/>
      <c r="U1189"/>
      <c r="V1189"/>
      <c r="W1189"/>
      <c r="X1189"/>
      <c r="Z1189"/>
    </row>
    <row r="1190" spans="2:26" x14ac:dyDescent="0.25">
      <c r="B1190" s="19"/>
      <c r="C1190" s="19"/>
      <c r="E1190" s="19"/>
      <c r="T1190" s="19"/>
      <c r="U1190"/>
      <c r="V1190"/>
      <c r="W1190"/>
      <c r="X1190"/>
      <c r="Z1190"/>
    </row>
    <row r="1191" spans="2:26" x14ac:dyDescent="0.25">
      <c r="B1191" s="19"/>
      <c r="C1191" s="19"/>
      <c r="E1191" s="19"/>
      <c r="T1191" s="19"/>
      <c r="U1191"/>
      <c r="V1191"/>
      <c r="W1191"/>
      <c r="X1191"/>
      <c r="Z1191"/>
    </row>
    <row r="1192" spans="2:26" x14ac:dyDescent="0.25">
      <c r="B1192" s="19"/>
      <c r="C1192" s="19"/>
      <c r="E1192" s="19"/>
      <c r="T1192" s="19"/>
      <c r="U1192"/>
      <c r="V1192"/>
      <c r="W1192"/>
      <c r="X1192"/>
      <c r="Z1192"/>
    </row>
  </sheetData>
  <mergeCells count="1">
    <mergeCell ref="S16:X16"/>
  </mergeCells>
  <dataValidations count="1">
    <dataValidation type="list" sqref="E14" xr:uid="{00000000-0002-0000-0000-000000000000}">
      <formula1>"Yes,No"</formula1>
    </dataValidation>
  </dataValidations>
  <pageMargins left="0.70866141732283472" right="0.70866141732283472" top="0.74803149606299213" bottom="0.74803149606299213" header="0.31496062992125984" footer="0.31496062992125984"/>
  <pageSetup paperSize="9" scale="72" fitToWidth="2" fitToHeight="0" orientation="landscape" r:id="rId1"/>
  <colBreaks count="1" manualBreakCount="1">
    <brk id="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tnCollate">
              <controlPr defaultSize="0" print="0" autoFill="0" autoPict="0" macro="[0]!RunProcess">
                <anchor moveWithCells="1" sizeWithCells="1">
                  <from>
                    <xdr:col>6</xdr:col>
                    <xdr:colOff>314325</xdr:colOff>
                    <xdr:row>5</xdr:row>
                    <xdr:rowOff>57150</xdr:rowOff>
                  </from>
                  <to>
                    <xdr:col>7</xdr:col>
                    <xdr:colOff>657225</xdr:colOff>
                    <xdr:row>9</xdr:row>
                    <xdr:rowOff>57150</xdr:rowOff>
                  </to>
                </anchor>
              </controlPr>
            </control>
          </mc:Choice>
        </mc:AlternateContent>
        <mc:AlternateContent xmlns:mc="http://schemas.openxmlformats.org/markup-compatibility/2006">
          <mc:Choice Requires="x14">
            <control shapeId="1027" r:id="rId5" name="btnReset">
              <controlPr defaultSize="0" print="0" autoFill="0" autoPict="0" macro="[0]!ResetAll">
                <anchor moveWithCells="1" sizeWithCells="1">
                  <from>
                    <xdr:col>6</xdr:col>
                    <xdr:colOff>314325</xdr:colOff>
                    <xdr:row>10</xdr:row>
                    <xdr:rowOff>47625</xdr:rowOff>
                  </from>
                  <to>
                    <xdr:col>7</xdr:col>
                    <xdr:colOff>657225</xdr:colOff>
                    <xdr:row>11</xdr:row>
                    <xdr:rowOff>76200</xdr:rowOff>
                  </to>
                </anchor>
              </controlPr>
            </control>
          </mc:Choice>
        </mc:AlternateContent>
        <mc:AlternateContent xmlns:mc="http://schemas.openxmlformats.org/markup-compatibility/2006">
          <mc:Choice Requires="x14">
            <control shapeId="1028" r:id="rId6" name="chkLoadNonSAP">
              <controlPr defaultSize="0" autoFill="0" autoLine="0" autoPict="0">
                <anchor moveWithCells="1">
                  <from>
                    <xdr:col>8</xdr:col>
                    <xdr:colOff>19050</xdr:colOff>
                    <xdr:row>6</xdr:row>
                    <xdr:rowOff>161925</xdr:rowOff>
                  </from>
                  <to>
                    <xdr:col>10</xdr:col>
                    <xdr:colOff>1162050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theme="5" tint="-0.249977111117893"/>
  </sheetPr>
  <dimension ref="A1:N30"/>
  <sheetViews>
    <sheetView topLeftCell="A2" workbookViewId="0">
      <selection activeCell="E44" sqref="E44"/>
    </sheetView>
  </sheetViews>
  <sheetFormatPr defaultColWidth="9.140625" defaultRowHeight="12" x14ac:dyDescent="0.25"/>
  <cols>
    <col min="1" max="1" width="4.5703125" style="21" customWidth="1"/>
    <col min="2" max="2" width="28" style="21" customWidth="1"/>
    <col min="3" max="4" width="17" style="21" customWidth="1"/>
    <col min="5" max="5" width="11" style="21" customWidth="1"/>
    <col min="6" max="6" width="8.28515625" style="21" customWidth="1"/>
    <col min="7" max="8" width="8.140625" style="21" customWidth="1"/>
    <col min="9" max="9" width="5.140625" style="21" customWidth="1"/>
    <col min="10" max="10" width="5.5703125" style="21" bestFit="1" customWidth="1"/>
    <col min="11" max="11" width="5.140625" style="21" bestFit="1" customWidth="1"/>
    <col min="12" max="12" width="6.28515625" style="21" customWidth="1"/>
    <col min="13" max="13" width="8.140625" style="21" customWidth="1"/>
    <col min="14" max="14" width="13.5703125" style="21" customWidth="1"/>
    <col min="15" max="16384" width="9.140625" style="21"/>
  </cols>
  <sheetData>
    <row r="1" spans="1:14" ht="12" hidden="1" customHeight="1" x14ac:dyDescent="0.25">
      <c r="A1" s="20" t="s">
        <v>11</v>
      </c>
      <c r="B1" s="20"/>
      <c r="C1" s="20"/>
      <c r="D1" s="20"/>
      <c r="E1" s="20"/>
      <c r="F1" s="20"/>
      <c r="G1" s="20"/>
      <c r="H1" s="20"/>
      <c r="I1" s="20"/>
      <c r="J1" s="20"/>
      <c r="K1" s="20"/>
      <c r="L1" s="20"/>
      <c r="M1" s="20"/>
      <c r="N1" s="20"/>
    </row>
    <row r="2" spans="1:14" ht="27" customHeight="1" x14ac:dyDescent="0.25">
      <c r="A2" s="295" t="s">
        <v>10</v>
      </c>
      <c r="B2" s="295" t="s">
        <v>12</v>
      </c>
      <c r="C2" s="295" t="s">
        <v>13</v>
      </c>
      <c r="D2" s="295" t="s">
        <v>14</v>
      </c>
      <c r="E2" s="295" t="s">
        <v>15</v>
      </c>
      <c r="F2" s="297" t="s">
        <v>16</v>
      </c>
      <c r="G2" s="298"/>
      <c r="H2" s="297" t="s">
        <v>17</v>
      </c>
      <c r="I2" s="298"/>
      <c r="J2" s="297" t="s">
        <v>18</v>
      </c>
      <c r="K2" s="298"/>
      <c r="L2" s="297" t="s">
        <v>19</v>
      </c>
      <c r="M2" s="298"/>
      <c r="N2" s="295" t="s">
        <v>9</v>
      </c>
    </row>
    <row r="3" spans="1:14" x14ac:dyDescent="0.25">
      <c r="A3" s="296"/>
      <c r="B3" s="296"/>
      <c r="C3" s="296"/>
      <c r="D3" s="296"/>
      <c r="E3" s="296"/>
      <c r="F3" s="22" t="s">
        <v>20</v>
      </c>
      <c r="G3" s="22" t="s">
        <v>21</v>
      </c>
      <c r="H3" s="22" t="s">
        <v>20</v>
      </c>
      <c r="I3" s="22" t="s">
        <v>21</v>
      </c>
      <c r="J3" s="22" t="s">
        <v>20</v>
      </c>
      <c r="K3" s="22" t="s">
        <v>21</v>
      </c>
      <c r="L3" s="22" t="s">
        <v>20</v>
      </c>
      <c r="M3" s="22" t="s">
        <v>21</v>
      </c>
      <c r="N3" s="296"/>
    </row>
    <row r="4" spans="1:14" x14ac:dyDescent="0.25">
      <c r="A4" s="20"/>
      <c r="B4" s="20"/>
      <c r="C4" s="203"/>
      <c r="D4" s="20"/>
      <c r="E4" s="20"/>
      <c r="F4" s="20"/>
      <c r="G4" s="20"/>
      <c r="H4" s="20"/>
      <c r="I4" s="20"/>
      <c r="J4" s="20"/>
      <c r="K4" s="20"/>
      <c r="L4" s="20"/>
      <c r="M4" s="20"/>
      <c r="N4" s="20"/>
    </row>
    <row r="5" spans="1:14" x14ac:dyDescent="0.25">
      <c r="A5" s="20"/>
      <c r="B5" s="20"/>
      <c r="C5" s="203"/>
      <c r="D5" s="20"/>
      <c r="E5" s="20"/>
      <c r="F5" s="20"/>
      <c r="G5" s="20"/>
      <c r="H5" s="20"/>
      <c r="I5" s="20"/>
      <c r="J5" s="20"/>
      <c r="K5" s="20"/>
      <c r="L5" s="20"/>
      <c r="M5" s="20"/>
      <c r="N5" s="20"/>
    </row>
    <row r="6" spans="1:14" x14ac:dyDescent="0.25">
      <c r="A6" s="20"/>
      <c r="B6" s="20"/>
      <c r="C6" s="203"/>
      <c r="D6" s="20"/>
      <c r="E6" s="20"/>
      <c r="F6" s="20"/>
      <c r="G6" s="20"/>
      <c r="H6" s="20"/>
      <c r="I6" s="20"/>
      <c r="J6" s="20"/>
      <c r="K6" s="20"/>
      <c r="L6" s="20"/>
      <c r="M6" s="20"/>
      <c r="N6" s="20"/>
    </row>
    <row r="7" spans="1:14" x14ac:dyDescent="0.25">
      <c r="A7" s="20"/>
      <c r="B7" s="20"/>
      <c r="C7" s="203"/>
      <c r="D7" s="20"/>
      <c r="E7" s="20"/>
      <c r="F7" s="20"/>
      <c r="G7" s="20"/>
      <c r="H7" s="20"/>
      <c r="I7" s="20"/>
      <c r="J7" s="20"/>
      <c r="K7" s="20"/>
      <c r="L7" s="20"/>
      <c r="M7" s="20"/>
      <c r="N7" s="20"/>
    </row>
    <row r="8" spans="1:14" x14ac:dyDescent="0.25">
      <c r="A8" s="20"/>
      <c r="B8" s="20"/>
      <c r="C8" s="203"/>
      <c r="D8" s="20"/>
      <c r="E8" s="20"/>
      <c r="F8" s="20"/>
      <c r="G8" s="20"/>
      <c r="H8" s="20"/>
      <c r="I8" s="20"/>
      <c r="J8" s="20"/>
      <c r="K8" s="20"/>
      <c r="L8" s="20"/>
      <c r="M8" s="20"/>
      <c r="N8" s="20"/>
    </row>
    <row r="9" spans="1:14" x14ac:dyDescent="0.25">
      <c r="A9" s="20"/>
      <c r="B9" s="20"/>
      <c r="C9" s="203"/>
      <c r="D9" s="20"/>
      <c r="E9" s="20"/>
      <c r="F9" s="20"/>
      <c r="G9" s="20"/>
      <c r="H9" s="20"/>
      <c r="I9" s="20"/>
      <c r="J9" s="20"/>
      <c r="K9" s="20"/>
      <c r="L9" s="20"/>
      <c r="M9" s="20"/>
      <c r="N9" s="20"/>
    </row>
    <row r="10" spans="1:14" x14ac:dyDescent="0.25">
      <c r="A10" s="20"/>
      <c r="B10" s="20"/>
      <c r="C10" s="203"/>
      <c r="D10" s="20"/>
      <c r="E10" s="20"/>
      <c r="F10" s="20"/>
      <c r="G10" s="20"/>
      <c r="H10" s="20"/>
      <c r="I10" s="20"/>
      <c r="J10" s="20"/>
      <c r="K10" s="20"/>
      <c r="L10" s="20"/>
      <c r="M10" s="20"/>
      <c r="N10" s="20"/>
    </row>
    <row r="11" spans="1:14" x14ac:dyDescent="0.25">
      <c r="A11" s="20"/>
      <c r="B11" s="20"/>
      <c r="C11" s="203"/>
      <c r="D11" s="20"/>
      <c r="E11" s="20"/>
      <c r="F11" s="20"/>
      <c r="G11" s="20"/>
      <c r="H11" s="20"/>
      <c r="I11" s="20"/>
      <c r="J11" s="20"/>
      <c r="K11" s="20"/>
      <c r="L11" s="20"/>
      <c r="M11" s="20"/>
      <c r="N11" s="20"/>
    </row>
    <row r="12" spans="1:14" x14ac:dyDescent="0.25">
      <c r="A12" s="20"/>
      <c r="B12" s="20"/>
      <c r="C12" s="203"/>
      <c r="D12" s="20"/>
      <c r="E12" s="20"/>
      <c r="F12" s="20"/>
      <c r="G12" s="20"/>
      <c r="H12" s="20"/>
      <c r="I12" s="20"/>
      <c r="J12" s="20"/>
      <c r="K12" s="20"/>
      <c r="L12" s="20"/>
      <c r="M12" s="20"/>
      <c r="N12" s="20"/>
    </row>
    <row r="13" spans="1:14" x14ac:dyDescent="0.25">
      <c r="A13" s="20"/>
      <c r="B13" s="20"/>
      <c r="C13" s="203"/>
      <c r="D13" s="20"/>
      <c r="E13" s="20"/>
      <c r="F13" s="20"/>
      <c r="G13" s="20"/>
      <c r="H13" s="20"/>
      <c r="I13" s="20"/>
      <c r="J13" s="20"/>
      <c r="K13" s="20"/>
      <c r="L13" s="20"/>
      <c r="M13" s="20"/>
      <c r="N13" s="20"/>
    </row>
    <row r="14" spans="1:14" x14ac:dyDescent="0.25">
      <c r="A14" s="20"/>
      <c r="B14" s="20"/>
      <c r="C14" s="203"/>
      <c r="D14" s="20"/>
      <c r="E14" s="20"/>
      <c r="F14" s="20"/>
      <c r="G14" s="20"/>
      <c r="H14" s="20"/>
      <c r="I14" s="20"/>
      <c r="J14" s="20"/>
      <c r="K14" s="20"/>
      <c r="L14" s="20"/>
      <c r="M14" s="20"/>
      <c r="N14" s="20"/>
    </row>
    <row r="15" spans="1:14" x14ac:dyDescent="0.25">
      <c r="A15" s="20"/>
      <c r="B15" s="20"/>
      <c r="C15" s="203"/>
      <c r="D15" s="20"/>
      <c r="E15" s="20"/>
      <c r="F15" s="20"/>
      <c r="G15" s="20"/>
      <c r="H15" s="20"/>
      <c r="I15" s="20"/>
      <c r="J15" s="20"/>
      <c r="K15" s="20"/>
      <c r="L15" s="20"/>
      <c r="M15" s="20"/>
      <c r="N15" s="20"/>
    </row>
    <row r="16" spans="1:14" x14ac:dyDescent="0.25">
      <c r="A16" s="20"/>
      <c r="B16" s="20"/>
      <c r="C16" s="203"/>
      <c r="D16" s="20"/>
      <c r="E16" s="20"/>
      <c r="F16" s="20"/>
      <c r="G16" s="20"/>
      <c r="H16" s="20"/>
      <c r="I16" s="20"/>
      <c r="J16" s="20"/>
      <c r="K16" s="20"/>
      <c r="L16" s="20"/>
      <c r="M16" s="20"/>
      <c r="N16" s="20"/>
    </row>
    <row r="17" spans="1:14" x14ac:dyDescent="0.25">
      <c r="A17" s="20"/>
      <c r="B17" s="20"/>
      <c r="C17" s="203"/>
      <c r="D17" s="20"/>
      <c r="E17" s="20"/>
      <c r="F17" s="20"/>
      <c r="G17" s="20"/>
      <c r="H17" s="20"/>
      <c r="I17" s="20"/>
      <c r="J17" s="20"/>
      <c r="K17" s="20"/>
      <c r="L17" s="20"/>
      <c r="M17" s="20"/>
      <c r="N17" s="20"/>
    </row>
    <row r="18" spans="1:14" x14ac:dyDescent="0.25">
      <c r="A18" s="20"/>
      <c r="B18" s="20"/>
      <c r="C18" s="203"/>
      <c r="D18" s="20"/>
      <c r="E18" s="20"/>
      <c r="F18" s="20"/>
      <c r="G18" s="20"/>
      <c r="H18" s="20"/>
      <c r="I18" s="20"/>
      <c r="J18" s="20"/>
      <c r="K18" s="20"/>
      <c r="L18" s="20"/>
      <c r="M18" s="20"/>
      <c r="N18" s="20"/>
    </row>
    <row r="19" spans="1:14" x14ac:dyDescent="0.25">
      <c r="A19" s="20"/>
      <c r="B19" s="20"/>
      <c r="C19" s="203"/>
      <c r="D19" s="20"/>
      <c r="E19" s="20"/>
      <c r="F19" s="20"/>
      <c r="G19" s="20"/>
      <c r="H19" s="20"/>
      <c r="I19" s="20"/>
      <c r="J19" s="20"/>
      <c r="K19" s="20"/>
      <c r="L19" s="20"/>
      <c r="M19" s="20"/>
      <c r="N19" s="20"/>
    </row>
    <row r="20" spans="1:14" x14ac:dyDescent="0.25">
      <c r="A20" s="20"/>
      <c r="B20" s="20"/>
      <c r="C20" s="203"/>
      <c r="D20" s="20"/>
      <c r="E20" s="20"/>
      <c r="F20" s="20"/>
      <c r="G20" s="20"/>
      <c r="H20" s="20"/>
      <c r="I20" s="20"/>
      <c r="J20" s="20"/>
      <c r="K20" s="20"/>
      <c r="L20" s="20"/>
      <c r="M20" s="20"/>
      <c r="N20" s="20"/>
    </row>
    <row r="21" spans="1:14" x14ac:dyDescent="0.25">
      <c r="A21" s="20"/>
      <c r="B21" s="20"/>
      <c r="C21" s="203"/>
      <c r="D21" s="20"/>
      <c r="E21" s="20"/>
      <c r="F21" s="20"/>
      <c r="G21" s="20"/>
      <c r="H21" s="20"/>
      <c r="I21" s="20"/>
      <c r="J21" s="20"/>
      <c r="K21" s="20"/>
      <c r="L21" s="20"/>
      <c r="M21" s="20"/>
      <c r="N21" s="20"/>
    </row>
    <row r="22" spans="1:14" x14ac:dyDescent="0.25">
      <c r="A22" s="20"/>
      <c r="B22" s="20"/>
      <c r="C22" s="203"/>
      <c r="D22" s="20"/>
      <c r="E22" s="20"/>
      <c r="F22" s="20"/>
      <c r="G22" s="20"/>
      <c r="H22" s="20"/>
      <c r="I22" s="20"/>
      <c r="J22" s="20"/>
      <c r="K22" s="20"/>
      <c r="L22" s="20"/>
      <c r="M22" s="20"/>
      <c r="N22" s="20"/>
    </row>
    <row r="23" spans="1:14" x14ac:dyDescent="0.25">
      <c r="A23" s="20"/>
      <c r="B23" s="20"/>
      <c r="C23" s="203"/>
      <c r="D23" s="20"/>
      <c r="E23" s="20"/>
      <c r="F23" s="20"/>
      <c r="G23" s="20"/>
      <c r="H23" s="20"/>
      <c r="I23" s="20"/>
      <c r="J23" s="20"/>
      <c r="K23" s="20"/>
      <c r="L23" s="20"/>
      <c r="M23" s="20"/>
      <c r="N23" s="20"/>
    </row>
    <row r="24" spans="1:14" x14ac:dyDescent="0.25">
      <c r="A24" s="20"/>
      <c r="B24" s="20"/>
      <c r="C24" s="203"/>
      <c r="D24" s="20"/>
      <c r="E24" s="20"/>
      <c r="F24" s="20"/>
      <c r="G24" s="20"/>
      <c r="H24" s="20"/>
      <c r="I24" s="20"/>
      <c r="J24" s="20"/>
      <c r="K24" s="20"/>
      <c r="L24" s="20"/>
      <c r="M24" s="20"/>
      <c r="N24" s="20"/>
    </row>
    <row r="25" spans="1:14" x14ac:dyDescent="0.25">
      <c r="A25" s="20"/>
      <c r="B25" s="20"/>
      <c r="C25" s="203"/>
      <c r="D25" s="20"/>
      <c r="E25" s="20"/>
      <c r="F25" s="20"/>
      <c r="G25" s="20"/>
      <c r="H25" s="20"/>
      <c r="I25" s="20"/>
      <c r="J25" s="20"/>
      <c r="K25" s="20"/>
      <c r="L25" s="20"/>
      <c r="M25" s="20"/>
      <c r="N25" s="20"/>
    </row>
    <row r="26" spans="1:14" x14ac:dyDescent="0.25">
      <c r="A26" s="20"/>
      <c r="B26" s="20"/>
      <c r="C26" s="203"/>
      <c r="D26" s="20"/>
      <c r="E26" s="20"/>
      <c r="F26" s="20"/>
      <c r="G26" s="20"/>
      <c r="H26" s="20"/>
      <c r="I26" s="20"/>
      <c r="J26" s="20"/>
      <c r="K26" s="20"/>
      <c r="L26" s="20"/>
      <c r="M26" s="20"/>
      <c r="N26" s="20"/>
    </row>
    <row r="27" spans="1:14" x14ac:dyDescent="0.25">
      <c r="A27" s="20"/>
      <c r="B27" s="20"/>
      <c r="C27" s="203"/>
      <c r="D27" s="20"/>
      <c r="E27" s="20"/>
      <c r="F27" s="20"/>
      <c r="G27" s="20"/>
      <c r="H27" s="20"/>
      <c r="I27" s="20"/>
      <c r="J27" s="20"/>
      <c r="K27" s="20"/>
      <c r="L27" s="20"/>
      <c r="M27" s="20"/>
      <c r="N27" s="20"/>
    </row>
    <row r="28" spans="1:14" x14ac:dyDescent="0.25">
      <c r="A28" s="20"/>
      <c r="B28" s="20"/>
      <c r="C28" s="203"/>
      <c r="D28" s="20"/>
      <c r="E28" s="20"/>
      <c r="F28" s="20"/>
      <c r="G28" s="20"/>
      <c r="H28" s="20"/>
      <c r="I28" s="20"/>
      <c r="J28" s="20"/>
      <c r="K28" s="20"/>
      <c r="L28" s="20"/>
      <c r="M28" s="20"/>
      <c r="N28" s="20"/>
    </row>
    <row r="29" spans="1:14" x14ac:dyDescent="0.25">
      <c r="A29" s="20"/>
      <c r="B29" s="20"/>
      <c r="C29" s="203"/>
      <c r="D29" s="20"/>
      <c r="E29" s="20"/>
      <c r="F29" s="20"/>
      <c r="G29" s="20"/>
      <c r="H29" s="20"/>
      <c r="I29" s="20"/>
      <c r="J29" s="20"/>
      <c r="K29" s="20"/>
      <c r="L29" s="20"/>
      <c r="M29" s="20"/>
      <c r="N29" s="20"/>
    </row>
    <row r="30" spans="1:14" x14ac:dyDescent="0.25">
      <c r="A30" s="20"/>
      <c r="B30" s="20"/>
      <c r="C30" s="203"/>
      <c r="D30" s="20"/>
      <c r="E30" s="20"/>
      <c r="F30" s="20"/>
      <c r="G30" s="20"/>
      <c r="H30" s="20"/>
      <c r="I30" s="20"/>
      <c r="J30" s="20"/>
      <c r="K30" s="20"/>
      <c r="L30" s="20"/>
      <c r="M30" s="20"/>
      <c r="N30" s="20"/>
    </row>
  </sheetData>
  <mergeCells count="10">
    <mergeCell ref="F2:G2"/>
    <mergeCell ref="H2:I2"/>
    <mergeCell ref="J2:K2"/>
    <mergeCell ref="L2:M2"/>
    <mergeCell ref="N2:N3"/>
    <mergeCell ref="E2:E3"/>
    <mergeCell ref="A2:A3"/>
    <mergeCell ref="B2:B3"/>
    <mergeCell ref="C2:C3"/>
    <mergeCell ref="D2:D3"/>
  </mergeCells>
  <pageMargins left="0.70866141732283472" right="0.78740157480314965" top="0.74803149606299213" bottom="0.74803149606299213" header="0.31496062992125984" footer="0.31496062992125984"/>
  <pageSetup paperSize="9" scale="82" orientation="landscape" r:id="rId1"/>
  <headerFooter>
    <oddHeader>&amp;L&amp;"Arial,Regular"Tag Information&amp;R&amp;D</oddHeader>
    <oddFooter>&amp;RPage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5" tint="-0.249977111117893"/>
    <pageSetUpPr fitToPage="1"/>
  </sheetPr>
  <dimension ref="A1:I56"/>
  <sheetViews>
    <sheetView tabSelected="1" workbookViewId="0">
      <selection activeCell="D42" sqref="D42"/>
    </sheetView>
  </sheetViews>
  <sheetFormatPr defaultColWidth="9.140625" defaultRowHeight="12.75" x14ac:dyDescent="0.25"/>
  <cols>
    <col min="1" max="1" width="22" style="25" bestFit="1" customWidth="1"/>
    <col min="2" max="2" width="14" style="25" bestFit="1" customWidth="1"/>
    <col min="3" max="3" width="13.42578125" style="25" bestFit="1" customWidth="1"/>
    <col min="4" max="4" width="21" style="25" customWidth="1"/>
    <col min="5" max="5" width="17.42578125" style="25" customWidth="1"/>
    <col min="6" max="6" width="9.140625" style="25"/>
    <col min="7" max="7" width="9.140625" style="24"/>
    <col min="8" max="16384" width="9.140625" style="25"/>
  </cols>
  <sheetData>
    <row r="1" spans="1:7" x14ac:dyDescent="0.25">
      <c r="A1" s="256" t="s">
        <v>0</v>
      </c>
      <c r="B1" s="257">
        <f>CustomerName</f>
        <v>0</v>
      </c>
      <c r="C1" s="266"/>
      <c r="D1" s="266"/>
      <c r="E1" s="267"/>
      <c r="F1" s="24"/>
    </row>
    <row r="2" spans="1:7" x14ac:dyDescent="0.25">
      <c r="A2" s="258" t="s">
        <v>22</v>
      </c>
      <c r="B2" s="259">
        <f>SalesOrderNumber</f>
        <v>0</v>
      </c>
      <c r="C2" s="268"/>
      <c r="D2" s="268"/>
      <c r="E2" s="269"/>
      <c r="F2" s="26"/>
      <c r="G2" s="26"/>
    </row>
    <row r="3" spans="1:7" x14ac:dyDescent="0.25">
      <c r="A3" s="258" t="s">
        <v>23</v>
      </c>
      <c r="B3" s="259">
        <f>PurchaseOrderNumber</f>
        <v>0</v>
      </c>
      <c r="C3" s="268"/>
      <c r="D3" s="268"/>
      <c r="E3" s="270"/>
      <c r="F3" s="24"/>
      <c r="G3" s="27"/>
    </row>
    <row r="4" spans="1:7" x14ac:dyDescent="0.25">
      <c r="A4" s="260" t="s">
        <v>844</v>
      </c>
      <c r="B4" s="259" t="s">
        <v>964</v>
      </c>
      <c r="C4" s="268"/>
      <c r="D4" s="268"/>
      <c r="E4" s="270"/>
      <c r="F4" s="24"/>
      <c r="G4" s="27"/>
    </row>
    <row r="5" spans="1:7" x14ac:dyDescent="0.25">
      <c r="A5" s="260" t="s">
        <v>845</v>
      </c>
      <c r="B5" s="262">
        <v>1</v>
      </c>
      <c r="C5" s="268"/>
      <c r="D5" s="268"/>
      <c r="E5" s="270"/>
      <c r="F5" s="24"/>
      <c r="G5" s="27"/>
    </row>
    <row r="6" spans="1:7" x14ac:dyDescent="0.25">
      <c r="A6" s="261" t="s">
        <v>24</v>
      </c>
      <c r="B6" s="303" t="s">
        <v>966</v>
      </c>
      <c r="C6" s="304"/>
      <c r="D6" s="304"/>
      <c r="E6" s="305"/>
      <c r="F6" s="26"/>
      <c r="G6" s="26"/>
    </row>
    <row r="7" spans="1:7" x14ac:dyDescent="0.25">
      <c r="A7" s="261" t="s">
        <v>25</v>
      </c>
      <c r="B7" s="306" t="s">
        <v>965</v>
      </c>
      <c r="C7" s="307"/>
      <c r="D7" s="307"/>
      <c r="E7" s="308"/>
      <c r="F7" s="24"/>
    </row>
    <row r="8" spans="1:7" x14ac:dyDescent="0.25">
      <c r="A8" s="261" t="s">
        <v>26</v>
      </c>
      <c r="B8" s="309" t="s">
        <v>969</v>
      </c>
      <c r="C8" s="310"/>
      <c r="D8" s="310"/>
      <c r="E8" s="311"/>
      <c r="F8" s="24"/>
    </row>
    <row r="9" spans="1:7" x14ac:dyDescent="0.25">
      <c r="A9" s="209"/>
      <c r="B9" s="30"/>
      <c r="C9" s="30"/>
      <c r="D9" s="30"/>
      <c r="E9" s="210"/>
      <c r="F9" s="24"/>
    </row>
    <row r="10" spans="1:7" x14ac:dyDescent="0.25">
      <c r="A10" s="316" t="s">
        <v>861</v>
      </c>
      <c r="B10" s="263" t="s">
        <v>421</v>
      </c>
      <c r="C10" s="314" t="s">
        <v>896</v>
      </c>
      <c r="D10" s="314"/>
      <c r="E10" s="315"/>
      <c r="F10" s="24"/>
    </row>
    <row r="11" spans="1:7" x14ac:dyDescent="0.25">
      <c r="A11" s="317"/>
      <c r="B11" s="264" t="s">
        <v>862</v>
      </c>
      <c r="C11" s="314" t="s">
        <v>978</v>
      </c>
      <c r="D11" s="314"/>
      <c r="E11" s="315"/>
      <c r="F11" s="24"/>
    </row>
    <row r="12" spans="1:7" x14ac:dyDescent="0.25">
      <c r="A12" s="265" t="s">
        <v>27</v>
      </c>
      <c r="B12" s="264">
        <f>FPD580_PT</f>
        <v>24</v>
      </c>
      <c r="C12" s="262" t="s">
        <v>963</v>
      </c>
      <c r="D12" s="30"/>
      <c r="E12" s="110"/>
      <c r="F12" s="24"/>
    </row>
    <row r="13" spans="1:7" x14ac:dyDescent="0.25">
      <c r="A13" s="208"/>
      <c r="B13" s="108"/>
      <c r="C13" s="108"/>
      <c r="D13" s="108"/>
      <c r="E13" s="109"/>
      <c r="F13" s="24"/>
    </row>
    <row r="14" spans="1:7" x14ac:dyDescent="0.25">
      <c r="A14" s="205" t="s">
        <v>28</v>
      </c>
      <c r="B14" s="215"/>
      <c r="C14" s="215"/>
      <c r="D14" s="204" t="s">
        <v>29</v>
      </c>
      <c r="E14" s="110"/>
      <c r="F14" s="24"/>
    </row>
    <row r="15" spans="1:7" x14ac:dyDescent="0.25">
      <c r="A15" s="252" t="s">
        <v>30</v>
      </c>
      <c r="B15" s="253" t="s">
        <v>162</v>
      </c>
      <c r="C15" s="215"/>
      <c r="D15" s="254" t="s">
        <v>32</v>
      </c>
      <c r="E15" s="255" t="str">
        <f>IF(B20="Yes","8 holes",IF(FPD580_PIPEID&lt;=120,"4 holes",IF(FPD580_PIPEID&gt;=1200,"8 holes","6 holes")))</f>
        <v>8 holes</v>
      </c>
      <c r="F15" s="24"/>
    </row>
    <row r="16" spans="1:7" x14ac:dyDescent="0.2">
      <c r="A16" s="252" t="s">
        <v>33</v>
      </c>
      <c r="B16" s="253">
        <v>6000</v>
      </c>
      <c r="C16" s="122"/>
      <c r="D16" s="254" t="s">
        <v>34</v>
      </c>
      <c r="E16" s="255">
        <f>FPD580_Neck_L</f>
        <v>120</v>
      </c>
      <c r="F16" s="24"/>
      <c r="G16" s="25"/>
    </row>
    <row r="17" spans="1:7" x14ac:dyDescent="0.25">
      <c r="A17" s="252" t="s">
        <v>35</v>
      </c>
      <c r="B17" s="253">
        <v>6</v>
      </c>
      <c r="C17" s="215"/>
      <c r="D17" s="254" t="s">
        <v>36</v>
      </c>
      <c r="E17" s="255">
        <f>FPD580_EC_Length</f>
        <v>1.5</v>
      </c>
      <c r="G17" s="25"/>
    </row>
    <row r="18" spans="1:7" x14ac:dyDescent="0.25">
      <c r="A18" s="252" t="s">
        <v>37</v>
      </c>
      <c r="B18" s="253" t="s">
        <v>198</v>
      </c>
      <c r="C18" s="215"/>
      <c r="D18" s="254" t="s">
        <v>39</v>
      </c>
      <c r="E18" s="255">
        <f>IF(FPD580_ES_type="F",(2*FPD580_GT),FPD580_GT)</f>
        <v>1.5</v>
      </c>
      <c r="G18" s="25"/>
    </row>
    <row r="19" spans="1:7" x14ac:dyDescent="0.25">
      <c r="A19" s="252" t="s">
        <v>40</v>
      </c>
      <c r="B19" s="253" t="s">
        <v>970</v>
      </c>
      <c r="C19" s="215" t="str">
        <f>VLOOKUP(FPD580_MIS_Gasket,'FPD580 MIS Data'!A46:B50,2,0)</f>
        <v>SBG</v>
      </c>
      <c r="D19" s="254" t="s">
        <v>41</v>
      </c>
      <c r="E19" s="255">
        <v>95</v>
      </c>
      <c r="G19" s="25"/>
    </row>
    <row r="20" spans="1:7" x14ac:dyDescent="0.25">
      <c r="A20" s="252" t="s">
        <v>42</v>
      </c>
      <c r="B20" s="253" t="s">
        <v>43</v>
      </c>
      <c r="C20" s="215"/>
      <c r="D20" s="254" t="s">
        <v>44</v>
      </c>
      <c r="E20" s="255">
        <f>FPD580_Flange_t</f>
        <v>15.9</v>
      </c>
      <c r="F20" s="24"/>
      <c r="G20" s="25"/>
    </row>
    <row r="21" spans="1:7" x14ac:dyDescent="0.25">
      <c r="A21" s="252" t="s">
        <v>874</v>
      </c>
      <c r="B21" s="253" t="s">
        <v>186</v>
      </c>
      <c r="C21" s="214"/>
      <c r="D21" s="254" t="s">
        <v>45</v>
      </c>
      <c r="E21" s="255">
        <f>'FPD580 MIS Data'!F24</f>
        <v>0</v>
      </c>
      <c r="G21" s="25"/>
    </row>
    <row r="22" spans="1:7" x14ac:dyDescent="0.25">
      <c r="A22" s="312" t="str">
        <f>IF('FPD580 MIS Data'!H24="F","Note - External flanged end support","")</f>
        <v/>
      </c>
      <c r="B22" s="313"/>
      <c r="C22" s="313"/>
      <c r="D22" s="207"/>
      <c r="E22" s="110"/>
      <c r="G22" s="25"/>
    </row>
    <row r="23" spans="1:7" x14ac:dyDescent="0.25">
      <c r="A23" s="272"/>
      <c r="B23" s="273"/>
      <c r="C23" s="273"/>
      <c r="D23" s="108"/>
      <c r="E23" s="109"/>
      <c r="G23" s="25"/>
    </row>
    <row r="24" spans="1:7" x14ac:dyDescent="0.25">
      <c r="A24" s="206" t="s">
        <v>46</v>
      </c>
      <c r="B24" s="217"/>
      <c r="C24" s="217"/>
      <c r="D24" s="241" t="s">
        <v>47</v>
      </c>
      <c r="E24" s="218"/>
      <c r="G24" s="25"/>
    </row>
    <row r="25" spans="1:7" x14ac:dyDescent="0.25">
      <c r="A25" s="248" t="s">
        <v>48</v>
      </c>
      <c r="B25" s="249">
        <f>FPD580_PIPEID+FPD580_WALLT+FPD580_MIS_NL+FPD580_FS+FPD580_TGT-FPD580_EC_Length+IF(FPD580_ES_type="N",0,FPD580_WALLT+FPD580_MIS_ES)</f>
        <v>6221</v>
      </c>
      <c r="C25" s="217"/>
      <c r="D25" s="245" t="s">
        <v>49</v>
      </c>
      <c r="E25" s="246">
        <f>FPD580_MIS_NL+FPD580_GT+FPD580_FS+FPD580_WALLT</f>
        <v>222.5</v>
      </c>
      <c r="G25" s="25"/>
    </row>
    <row r="26" spans="1:7" x14ac:dyDescent="0.25">
      <c r="A26" s="248" t="s">
        <v>50</v>
      </c>
      <c r="B26" s="249">
        <f>FPD580_A_length-FPD580_I_DIM+FPD580_EC_Length</f>
        <v>3224</v>
      </c>
      <c r="C26" s="217"/>
      <c r="D26" s="245" t="s">
        <v>51</v>
      </c>
      <c r="E26" s="246" t="str">
        <f>IF(FPD580_ES_type="N","N/A",FPD580_MIS_ES+FPD580_TGT-FPD580_GT+FPD580_WALLT)</f>
        <v>N/A</v>
      </c>
    </row>
    <row r="27" spans="1:7" x14ac:dyDescent="0.25">
      <c r="A27" s="248" t="s">
        <v>52</v>
      </c>
      <c r="B27" s="249">
        <f>IF(FPD580_NRT="Y","N/A",FPD580_J_length+10)</f>
        <v>3234</v>
      </c>
      <c r="C27" s="217"/>
      <c r="D27" s="245" t="s">
        <v>53</v>
      </c>
      <c r="E27" s="246">
        <f>FPD580_A_length-FPD580_MIS_NL</f>
        <v>6101</v>
      </c>
    </row>
    <row r="28" spans="1:7" x14ac:dyDescent="0.25">
      <c r="A28" s="216"/>
      <c r="B28" s="217"/>
      <c r="C28" s="217"/>
      <c r="D28" s="217"/>
      <c r="E28" s="218"/>
    </row>
    <row r="29" spans="1:7" x14ac:dyDescent="0.25">
      <c r="A29" s="206" t="s">
        <v>54</v>
      </c>
      <c r="B29" s="217"/>
      <c r="C29" s="217"/>
      <c r="D29" s="241" t="s">
        <v>960</v>
      </c>
      <c r="E29" s="235"/>
    </row>
    <row r="30" spans="1:7" x14ac:dyDescent="0.25">
      <c r="A30" s="248" t="s">
        <v>56</v>
      </c>
      <c r="B30" s="250" t="str">
        <f>IF(FPD580_NRT="Y",FPD580_Fin_tw+10,"N/A")</f>
        <v>N/A</v>
      </c>
      <c r="C30" s="217"/>
      <c r="D30" s="245" t="s">
        <v>57</v>
      </c>
      <c r="E30" s="246">
        <f>(FPD580_PIPEID*'FPD580 MIS Data'!B$7)+IF(FPD580_ES_type="N",0,FPD580_WALLT+FPD580_MIS_ES+FPD580_TGT-FPD580_GT)-FPD580_EC_Length</f>
        <v>202.50000000000003</v>
      </c>
    </row>
    <row r="31" spans="1:7" x14ac:dyDescent="0.25">
      <c r="A31" s="248" t="s">
        <v>58</v>
      </c>
      <c r="B31" s="250" t="str">
        <f>IF(FPD580_NRT="Y",(FPD580_A_length-FPD580_Average_nrt-240),"N/A")</f>
        <v>N/A</v>
      </c>
      <c r="C31" s="217"/>
      <c r="D31" s="245" t="s">
        <v>59</v>
      </c>
      <c r="E31" s="246">
        <f>(FPD580_PIPEID*'FPD580 MIS Data'!C$7)+IF(FPD580_ES_type="N",0,FPD580_WALLT+FPD580_MIS_ES+FPD580_TGT-FPD580_GT)-FPD580_EC_Length</f>
        <v>550.5</v>
      </c>
    </row>
    <row r="32" spans="1:7" x14ac:dyDescent="0.25">
      <c r="A32" s="248" t="s">
        <v>60</v>
      </c>
      <c r="B32" s="250" t="str">
        <f>IF(FPD580_NRT="Y",FPD580_Fin_tw+135,"N/A")</f>
        <v>N/A</v>
      </c>
      <c r="C32" s="217"/>
      <c r="D32" s="245" t="s">
        <v>61</v>
      </c>
      <c r="E32" s="246">
        <f>(FPD580_PIPEID*'FPD580 MIS Data'!D$7)+IF(FPD580_ES_type="N",0,FPD580_WALLT+FPD580_MIS_ES+FPD580_TGT-FPD580_GT)-FPD580_EC_Length</f>
        <v>1498.5</v>
      </c>
    </row>
    <row r="33" spans="1:9" x14ac:dyDescent="0.25">
      <c r="A33" s="220"/>
      <c r="B33" s="217"/>
      <c r="C33" s="217"/>
      <c r="D33" s="245" t="s">
        <v>62</v>
      </c>
      <c r="E33" s="246">
        <f>(FPD580_PIPEID*'FPD580 MIS Data'!E$7)+IF(FPD580_ES_type="N",0,FPD580_WALLT+FPD580_MIS_ES+FPD580_TGT-FPD580_GT)-FPD580_EC_Length</f>
        <v>2203.5</v>
      </c>
    </row>
    <row r="34" spans="1:9" x14ac:dyDescent="0.25">
      <c r="A34" s="206"/>
      <c r="B34" s="217"/>
      <c r="C34" s="217"/>
      <c r="D34" s="245" t="s">
        <v>63</v>
      </c>
      <c r="E34" s="246">
        <f>IF('FPD580 MIS Data'!F$7=0,"N/A",(FPD580_PIPEID*'FPD580 MIS Data'!F$7)+IF(FPD580_ES_type="N",0,FPD580_WALLT+FPD580_MIS_ES+FPD580_TGT-FPD580_GT)-FPD580_EC_Length)</f>
        <v>3793.4999999999995</v>
      </c>
    </row>
    <row r="35" spans="1:9" x14ac:dyDescent="0.25">
      <c r="A35" s="216"/>
      <c r="B35" s="217"/>
      <c r="C35" s="217"/>
      <c r="D35" s="245" t="s">
        <v>64</v>
      </c>
      <c r="E35" s="246">
        <f>IF('FPD580 MIS Data'!G$7=0,"N/A",(FPD580_PIPEID*'FPD580 MIS Data'!G$7)+IF(FPD580_ES_type="N",0,FPD580_WALLT+FPD580_MIS_ES+FPD580_TGT-FPD580_GT)-FPD580_EC_Length)</f>
        <v>4498.5</v>
      </c>
    </row>
    <row r="36" spans="1:9" x14ac:dyDescent="0.25">
      <c r="A36" s="216"/>
      <c r="B36" s="217"/>
      <c r="C36" s="217"/>
      <c r="D36" s="245" t="s">
        <v>65</v>
      </c>
      <c r="E36" s="246">
        <f>IF('FPD580 MIS Data'!H$7=0,"N/A",(FPD580_PIPEID*'FPD580 MIS Data'!H$7)+IF(FPD580_ES_type="N",0,FPD580_WALLT+FPD580_MIS_ES+FPD580_TGT-FPD580_GT)-FPD580_EC_Length)</f>
        <v>5446.5</v>
      </c>
    </row>
    <row r="37" spans="1:9" x14ac:dyDescent="0.25">
      <c r="A37" s="216"/>
      <c r="B37" s="217"/>
      <c r="C37" s="217"/>
      <c r="D37" s="245" t="s">
        <v>66</v>
      </c>
      <c r="E37" s="246">
        <f>IF('FPD580 MIS Data'!I$7=0,"N/A",(FPD580_PIPEID*'FPD580 MIS Data'!I$7)+IF(FPD580_ES_type="N",0,FPD580_WALLT+FPD580_MIS_ES+FPD580_TGT-FPD580_GT)-FPD580_EC_Length)</f>
        <v>5794.5</v>
      </c>
      <c r="H37" s="24"/>
      <c r="I37" s="24"/>
    </row>
    <row r="38" spans="1:9" x14ac:dyDescent="0.25">
      <c r="A38" s="216"/>
      <c r="B38" s="217"/>
      <c r="C38" s="217"/>
      <c r="D38" s="245" t="s">
        <v>67</v>
      </c>
      <c r="E38" s="246">
        <f>(FPD580_PIPEID*'FPD580 MIS Data'!A$7)+IF(FPD580_ES_type="N",0,FPD580_WALLT+FPD580_MIS_ES+FPD580_TGT-FPD580_GT)-FPD580_EC_Length</f>
        <v>2998.5</v>
      </c>
    </row>
    <row r="39" spans="1:9" x14ac:dyDescent="0.25">
      <c r="A39" s="221"/>
      <c r="B39" s="222"/>
      <c r="C39" s="222"/>
      <c r="D39" s="222"/>
      <c r="E39" s="223"/>
    </row>
    <row r="40" spans="1:9" s="35" customFormat="1" ht="15" customHeight="1" x14ac:dyDescent="0.25">
      <c r="A40" s="224"/>
      <c r="B40" s="225"/>
      <c r="C40" s="225"/>
      <c r="D40" s="225"/>
      <c r="E40" s="226"/>
      <c r="G40" s="33"/>
    </row>
    <row r="41" spans="1:9" x14ac:dyDescent="0.25">
      <c r="A41" s="275" t="s">
        <v>46</v>
      </c>
      <c r="B41" s="227"/>
      <c r="C41" s="227"/>
      <c r="D41" s="274" t="s">
        <v>47</v>
      </c>
      <c r="E41" s="228"/>
      <c r="G41" s="25"/>
    </row>
    <row r="42" spans="1:9" x14ac:dyDescent="0.25">
      <c r="A42" s="247" t="s">
        <v>48</v>
      </c>
      <c r="B42" s="251">
        <f>FPD580_PIPEID+FPD580_WALLT+FPD580_MIS_NL+FPD580_FS+FPD580_TGT-FPD580_EC_Length+IF(FPD580_ES_type="N",0,FPD580_WALLT+FPD580_MIS_ES)-C43</f>
        <v>1520</v>
      </c>
      <c r="C42" s="289">
        <f>IF((FPD580_PIPEID*(1-'FPD580 MIS Data'!F7))+25&gt;'FPD580 MIS Data'!K24,'FPD580 MIS Data'!K24,(FPD580_PIPEID*(1-'FPD580 MIS Data'!F7))+25)</f>
        <v>1299</v>
      </c>
      <c r="D42" s="243" t="s">
        <v>49</v>
      </c>
      <c r="E42" s="244">
        <f>FPD580_MIS_NL+FPD580_GT+FPD580_FS+FPD580_WALLT</f>
        <v>222.5</v>
      </c>
      <c r="G42" s="25"/>
    </row>
    <row r="43" spans="1:9" x14ac:dyDescent="0.25">
      <c r="A43" s="247" t="s">
        <v>50</v>
      </c>
      <c r="B43" s="251">
        <f>B42-E55+FPD580_EC_Length</f>
        <v>870.5</v>
      </c>
      <c r="C43" s="289">
        <f>FPD580_PIPEID-C42</f>
        <v>4701</v>
      </c>
      <c r="D43" s="243" t="s">
        <v>51</v>
      </c>
      <c r="E43" s="244" t="str">
        <f>IF(FPD580_ES_type="N","N/A",FPD580_MIS_ES+FPD580_TGT-FPD580_GT+FPD580_WALLT)</f>
        <v>N/A</v>
      </c>
      <c r="G43" s="25"/>
    </row>
    <row r="44" spans="1:9" x14ac:dyDescent="0.25">
      <c r="A44" s="247" t="s">
        <v>52</v>
      </c>
      <c r="B44" s="251">
        <f>IF(FPD580_NRT="Y","N/A",B43+10)</f>
        <v>880.5</v>
      </c>
      <c r="C44" s="230"/>
      <c r="D44" s="243" t="s">
        <v>53</v>
      </c>
      <c r="E44" s="244">
        <f>B42-FPD580_MIS_NL</f>
        <v>1400</v>
      </c>
    </row>
    <row r="45" spans="1:9" x14ac:dyDescent="0.25">
      <c r="A45" s="229"/>
      <c r="B45" s="230"/>
      <c r="C45" s="230"/>
      <c r="D45" s="230"/>
      <c r="E45" s="231"/>
      <c r="G45" s="25"/>
    </row>
    <row r="46" spans="1:9" x14ac:dyDescent="0.25">
      <c r="A46" s="276" t="s">
        <v>54</v>
      </c>
      <c r="B46" s="230"/>
      <c r="C46" s="230"/>
      <c r="D46" s="242" t="s">
        <v>960</v>
      </c>
      <c r="E46" s="231"/>
    </row>
    <row r="47" spans="1:9" x14ac:dyDescent="0.25">
      <c r="A47" s="247" t="s">
        <v>56</v>
      </c>
      <c r="B47" s="251" t="str">
        <f>IF(FPD580_NRT="Y",FPD580_Fin_tw+10,"N/A")</f>
        <v>N/A</v>
      </c>
      <c r="C47" s="230"/>
      <c r="D47" s="243" t="s">
        <v>57</v>
      </c>
      <c r="E47" s="244">
        <v>0</v>
      </c>
    </row>
    <row r="48" spans="1:9" x14ac:dyDescent="0.25">
      <c r="A48" s="247" t="s">
        <v>58</v>
      </c>
      <c r="B48" s="251" t="str">
        <f>IF(FPD580_NRT="Y",(FPD580_A_length-FPD580_Average_nrt-240),"N/A")</f>
        <v>N/A</v>
      </c>
      <c r="C48" s="230"/>
      <c r="D48" s="243" t="s">
        <v>59</v>
      </c>
      <c r="E48" s="244">
        <v>0</v>
      </c>
    </row>
    <row r="49" spans="1:5" x14ac:dyDescent="0.25">
      <c r="A49" s="247" t="s">
        <v>60</v>
      </c>
      <c r="B49" s="251" t="str">
        <f>IF(FPD580_NRT="Y",FPD580_Fin_tw+135,"N/A")</f>
        <v>N/A</v>
      </c>
      <c r="C49" s="230"/>
      <c r="D49" s="243" t="s">
        <v>61</v>
      </c>
      <c r="E49" s="244">
        <v>0</v>
      </c>
    </row>
    <row r="50" spans="1:5" x14ac:dyDescent="0.25">
      <c r="A50" s="232"/>
      <c r="B50" s="230"/>
      <c r="C50" s="230"/>
      <c r="D50" s="243" t="s">
        <v>62</v>
      </c>
      <c r="E50" s="244">
        <v>0</v>
      </c>
    </row>
    <row r="51" spans="1:5" x14ac:dyDescent="0.25">
      <c r="A51" s="299" t="s">
        <v>68</v>
      </c>
      <c r="B51" s="300"/>
      <c r="C51" s="300"/>
      <c r="D51" s="243" t="s">
        <v>63</v>
      </c>
      <c r="E51" s="244">
        <f>FPD580_G_DIM-C43+FPD580_MIS_EC</f>
        <v>-906.00000000000045</v>
      </c>
    </row>
    <row r="52" spans="1:5" x14ac:dyDescent="0.25">
      <c r="A52" s="299"/>
      <c r="B52" s="300"/>
      <c r="C52" s="300"/>
      <c r="D52" s="243" t="s">
        <v>64</v>
      </c>
      <c r="E52" s="244">
        <f>FPD580_H_DIM-C43+FPD580_MIS_EC</f>
        <v>-201</v>
      </c>
    </row>
    <row r="53" spans="1:5" x14ac:dyDescent="0.25">
      <c r="A53" s="299"/>
      <c r="B53" s="300"/>
      <c r="C53" s="300"/>
      <c r="D53" s="243" t="s">
        <v>65</v>
      </c>
      <c r="E53" s="244">
        <f>FPD580_N_DIM-C43+FPD580_MIS_EC</f>
        <v>747</v>
      </c>
    </row>
    <row r="54" spans="1:5" x14ac:dyDescent="0.25">
      <c r="A54" s="299"/>
      <c r="B54" s="300"/>
      <c r="C54" s="300"/>
      <c r="D54" s="243" t="s">
        <v>66</v>
      </c>
      <c r="E54" s="244">
        <f>FPD580_P_DIM-C43+FPD580_MIS_EC</f>
        <v>1095</v>
      </c>
    </row>
    <row r="55" spans="1:5" x14ac:dyDescent="0.25">
      <c r="A55" s="299"/>
      <c r="B55" s="300"/>
      <c r="C55" s="300"/>
      <c r="D55" s="243" t="s">
        <v>67</v>
      </c>
      <c r="E55" s="244">
        <f>(C42/2)+FPD580_MIS_EC</f>
        <v>651</v>
      </c>
    </row>
    <row r="56" spans="1:5" x14ac:dyDescent="0.25">
      <c r="A56" s="301"/>
      <c r="B56" s="302"/>
      <c r="C56" s="302"/>
      <c r="D56" s="233"/>
      <c r="E56" s="234"/>
    </row>
  </sheetData>
  <dataConsolidate/>
  <mergeCells count="8">
    <mergeCell ref="A51:C56"/>
    <mergeCell ref="B6:E6"/>
    <mergeCell ref="B7:E7"/>
    <mergeCell ref="B8:E8"/>
    <mergeCell ref="A22:C22"/>
    <mergeCell ref="C11:E11"/>
    <mergeCell ref="C10:E10"/>
    <mergeCell ref="A10:A11"/>
  </mergeCells>
  <dataValidations count="4">
    <dataValidation type="list" allowBlank="1" showInputMessage="1" showErrorMessage="1" sqref="B20 B21" xr:uid="{00000000-0002-0000-0200-000000000000}">
      <formula1>"Yes,No"</formula1>
    </dataValidation>
    <dataValidation type="list" allowBlank="1" showInputMessage="1" showErrorMessage="1" sqref="B19" xr:uid="{00000000-0002-0000-0200-000001000000}">
      <formula1>FPD580_Gasket_List</formula1>
    </dataValidation>
    <dataValidation type="list" allowBlank="1" showInputMessage="1" showErrorMessage="1" sqref="B18" xr:uid="{00000000-0002-0000-0200-000002000000}">
      <formula1>FPD580_FS_List</formula1>
    </dataValidation>
    <dataValidation type="list" allowBlank="1" showInputMessage="1" showErrorMessage="1" sqref="B15" xr:uid="{00000000-0002-0000-0200-000003000000}">
      <formula1>FPD580_Model_list</formula1>
    </dataValidation>
  </dataValidations>
  <printOptions horizontalCentered="1" verticalCentered="1"/>
  <pageMargins left="0.70866141732283472" right="0.70866141732283472" top="1.1811023622047245" bottom="0.74803149606299213" header="0.31496062992125984" footer="0.31496062992125984"/>
  <pageSetup paperSize="9" scale="99" orientation="portrait" r:id="rId1"/>
  <headerFooter>
    <oddHeader>&amp;L&amp;"Arial,Bold"&amp;12Manufacturing Instruction Sheet (MIS)&amp;R&amp;"Arial,Regular"&amp;D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5" tint="-0.249977111117893"/>
  </sheetPr>
  <dimension ref="A1:J52"/>
  <sheetViews>
    <sheetView workbookViewId="0">
      <selection sqref="A1:J1"/>
    </sheetView>
  </sheetViews>
  <sheetFormatPr defaultColWidth="9.140625" defaultRowHeight="12.75" x14ac:dyDescent="0.2"/>
  <cols>
    <col min="1" max="5" width="9.42578125" style="36" customWidth="1"/>
    <col min="6" max="6" width="10.5703125" style="36" customWidth="1"/>
    <col min="7" max="10" width="9.42578125" style="36" customWidth="1"/>
    <col min="11" max="16384" width="9.140625" style="36"/>
  </cols>
  <sheetData>
    <row r="1" spans="1:10" x14ac:dyDescent="0.2">
      <c r="A1" s="320"/>
      <c r="B1" s="320"/>
      <c r="C1" s="320"/>
      <c r="D1" s="320"/>
      <c r="E1" s="320"/>
      <c r="F1" s="320"/>
      <c r="G1" s="320"/>
      <c r="H1" s="320"/>
      <c r="I1" s="320"/>
      <c r="J1" s="320"/>
    </row>
    <row r="2" spans="1:10" x14ac:dyDescent="0.2">
      <c r="A2" s="318" t="s">
        <v>69</v>
      </c>
      <c r="B2" s="318"/>
      <c r="C2" s="318"/>
      <c r="D2" s="318" t="s">
        <v>70</v>
      </c>
      <c r="E2" s="318"/>
      <c r="F2" s="318"/>
      <c r="G2" s="318" t="s">
        <v>71</v>
      </c>
      <c r="H2" s="318"/>
      <c r="I2" s="318"/>
      <c r="J2" s="318"/>
    </row>
    <row r="3" spans="1:10" ht="14.25" customHeight="1" x14ac:dyDescent="0.2">
      <c r="A3" s="319">
        <f>CustomerName</f>
        <v>0</v>
      </c>
      <c r="B3" s="319"/>
      <c r="C3" s="319"/>
      <c r="D3" s="319">
        <f>PurchaseOrderNumber</f>
        <v>0</v>
      </c>
      <c r="E3" s="319"/>
      <c r="F3" s="319"/>
      <c r="G3" s="319" t="s">
        <v>965</v>
      </c>
      <c r="H3" s="319"/>
      <c r="I3" s="319"/>
      <c r="J3" s="319"/>
    </row>
    <row r="4" spans="1:10" ht="12.75" customHeight="1" x14ac:dyDescent="0.2">
      <c r="A4" s="318" t="s">
        <v>958</v>
      </c>
      <c r="B4" s="318"/>
      <c r="C4" s="318"/>
      <c r="D4" s="318" t="s">
        <v>959</v>
      </c>
      <c r="E4" s="318"/>
      <c r="F4" s="318"/>
      <c r="G4" s="318" t="s">
        <v>72</v>
      </c>
      <c r="H4" s="318"/>
      <c r="I4" s="318"/>
      <c r="J4" s="318"/>
    </row>
    <row r="5" spans="1:10" ht="12.75" customHeight="1" x14ac:dyDescent="0.2">
      <c r="A5" s="319">
        <f>SalesOrderNumber</f>
        <v>0</v>
      </c>
      <c r="B5" s="319"/>
      <c r="C5" s="319"/>
      <c r="D5" s="319" t="s">
        <v>964</v>
      </c>
      <c r="E5" s="319"/>
      <c r="F5" s="319"/>
      <c r="G5" s="319" t="s">
        <v>966</v>
      </c>
      <c r="H5" s="319"/>
      <c r="I5" s="319"/>
      <c r="J5" s="319"/>
    </row>
    <row r="6" spans="1:10" ht="12.75" customHeight="1" x14ac:dyDescent="0.2">
      <c r="A6" s="318" t="s">
        <v>73</v>
      </c>
      <c r="B6" s="318"/>
      <c r="C6" s="318"/>
      <c r="D6" s="318" t="s">
        <v>74</v>
      </c>
      <c r="E6" s="318"/>
      <c r="F6" s="318"/>
      <c r="G6" s="318" t="s">
        <v>75</v>
      </c>
      <c r="H6" s="318"/>
      <c r="I6" s="318"/>
      <c r="J6" s="318"/>
    </row>
    <row r="7" spans="1:10" ht="12.75" customHeight="1" x14ac:dyDescent="0.2">
      <c r="A7" s="37" t="s">
        <v>76</v>
      </c>
      <c r="B7" s="37">
        <v>1.0680000000000001</v>
      </c>
      <c r="C7" s="37" t="s">
        <v>77</v>
      </c>
      <c r="D7" s="327" t="s">
        <v>78</v>
      </c>
      <c r="E7" s="327"/>
      <c r="F7" s="327"/>
      <c r="G7" s="327" t="s">
        <v>971</v>
      </c>
      <c r="H7" s="327"/>
      <c r="I7" s="327" t="s">
        <v>364</v>
      </c>
      <c r="J7" s="327"/>
    </row>
    <row r="8" spans="1:10" ht="12.75" customHeight="1" x14ac:dyDescent="0.2">
      <c r="A8" s="318" t="s">
        <v>961</v>
      </c>
      <c r="B8" s="318"/>
      <c r="C8" s="318"/>
      <c r="D8" s="318"/>
      <c r="E8" s="318"/>
      <c r="F8" s="318" t="s">
        <v>80</v>
      </c>
      <c r="G8" s="318"/>
      <c r="H8" s="318"/>
      <c r="I8" s="318"/>
      <c r="J8" s="318"/>
    </row>
    <row r="9" spans="1:10" ht="22.5" customHeight="1" x14ac:dyDescent="0.2">
      <c r="A9" s="321" t="s">
        <v>969</v>
      </c>
      <c r="B9" s="322"/>
      <c r="C9" s="322"/>
      <c r="D9" s="322"/>
      <c r="E9" s="323"/>
      <c r="F9" s="319"/>
      <c r="G9" s="319"/>
      <c r="H9" s="319"/>
      <c r="I9" s="319"/>
      <c r="J9" s="319"/>
    </row>
    <row r="10" spans="1:10" ht="21" customHeight="1" x14ac:dyDescent="0.2">
      <c r="A10" s="324" t="s">
        <v>825</v>
      </c>
      <c r="B10" s="324"/>
      <c r="C10" s="324"/>
      <c r="D10" s="324"/>
      <c r="E10" s="324"/>
      <c r="F10" s="324"/>
      <c r="G10" s="324"/>
      <c r="H10" s="324"/>
      <c r="I10" s="324"/>
      <c r="J10" s="324"/>
    </row>
    <row r="11" spans="1:10" ht="18" customHeight="1" x14ac:dyDescent="0.2">
      <c r="A11" s="325" t="s">
        <v>81</v>
      </c>
      <c r="B11" s="325"/>
      <c r="C11" s="325"/>
      <c r="D11" s="325"/>
      <c r="E11" s="326" t="s">
        <v>942</v>
      </c>
      <c r="F11" s="326"/>
      <c r="G11" s="326"/>
      <c r="H11" s="326"/>
      <c r="I11" s="326"/>
      <c r="J11" s="326"/>
    </row>
    <row r="12" spans="1:10" ht="15" customHeight="1" x14ac:dyDescent="0.2">
      <c r="A12" s="328" t="s">
        <v>82</v>
      </c>
      <c r="B12" s="329"/>
      <c r="C12" s="329"/>
      <c r="D12" s="329"/>
      <c r="E12" s="330" t="s">
        <v>83</v>
      </c>
      <c r="F12" s="331"/>
      <c r="G12" s="332"/>
      <c r="H12" s="333"/>
      <c r="I12" s="334"/>
      <c r="J12" s="334"/>
    </row>
    <row r="13" spans="1:10" ht="15" customHeight="1" x14ac:dyDescent="0.2">
      <c r="A13" s="328" t="s">
        <v>84</v>
      </c>
      <c r="B13" s="329"/>
      <c r="C13" s="329"/>
      <c r="D13" s="329"/>
      <c r="E13" s="330" t="s">
        <v>85</v>
      </c>
      <c r="F13" s="331"/>
      <c r="G13" s="332"/>
      <c r="H13" s="333"/>
      <c r="I13" s="334"/>
      <c r="J13" s="334"/>
    </row>
    <row r="14" spans="1:10" ht="15" customHeight="1" x14ac:dyDescent="0.2">
      <c r="A14" s="328" t="s">
        <v>86</v>
      </c>
      <c r="B14" s="329"/>
      <c r="C14" s="329"/>
      <c r="D14" s="329"/>
      <c r="E14" s="330" t="s">
        <v>87</v>
      </c>
      <c r="F14" s="331"/>
      <c r="G14" s="332"/>
      <c r="H14" s="333"/>
      <c r="I14" s="334"/>
      <c r="J14" s="334"/>
    </row>
    <row r="15" spans="1:10" ht="15" customHeight="1" x14ac:dyDescent="0.2">
      <c r="A15" s="328" t="s">
        <v>88</v>
      </c>
      <c r="B15" s="329"/>
      <c r="C15" s="329"/>
      <c r="D15" s="329"/>
      <c r="E15" s="330" t="s">
        <v>77</v>
      </c>
      <c r="F15" s="331"/>
      <c r="G15" s="332"/>
      <c r="H15" s="333"/>
      <c r="I15" s="334"/>
      <c r="J15" s="334"/>
    </row>
    <row r="16" spans="1:10" ht="15" customHeight="1" x14ac:dyDescent="0.2">
      <c r="A16" s="328" t="s">
        <v>89</v>
      </c>
      <c r="B16" s="329"/>
      <c r="C16" s="329"/>
      <c r="D16" s="329"/>
      <c r="E16" s="330">
        <v>0</v>
      </c>
      <c r="F16" s="331"/>
      <c r="G16" s="332"/>
      <c r="H16" s="333"/>
      <c r="I16" s="334"/>
      <c r="J16" s="334"/>
    </row>
    <row r="17" spans="1:10" ht="15" customHeight="1" x14ac:dyDescent="0.2">
      <c r="A17" s="328" t="s">
        <v>90</v>
      </c>
      <c r="B17" s="329"/>
      <c r="C17" s="329"/>
      <c r="D17" s="329"/>
      <c r="E17" s="330">
        <v>1.0680000000000001</v>
      </c>
      <c r="F17" s="331"/>
      <c r="G17" s="332"/>
      <c r="H17" s="333"/>
      <c r="I17" s="334"/>
      <c r="J17" s="334"/>
    </row>
    <row r="18" spans="1:10" ht="15" customHeight="1" x14ac:dyDescent="0.2">
      <c r="A18" s="328" t="s">
        <v>91</v>
      </c>
      <c r="B18" s="329"/>
      <c r="C18" s="329"/>
      <c r="D18" s="329"/>
      <c r="E18" s="330" t="s">
        <v>92</v>
      </c>
      <c r="F18" s="331"/>
      <c r="G18" s="332"/>
      <c r="H18" s="333"/>
      <c r="I18" s="334"/>
      <c r="J18" s="334"/>
    </row>
    <row r="19" spans="1:10" ht="15" customHeight="1" x14ac:dyDescent="0.2">
      <c r="A19" s="328" t="s">
        <v>93</v>
      </c>
      <c r="B19" s="329"/>
      <c r="C19" s="329"/>
      <c r="D19" s="329"/>
      <c r="E19" s="330" t="s">
        <v>94</v>
      </c>
      <c r="F19" s="331"/>
      <c r="G19" s="332"/>
      <c r="H19" s="333"/>
      <c r="I19" s="334"/>
      <c r="J19" s="334"/>
    </row>
    <row r="20" spans="1:10" ht="15" customHeight="1" x14ac:dyDescent="0.2">
      <c r="A20" s="328" t="s">
        <v>95</v>
      </c>
      <c r="B20" s="329"/>
      <c r="C20" s="329"/>
      <c r="D20" s="329"/>
      <c r="E20" s="330" t="s">
        <v>96</v>
      </c>
      <c r="F20" s="331"/>
      <c r="G20" s="332"/>
      <c r="H20" s="333"/>
      <c r="I20" s="334"/>
      <c r="J20" s="334"/>
    </row>
    <row r="21" spans="1:10" ht="15" customHeight="1" x14ac:dyDescent="0.2">
      <c r="A21" s="328" t="s">
        <v>97</v>
      </c>
      <c r="B21" s="329"/>
      <c r="C21" s="329"/>
      <c r="D21" s="329"/>
      <c r="E21" s="330" t="s">
        <v>96</v>
      </c>
      <c r="F21" s="331"/>
      <c r="G21" s="332"/>
      <c r="H21" s="333"/>
      <c r="I21" s="334"/>
      <c r="J21" s="334"/>
    </row>
    <row r="22" spans="1:10" ht="15" customHeight="1" x14ac:dyDescent="0.2">
      <c r="A22" s="328" t="s">
        <v>98</v>
      </c>
      <c r="B22" s="329"/>
      <c r="C22" s="329"/>
      <c r="D22" s="329"/>
      <c r="E22" s="330" t="s">
        <v>972</v>
      </c>
      <c r="F22" s="331"/>
      <c r="G22" s="332"/>
      <c r="H22" s="333"/>
      <c r="I22" s="334"/>
      <c r="J22" s="334"/>
    </row>
    <row r="23" spans="1:10" ht="15" customHeight="1" x14ac:dyDescent="0.2">
      <c r="A23" s="328" t="s">
        <v>99</v>
      </c>
      <c r="B23" s="329"/>
      <c r="C23" s="329"/>
      <c r="D23" s="329"/>
      <c r="E23" s="330" t="s">
        <v>968</v>
      </c>
      <c r="F23" s="331"/>
      <c r="G23" s="332"/>
      <c r="H23" s="333"/>
      <c r="I23" s="334"/>
      <c r="J23" s="334"/>
    </row>
    <row r="24" spans="1:10" ht="15" customHeight="1" x14ac:dyDescent="0.2">
      <c r="A24" s="328" t="s">
        <v>100</v>
      </c>
      <c r="B24" s="329"/>
      <c r="C24" s="329"/>
      <c r="D24" s="329"/>
      <c r="E24" s="330" t="s">
        <v>973</v>
      </c>
      <c r="F24" s="331"/>
      <c r="G24" s="332"/>
      <c r="H24" s="333"/>
      <c r="I24" s="334"/>
      <c r="J24" s="334"/>
    </row>
    <row r="25" spans="1:10" ht="15" customHeight="1" x14ac:dyDescent="0.2">
      <c r="A25" s="328" t="s">
        <v>7</v>
      </c>
      <c r="B25" s="329"/>
      <c r="C25" s="329"/>
      <c r="D25" s="329"/>
      <c r="E25" s="330" t="s">
        <v>967</v>
      </c>
      <c r="F25" s="331"/>
      <c r="G25" s="332"/>
      <c r="H25" s="333"/>
      <c r="I25" s="334"/>
      <c r="J25" s="334"/>
    </row>
    <row r="26" spans="1:10" ht="15" customHeight="1" x14ac:dyDescent="0.2">
      <c r="A26" s="328" t="s">
        <v>101</v>
      </c>
      <c r="B26" s="329"/>
      <c r="C26" s="329"/>
      <c r="D26" s="329"/>
      <c r="E26" s="330" t="s">
        <v>974</v>
      </c>
      <c r="F26" s="331"/>
      <c r="G26" s="332"/>
      <c r="H26" s="333"/>
      <c r="I26" s="334"/>
      <c r="J26" s="334"/>
    </row>
    <row r="27" spans="1:10" ht="15" customHeight="1" x14ac:dyDescent="0.2">
      <c r="A27" s="328" t="s">
        <v>102</v>
      </c>
      <c r="B27" s="329"/>
      <c r="C27" s="329"/>
      <c r="D27" s="329"/>
      <c r="E27" s="330" t="s">
        <v>103</v>
      </c>
      <c r="F27" s="331"/>
      <c r="G27" s="332"/>
      <c r="H27" s="333"/>
      <c r="I27" s="334"/>
      <c r="J27" s="334"/>
    </row>
    <row r="28" spans="1:10" ht="15" customHeight="1" x14ac:dyDescent="0.2">
      <c r="A28" s="328" t="s">
        <v>104</v>
      </c>
      <c r="B28" s="329"/>
      <c r="C28" s="329"/>
      <c r="D28" s="329"/>
      <c r="E28" s="330" t="s">
        <v>975</v>
      </c>
      <c r="F28" s="331"/>
      <c r="G28" s="332"/>
      <c r="H28" s="333"/>
      <c r="I28" s="334"/>
      <c r="J28" s="334"/>
    </row>
    <row r="29" spans="1:10" ht="15" customHeight="1" x14ac:dyDescent="0.2">
      <c r="A29" s="328" t="s">
        <v>105</v>
      </c>
      <c r="B29" s="329"/>
      <c r="C29" s="329"/>
      <c r="D29" s="329"/>
      <c r="E29" s="330">
        <v>597330</v>
      </c>
      <c r="F29" s="331"/>
      <c r="G29" s="332"/>
      <c r="H29" s="333"/>
      <c r="I29" s="334"/>
      <c r="J29" s="334"/>
    </row>
    <row r="30" spans="1:10" ht="15" customHeight="1" x14ac:dyDescent="0.2">
      <c r="A30" s="328" t="s">
        <v>106</v>
      </c>
      <c r="B30" s="329"/>
      <c r="C30" s="329"/>
      <c r="D30" s="329"/>
      <c r="E30" s="330">
        <v>100</v>
      </c>
      <c r="F30" s="331"/>
      <c r="G30" s="332"/>
      <c r="H30" s="333"/>
      <c r="I30" s="334"/>
      <c r="J30" s="334"/>
    </row>
    <row r="31" spans="1:10" ht="15" customHeight="1" x14ac:dyDescent="0.2">
      <c r="A31" s="328" t="s">
        <v>107</v>
      </c>
      <c r="B31" s="329"/>
      <c r="C31" s="329"/>
      <c r="D31" s="329"/>
      <c r="E31" s="335" t="s">
        <v>976</v>
      </c>
      <c r="F31" s="331"/>
      <c r="G31" s="332"/>
      <c r="H31" s="333"/>
      <c r="I31" s="334"/>
      <c r="J31" s="334"/>
    </row>
    <row r="32" spans="1:10" ht="15" customHeight="1" x14ac:dyDescent="0.2">
      <c r="A32" s="328" t="s">
        <v>108</v>
      </c>
      <c r="B32" s="329"/>
      <c r="C32" s="329"/>
      <c r="D32" s="329"/>
      <c r="E32" s="330">
        <v>1.399</v>
      </c>
      <c r="F32" s="331"/>
      <c r="G32" s="332"/>
      <c r="H32" s="333"/>
      <c r="I32" s="334"/>
      <c r="J32" s="334"/>
    </row>
    <row r="33" spans="1:10" ht="21" customHeight="1" x14ac:dyDescent="0.2">
      <c r="A33" s="324"/>
      <c r="B33" s="324"/>
      <c r="C33" s="324"/>
      <c r="D33" s="324"/>
      <c r="E33" s="324"/>
      <c r="F33" s="324"/>
      <c r="G33" s="324"/>
      <c r="H33" s="324"/>
      <c r="I33" s="324"/>
      <c r="J33" s="324"/>
    </row>
    <row r="34" spans="1:10" s="38" customFormat="1" ht="14.25" customHeight="1" x14ac:dyDescent="0.2">
      <c r="A34" s="340"/>
      <c r="B34" s="340"/>
      <c r="C34" s="340"/>
      <c r="D34" s="340"/>
      <c r="E34" s="340"/>
      <c r="F34" s="340"/>
      <c r="G34" s="340"/>
      <c r="H34" s="340"/>
      <c r="I34" s="340"/>
      <c r="J34" s="340"/>
    </row>
    <row r="35" spans="1:10" s="38" customFormat="1" ht="15" customHeight="1" x14ac:dyDescent="0.2">
      <c r="A35" s="336"/>
      <c r="B35" s="336"/>
      <c r="C35" s="336"/>
      <c r="D35" s="336"/>
      <c r="E35" s="337"/>
      <c r="F35" s="337"/>
      <c r="G35" s="337"/>
      <c r="H35" s="338"/>
      <c r="I35" s="339"/>
      <c r="J35" s="339"/>
    </row>
    <row r="36" spans="1:10" s="38" customFormat="1" ht="15" customHeight="1" x14ac:dyDescent="0.2">
      <c r="A36" s="336"/>
      <c r="B36" s="336"/>
      <c r="C36" s="336"/>
      <c r="D36" s="336"/>
      <c r="E36" s="337"/>
      <c r="F36" s="337"/>
      <c r="G36" s="337"/>
      <c r="H36" s="338"/>
      <c r="I36" s="339"/>
      <c r="J36" s="339"/>
    </row>
    <row r="37" spans="1:10" s="38" customFormat="1" ht="15" customHeight="1" x14ac:dyDescent="0.2">
      <c r="A37" s="336"/>
      <c r="B37" s="336"/>
      <c r="C37" s="336"/>
      <c r="D37" s="336"/>
      <c r="E37" s="337"/>
      <c r="F37" s="337"/>
      <c r="G37" s="337"/>
      <c r="H37" s="338"/>
      <c r="I37" s="339"/>
      <c r="J37" s="339"/>
    </row>
    <row r="38" spans="1:10" s="38" customFormat="1" ht="15" customHeight="1" x14ac:dyDescent="0.2">
      <c r="A38" s="336"/>
      <c r="B38" s="336"/>
      <c r="C38" s="336"/>
      <c r="D38" s="336"/>
      <c r="E38" s="337"/>
      <c r="F38" s="337"/>
      <c r="G38" s="337"/>
      <c r="H38" s="338"/>
      <c r="I38" s="339"/>
      <c r="J38" s="339"/>
    </row>
    <row r="40" spans="1:10" ht="36.75" customHeight="1" x14ac:dyDescent="0.2">
      <c r="A40" s="341" t="s">
        <v>943</v>
      </c>
      <c r="B40" s="342"/>
      <c r="C40" s="342"/>
      <c r="D40" s="342"/>
      <c r="E40" s="342"/>
      <c r="F40" s="342"/>
      <c r="G40" s="342"/>
      <c r="H40" s="342"/>
      <c r="I40" s="342"/>
      <c r="J40" s="343"/>
    </row>
    <row r="41" spans="1:10" ht="15" customHeight="1" x14ac:dyDescent="0.2">
      <c r="A41" s="39"/>
      <c r="B41" s="39"/>
      <c r="C41" s="39"/>
      <c r="D41" s="39"/>
      <c r="E41" s="39"/>
      <c r="F41" s="39"/>
      <c r="G41" s="39"/>
      <c r="H41" s="39"/>
      <c r="I41" s="39"/>
      <c r="J41" s="39"/>
    </row>
    <row r="42" spans="1:10" ht="24" customHeight="1" x14ac:dyDescent="0.2">
      <c r="A42" s="344" t="s">
        <v>109</v>
      </c>
      <c r="B42" s="344"/>
      <c r="C42" s="344"/>
      <c r="D42" s="344"/>
      <c r="E42" s="345"/>
      <c r="F42" s="345"/>
      <c r="G42" s="345"/>
      <c r="H42" s="345"/>
      <c r="I42" s="345"/>
      <c r="J42" s="345"/>
    </row>
    <row r="43" spans="1:10" ht="15" customHeight="1" x14ac:dyDescent="0.2">
      <c r="A43" s="40"/>
      <c r="B43" s="40"/>
      <c r="C43" s="40"/>
      <c r="D43" s="40"/>
      <c r="E43" s="41"/>
      <c r="F43" s="41"/>
      <c r="G43" s="41"/>
      <c r="H43" s="41"/>
      <c r="I43" s="41"/>
      <c r="J43" s="41"/>
    </row>
    <row r="44" spans="1:10" x14ac:dyDescent="0.2">
      <c r="A44" s="42" t="s">
        <v>110</v>
      </c>
      <c r="B44" s="43"/>
      <c r="C44" s="43"/>
      <c r="D44" s="44"/>
      <c r="E44" s="42" t="s">
        <v>111</v>
      </c>
      <c r="F44" s="43"/>
      <c r="G44" s="43"/>
      <c r="H44" s="45" t="s">
        <v>112</v>
      </c>
      <c r="I44" s="42" t="s">
        <v>113</v>
      </c>
      <c r="J44" s="45"/>
    </row>
    <row r="45" spans="1:10" x14ac:dyDescent="0.2">
      <c r="A45" s="346"/>
      <c r="B45" s="347"/>
      <c r="C45" s="46"/>
      <c r="D45" s="47"/>
      <c r="E45" s="48"/>
      <c r="F45" s="49"/>
      <c r="G45" s="49"/>
      <c r="H45" s="47"/>
      <c r="I45" s="48"/>
      <c r="J45" s="47"/>
    </row>
    <row r="47" spans="1:10" ht="27" customHeight="1" x14ac:dyDescent="0.2"/>
    <row r="51" ht="14.25" customHeight="1" x14ac:dyDescent="0.2"/>
    <row r="52" ht="25.5" customHeight="1" x14ac:dyDescent="0.2"/>
  </sheetData>
  <mergeCells count="108">
    <mergeCell ref="A40:J40"/>
    <mergeCell ref="A42:D42"/>
    <mergeCell ref="E42:J42"/>
    <mergeCell ref="A45:B45"/>
    <mergeCell ref="A37:D37"/>
    <mergeCell ref="E37:G37"/>
    <mergeCell ref="H37:J37"/>
    <mergeCell ref="A38:D38"/>
    <mergeCell ref="E38:G38"/>
    <mergeCell ref="H38:J38"/>
    <mergeCell ref="A35:D35"/>
    <mergeCell ref="E35:G35"/>
    <mergeCell ref="H35:J35"/>
    <mergeCell ref="A36:D36"/>
    <mergeCell ref="E36:G36"/>
    <mergeCell ref="H36:J36"/>
    <mergeCell ref="A32:D32"/>
    <mergeCell ref="E32:G32"/>
    <mergeCell ref="H32:J32"/>
    <mergeCell ref="A33:J33"/>
    <mergeCell ref="A34:D34"/>
    <mergeCell ref="E34:J34"/>
    <mergeCell ref="A30:D30"/>
    <mergeCell ref="E30:G30"/>
    <mergeCell ref="H30:J30"/>
    <mergeCell ref="A31:D31"/>
    <mergeCell ref="E31:G31"/>
    <mergeCell ref="H31:J31"/>
    <mergeCell ref="A28:D28"/>
    <mergeCell ref="E28:G28"/>
    <mergeCell ref="H28:J28"/>
    <mergeCell ref="A29:D29"/>
    <mergeCell ref="E29:G29"/>
    <mergeCell ref="H29:J29"/>
    <mergeCell ref="A26:D26"/>
    <mergeCell ref="E26:G26"/>
    <mergeCell ref="H26:J26"/>
    <mergeCell ref="A27:D27"/>
    <mergeCell ref="E27:G27"/>
    <mergeCell ref="H27:J27"/>
    <mergeCell ref="A24:D24"/>
    <mergeCell ref="E24:G24"/>
    <mergeCell ref="H24:J24"/>
    <mergeCell ref="A25:D25"/>
    <mergeCell ref="E25:G25"/>
    <mergeCell ref="H25:J25"/>
    <mergeCell ref="A22:D22"/>
    <mergeCell ref="E22:G22"/>
    <mergeCell ref="H22:J22"/>
    <mergeCell ref="A23:D23"/>
    <mergeCell ref="E23:G23"/>
    <mergeCell ref="H23:J23"/>
    <mergeCell ref="A20:D20"/>
    <mergeCell ref="E20:G20"/>
    <mergeCell ref="H20:J20"/>
    <mergeCell ref="A21:D21"/>
    <mergeCell ref="E21:G21"/>
    <mergeCell ref="H21:J21"/>
    <mergeCell ref="A18:D18"/>
    <mergeCell ref="E18:G18"/>
    <mergeCell ref="H18:J18"/>
    <mergeCell ref="A19:D19"/>
    <mergeCell ref="E19:G19"/>
    <mergeCell ref="H19:J19"/>
    <mergeCell ref="A16:D16"/>
    <mergeCell ref="E16:G16"/>
    <mergeCell ref="H16:J16"/>
    <mergeCell ref="A17:D17"/>
    <mergeCell ref="E17:G17"/>
    <mergeCell ref="H17:J17"/>
    <mergeCell ref="A14:D14"/>
    <mergeCell ref="E14:G14"/>
    <mergeCell ref="H14:J14"/>
    <mergeCell ref="A15:D15"/>
    <mergeCell ref="E15:G15"/>
    <mergeCell ref="H15:J15"/>
    <mergeCell ref="A12:D12"/>
    <mergeCell ref="E12:G12"/>
    <mergeCell ref="H12:J12"/>
    <mergeCell ref="A13:D13"/>
    <mergeCell ref="E13:G13"/>
    <mergeCell ref="H13:J13"/>
    <mergeCell ref="A8:E8"/>
    <mergeCell ref="F8:J8"/>
    <mergeCell ref="A9:E9"/>
    <mergeCell ref="F9:J9"/>
    <mergeCell ref="A10:J10"/>
    <mergeCell ref="A11:D11"/>
    <mergeCell ref="E11:J11"/>
    <mergeCell ref="A6:C6"/>
    <mergeCell ref="D6:F6"/>
    <mergeCell ref="G6:J6"/>
    <mergeCell ref="D7:F7"/>
    <mergeCell ref="G7:H7"/>
    <mergeCell ref="I7:J7"/>
    <mergeCell ref="A4:C4"/>
    <mergeCell ref="D4:F4"/>
    <mergeCell ref="G4:J4"/>
    <mergeCell ref="A5:C5"/>
    <mergeCell ref="D5:F5"/>
    <mergeCell ref="G5:J5"/>
    <mergeCell ref="A1:J1"/>
    <mergeCell ref="A2:C2"/>
    <mergeCell ref="D2:F2"/>
    <mergeCell ref="G2:J2"/>
    <mergeCell ref="A3:C3"/>
    <mergeCell ref="D3:F3"/>
    <mergeCell ref="G3:J3"/>
  </mergeCells>
  <printOptions horizontalCentered="1" verticalCentered="1"/>
  <pageMargins left="0.47244094488188981" right="0.27559055118110237" top="1.0236220472440944" bottom="0.19685039370078741" header="0.27559055118110237" footer="0.19685039370078741"/>
  <pageSetup paperSize="9" orientation="portrait" r:id="rId1"/>
  <headerFooter alignWithMargins="0">
    <oddFooter>&amp;RPage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5" tint="-0.249977111117893"/>
  </sheetPr>
  <dimension ref="A1:I45"/>
  <sheetViews>
    <sheetView workbookViewId="0">
      <selection sqref="A1:C1"/>
    </sheetView>
  </sheetViews>
  <sheetFormatPr defaultRowHeight="12.75" x14ac:dyDescent="0.2"/>
  <cols>
    <col min="1" max="1" width="11.140625" style="36" customWidth="1"/>
    <col min="2" max="2" width="8.5703125" style="36" customWidth="1"/>
    <col min="3" max="3" width="7" style="36" customWidth="1"/>
    <col min="4" max="4" width="20.140625" style="74" bestFit="1" customWidth="1"/>
    <col min="5" max="5" width="12.42578125" style="36" customWidth="1"/>
    <col min="6" max="6" width="12.140625" style="36" customWidth="1"/>
    <col min="7" max="7" width="4.5703125" style="36" customWidth="1"/>
    <col min="8" max="8" width="5.85546875" style="36" customWidth="1"/>
    <col min="9" max="9" width="8.28515625" style="36" customWidth="1"/>
    <col min="10" max="255" width="9.140625" style="36"/>
    <col min="256" max="256" width="17.28515625" style="36" bestFit="1" customWidth="1"/>
    <col min="257" max="257" width="20.28515625" style="36" bestFit="1" customWidth="1"/>
    <col min="258" max="258" width="19.85546875" style="36" bestFit="1" customWidth="1"/>
    <col min="259" max="259" width="58" style="36" bestFit="1" customWidth="1"/>
    <col min="260" max="511" width="9.140625" style="36"/>
    <col min="512" max="512" width="17.28515625" style="36" bestFit="1" customWidth="1"/>
    <col min="513" max="513" width="20.28515625" style="36" bestFit="1" customWidth="1"/>
    <col min="514" max="514" width="19.85546875" style="36" bestFit="1" customWidth="1"/>
    <col min="515" max="515" width="58" style="36" bestFit="1" customWidth="1"/>
    <col min="516" max="767" width="9.140625" style="36"/>
    <col min="768" max="768" width="17.28515625" style="36" bestFit="1" customWidth="1"/>
    <col min="769" max="769" width="20.28515625" style="36" bestFit="1" customWidth="1"/>
    <col min="770" max="770" width="19.85546875" style="36" bestFit="1" customWidth="1"/>
    <col min="771" max="771" width="58" style="36" bestFit="1" customWidth="1"/>
    <col min="772" max="1023" width="9.140625" style="36"/>
    <col min="1024" max="1024" width="17.28515625" style="36" bestFit="1" customWidth="1"/>
    <col min="1025" max="1025" width="20.28515625" style="36" bestFit="1" customWidth="1"/>
    <col min="1026" max="1026" width="19.85546875" style="36" bestFit="1" customWidth="1"/>
    <col min="1027" max="1027" width="58" style="36" bestFit="1" customWidth="1"/>
    <col min="1028" max="1279" width="9.140625" style="36"/>
    <col min="1280" max="1280" width="17.28515625" style="36" bestFit="1" customWidth="1"/>
    <col min="1281" max="1281" width="20.28515625" style="36" bestFit="1" customWidth="1"/>
    <col min="1282" max="1282" width="19.85546875" style="36" bestFit="1" customWidth="1"/>
    <col min="1283" max="1283" width="58" style="36" bestFit="1" customWidth="1"/>
    <col min="1284" max="1535" width="9.140625" style="36"/>
    <col min="1536" max="1536" width="17.28515625" style="36" bestFit="1" customWidth="1"/>
    <col min="1537" max="1537" width="20.28515625" style="36" bestFit="1" customWidth="1"/>
    <col min="1538" max="1538" width="19.85546875" style="36" bestFit="1" customWidth="1"/>
    <col min="1539" max="1539" width="58" style="36" bestFit="1" customWidth="1"/>
    <col min="1540" max="1791" width="9.140625" style="36"/>
    <col min="1792" max="1792" width="17.28515625" style="36" bestFit="1" customWidth="1"/>
    <col min="1793" max="1793" width="20.28515625" style="36" bestFit="1" customWidth="1"/>
    <col min="1794" max="1794" width="19.85546875" style="36" bestFit="1" customWidth="1"/>
    <col min="1795" max="1795" width="58" style="36" bestFit="1" customWidth="1"/>
    <col min="1796" max="2047" width="9.140625" style="36"/>
    <col min="2048" max="2048" width="17.28515625" style="36" bestFit="1" customWidth="1"/>
    <col min="2049" max="2049" width="20.28515625" style="36" bestFit="1" customWidth="1"/>
    <col min="2050" max="2050" width="19.85546875" style="36" bestFit="1" customWidth="1"/>
    <col min="2051" max="2051" width="58" style="36" bestFit="1" customWidth="1"/>
    <col min="2052" max="2303" width="9.140625" style="36"/>
    <col min="2304" max="2304" width="17.28515625" style="36" bestFit="1" customWidth="1"/>
    <col min="2305" max="2305" width="20.28515625" style="36" bestFit="1" customWidth="1"/>
    <col min="2306" max="2306" width="19.85546875" style="36" bestFit="1" customWidth="1"/>
    <col min="2307" max="2307" width="58" style="36" bestFit="1" customWidth="1"/>
    <col min="2308" max="2559" width="9.140625" style="36"/>
    <col min="2560" max="2560" width="17.28515625" style="36" bestFit="1" customWidth="1"/>
    <col min="2561" max="2561" width="20.28515625" style="36" bestFit="1" customWidth="1"/>
    <col min="2562" max="2562" width="19.85546875" style="36" bestFit="1" customWidth="1"/>
    <col min="2563" max="2563" width="58" style="36" bestFit="1" customWidth="1"/>
    <col min="2564" max="2815" width="9.140625" style="36"/>
    <col min="2816" max="2816" width="17.28515625" style="36" bestFit="1" customWidth="1"/>
    <col min="2817" max="2817" width="20.28515625" style="36" bestFit="1" customWidth="1"/>
    <col min="2818" max="2818" width="19.85546875" style="36" bestFit="1" customWidth="1"/>
    <col min="2819" max="2819" width="58" style="36" bestFit="1" customWidth="1"/>
    <col min="2820" max="3071" width="9.140625" style="36"/>
    <col min="3072" max="3072" width="17.28515625" style="36" bestFit="1" customWidth="1"/>
    <col min="3073" max="3073" width="20.28515625" style="36" bestFit="1" customWidth="1"/>
    <col min="3074" max="3074" width="19.85546875" style="36" bestFit="1" customWidth="1"/>
    <col min="3075" max="3075" width="58" style="36" bestFit="1" customWidth="1"/>
    <col min="3076" max="3327" width="9.140625" style="36"/>
    <col min="3328" max="3328" width="17.28515625" style="36" bestFit="1" customWidth="1"/>
    <col min="3329" max="3329" width="20.28515625" style="36" bestFit="1" customWidth="1"/>
    <col min="3330" max="3330" width="19.85546875" style="36" bestFit="1" customWidth="1"/>
    <col min="3331" max="3331" width="58" style="36" bestFit="1" customWidth="1"/>
    <col min="3332" max="3583" width="9.140625" style="36"/>
    <col min="3584" max="3584" width="17.28515625" style="36" bestFit="1" customWidth="1"/>
    <col min="3585" max="3585" width="20.28515625" style="36" bestFit="1" customWidth="1"/>
    <col min="3586" max="3586" width="19.85546875" style="36" bestFit="1" customWidth="1"/>
    <col min="3587" max="3587" width="58" style="36" bestFit="1" customWidth="1"/>
    <col min="3588" max="3839" width="9.140625" style="36"/>
    <col min="3840" max="3840" width="17.28515625" style="36" bestFit="1" customWidth="1"/>
    <col min="3841" max="3841" width="20.28515625" style="36" bestFit="1" customWidth="1"/>
    <col min="3842" max="3842" width="19.85546875" style="36" bestFit="1" customWidth="1"/>
    <col min="3843" max="3843" width="58" style="36" bestFit="1" customWidth="1"/>
    <col min="3844" max="4095" width="9.140625" style="36"/>
    <col min="4096" max="4096" width="17.28515625" style="36" bestFit="1" customWidth="1"/>
    <col min="4097" max="4097" width="20.28515625" style="36" bestFit="1" customWidth="1"/>
    <col min="4098" max="4098" width="19.85546875" style="36" bestFit="1" customWidth="1"/>
    <col min="4099" max="4099" width="58" style="36" bestFit="1" customWidth="1"/>
    <col min="4100" max="4351" width="9.140625" style="36"/>
    <col min="4352" max="4352" width="17.28515625" style="36" bestFit="1" customWidth="1"/>
    <col min="4353" max="4353" width="20.28515625" style="36" bestFit="1" customWidth="1"/>
    <col min="4354" max="4354" width="19.85546875" style="36" bestFit="1" customWidth="1"/>
    <col min="4355" max="4355" width="58" style="36" bestFit="1" customWidth="1"/>
    <col min="4356" max="4607" width="9.140625" style="36"/>
    <col min="4608" max="4608" width="17.28515625" style="36" bestFit="1" customWidth="1"/>
    <col min="4609" max="4609" width="20.28515625" style="36" bestFit="1" customWidth="1"/>
    <col min="4610" max="4610" width="19.85546875" style="36" bestFit="1" customWidth="1"/>
    <col min="4611" max="4611" width="58" style="36" bestFit="1" customWidth="1"/>
    <col min="4612" max="4863" width="9.140625" style="36"/>
    <col min="4864" max="4864" width="17.28515625" style="36" bestFit="1" customWidth="1"/>
    <col min="4865" max="4865" width="20.28515625" style="36" bestFit="1" customWidth="1"/>
    <col min="4866" max="4866" width="19.85546875" style="36" bestFit="1" customWidth="1"/>
    <col min="4867" max="4867" width="58" style="36" bestFit="1" customWidth="1"/>
    <col min="4868" max="5119" width="9.140625" style="36"/>
    <col min="5120" max="5120" width="17.28515625" style="36" bestFit="1" customWidth="1"/>
    <col min="5121" max="5121" width="20.28515625" style="36" bestFit="1" customWidth="1"/>
    <col min="5122" max="5122" width="19.85546875" style="36" bestFit="1" customWidth="1"/>
    <col min="5123" max="5123" width="58" style="36" bestFit="1" customWidth="1"/>
    <col min="5124" max="5375" width="9.140625" style="36"/>
    <col min="5376" max="5376" width="17.28515625" style="36" bestFit="1" customWidth="1"/>
    <col min="5377" max="5377" width="20.28515625" style="36" bestFit="1" customWidth="1"/>
    <col min="5378" max="5378" width="19.85546875" style="36" bestFit="1" customWidth="1"/>
    <col min="5379" max="5379" width="58" style="36" bestFit="1" customWidth="1"/>
    <col min="5380" max="5631" width="9.140625" style="36"/>
    <col min="5632" max="5632" width="17.28515625" style="36" bestFit="1" customWidth="1"/>
    <col min="5633" max="5633" width="20.28515625" style="36" bestFit="1" customWidth="1"/>
    <col min="5634" max="5634" width="19.85546875" style="36" bestFit="1" customWidth="1"/>
    <col min="5635" max="5635" width="58" style="36" bestFit="1" customWidth="1"/>
    <col min="5636" max="5887" width="9.140625" style="36"/>
    <col min="5888" max="5888" width="17.28515625" style="36" bestFit="1" customWidth="1"/>
    <col min="5889" max="5889" width="20.28515625" style="36" bestFit="1" customWidth="1"/>
    <col min="5890" max="5890" width="19.85546875" style="36" bestFit="1" customWidth="1"/>
    <col min="5891" max="5891" width="58" style="36" bestFit="1" customWidth="1"/>
    <col min="5892" max="6143" width="9.140625" style="36"/>
    <col min="6144" max="6144" width="17.28515625" style="36" bestFit="1" customWidth="1"/>
    <col min="6145" max="6145" width="20.28515625" style="36" bestFit="1" customWidth="1"/>
    <col min="6146" max="6146" width="19.85546875" style="36" bestFit="1" customWidth="1"/>
    <col min="6147" max="6147" width="58" style="36" bestFit="1" customWidth="1"/>
    <col min="6148" max="6399" width="9.140625" style="36"/>
    <col min="6400" max="6400" width="17.28515625" style="36" bestFit="1" customWidth="1"/>
    <col min="6401" max="6401" width="20.28515625" style="36" bestFit="1" customWidth="1"/>
    <col min="6402" max="6402" width="19.85546875" style="36" bestFit="1" customWidth="1"/>
    <col min="6403" max="6403" width="58" style="36" bestFit="1" customWidth="1"/>
    <col min="6404" max="6655" width="9.140625" style="36"/>
    <col min="6656" max="6656" width="17.28515625" style="36" bestFit="1" customWidth="1"/>
    <col min="6657" max="6657" width="20.28515625" style="36" bestFit="1" customWidth="1"/>
    <col min="6658" max="6658" width="19.85546875" style="36" bestFit="1" customWidth="1"/>
    <col min="6659" max="6659" width="58" style="36" bestFit="1" customWidth="1"/>
    <col min="6660" max="6911" width="9.140625" style="36"/>
    <col min="6912" max="6912" width="17.28515625" style="36" bestFit="1" customWidth="1"/>
    <col min="6913" max="6913" width="20.28515625" style="36" bestFit="1" customWidth="1"/>
    <col min="6914" max="6914" width="19.85546875" style="36" bestFit="1" customWidth="1"/>
    <col min="6915" max="6915" width="58" style="36" bestFit="1" customWidth="1"/>
    <col min="6916" max="7167" width="9.140625" style="36"/>
    <col min="7168" max="7168" width="17.28515625" style="36" bestFit="1" customWidth="1"/>
    <col min="7169" max="7169" width="20.28515625" style="36" bestFit="1" customWidth="1"/>
    <col min="7170" max="7170" width="19.85546875" style="36" bestFit="1" customWidth="1"/>
    <col min="7171" max="7171" width="58" style="36" bestFit="1" customWidth="1"/>
    <col min="7172" max="7423" width="9.140625" style="36"/>
    <col min="7424" max="7424" width="17.28515625" style="36" bestFit="1" customWidth="1"/>
    <col min="7425" max="7425" width="20.28515625" style="36" bestFit="1" customWidth="1"/>
    <col min="7426" max="7426" width="19.85546875" style="36" bestFit="1" customWidth="1"/>
    <col min="7427" max="7427" width="58" style="36" bestFit="1" customWidth="1"/>
    <col min="7428" max="7679" width="9.140625" style="36"/>
    <col min="7680" max="7680" width="17.28515625" style="36" bestFit="1" customWidth="1"/>
    <col min="7681" max="7681" width="20.28515625" style="36" bestFit="1" customWidth="1"/>
    <col min="7682" max="7682" width="19.85546875" style="36" bestFit="1" customWidth="1"/>
    <col min="7683" max="7683" width="58" style="36" bestFit="1" customWidth="1"/>
    <col min="7684" max="7935" width="9.140625" style="36"/>
    <col min="7936" max="7936" width="17.28515625" style="36" bestFit="1" customWidth="1"/>
    <col min="7937" max="7937" width="20.28515625" style="36" bestFit="1" customWidth="1"/>
    <col min="7938" max="7938" width="19.85546875" style="36" bestFit="1" customWidth="1"/>
    <col min="7939" max="7939" width="58" style="36" bestFit="1" customWidth="1"/>
    <col min="7940" max="8191" width="9.140625" style="36"/>
    <col min="8192" max="8192" width="17.28515625" style="36" bestFit="1" customWidth="1"/>
    <col min="8193" max="8193" width="20.28515625" style="36" bestFit="1" customWidth="1"/>
    <col min="8194" max="8194" width="19.85546875" style="36" bestFit="1" customWidth="1"/>
    <col min="8195" max="8195" width="58" style="36" bestFit="1" customWidth="1"/>
    <col min="8196" max="8447" width="9.140625" style="36"/>
    <col min="8448" max="8448" width="17.28515625" style="36" bestFit="1" customWidth="1"/>
    <col min="8449" max="8449" width="20.28515625" style="36" bestFit="1" customWidth="1"/>
    <col min="8450" max="8450" width="19.85546875" style="36" bestFit="1" customWidth="1"/>
    <col min="8451" max="8451" width="58" style="36" bestFit="1" customWidth="1"/>
    <col min="8452" max="8703" width="9.140625" style="36"/>
    <col min="8704" max="8704" width="17.28515625" style="36" bestFit="1" customWidth="1"/>
    <col min="8705" max="8705" width="20.28515625" style="36" bestFit="1" customWidth="1"/>
    <col min="8706" max="8706" width="19.85546875" style="36" bestFit="1" customWidth="1"/>
    <col min="8707" max="8707" width="58" style="36" bestFit="1" customWidth="1"/>
    <col min="8708" max="8959" width="9.140625" style="36"/>
    <col min="8960" max="8960" width="17.28515625" style="36" bestFit="1" customWidth="1"/>
    <col min="8961" max="8961" width="20.28515625" style="36" bestFit="1" customWidth="1"/>
    <col min="8962" max="8962" width="19.85546875" style="36" bestFit="1" customWidth="1"/>
    <col min="8963" max="8963" width="58" style="36" bestFit="1" customWidth="1"/>
    <col min="8964" max="9215" width="9.140625" style="36"/>
    <col min="9216" max="9216" width="17.28515625" style="36" bestFit="1" customWidth="1"/>
    <col min="9217" max="9217" width="20.28515625" style="36" bestFit="1" customWidth="1"/>
    <col min="9218" max="9218" width="19.85546875" style="36" bestFit="1" customWidth="1"/>
    <col min="9219" max="9219" width="58" style="36" bestFit="1" customWidth="1"/>
    <col min="9220" max="9471" width="9.140625" style="36"/>
    <col min="9472" max="9472" width="17.28515625" style="36" bestFit="1" customWidth="1"/>
    <col min="9473" max="9473" width="20.28515625" style="36" bestFit="1" customWidth="1"/>
    <col min="9474" max="9474" width="19.85546875" style="36" bestFit="1" customWidth="1"/>
    <col min="9475" max="9475" width="58" style="36" bestFit="1" customWidth="1"/>
    <col min="9476" max="9727" width="9.140625" style="36"/>
    <col min="9728" max="9728" width="17.28515625" style="36" bestFit="1" customWidth="1"/>
    <col min="9729" max="9729" width="20.28515625" style="36" bestFit="1" customWidth="1"/>
    <col min="9730" max="9730" width="19.85546875" style="36" bestFit="1" customWidth="1"/>
    <col min="9731" max="9731" width="58" style="36" bestFit="1" customWidth="1"/>
    <col min="9732" max="9983" width="9.140625" style="36"/>
    <col min="9984" max="9984" width="17.28515625" style="36" bestFit="1" customWidth="1"/>
    <col min="9985" max="9985" width="20.28515625" style="36" bestFit="1" customWidth="1"/>
    <col min="9986" max="9986" width="19.85546875" style="36" bestFit="1" customWidth="1"/>
    <col min="9987" max="9987" width="58" style="36" bestFit="1" customWidth="1"/>
    <col min="9988" max="10239" width="9.140625" style="36"/>
    <col min="10240" max="10240" width="17.28515625" style="36" bestFit="1" customWidth="1"/>
    <col min="10241" max="10241" width="20.28515625" style="36" bestFit="1" customWidth="1"/>
    <col min="10242" max="10242" width="19.85546875" style="36" bestFit="1" customWidth="1"/>
    <col min="10243" max="10243" width="58" style="36" bestFit="1" customWidth="1"/>
    <col min="10244" max="10495" width="9.140625" style="36"/>
    <col min="10496" max="10496" width="17.28515625" style="36" bestFit="1" customWidth="1"/>
    <col min="10497" max="10497" width="20.28515625" style="36" bestFit="1" customWidth="1"/>
    <col min="10498" max="10498" width="19.85546875" style="36" bestFit="1" customWidth="1"/>
    <col min="10499" max="10499" width="58" style="36" bestFit="1" customWidth="1"/>
    <col min="10500" max="10751" width="9.140625" style="36"/>
    <col min="10752" max="10752" width="17.28515625" style="36" bestFit="1" customWidth="1"/>
    <col min="10753" max="10753" width="20.28515625" style="36" bestFit="1" customWidth="1"/>
    <col min="10754" max="10754" width="19.85546875" style="36" bestFit="1" customWidth="1"/>
    <col min="10755" max="10755" width="58" style="36" bestFit="1" customWidth="1"/>
    <col min="10756" max="11007" width="9.140625" style="36"/>
    <col min="11008" max="11008" width="17.28515625" style="36" bestFit="1" customWidth="1"/>
    <col min="11009" max="11009" width="20.28515625" style="36" bestFit="1" customWidth="1"/>
    <col min="11010" max="11010" width="19.85546875" style="36" bestFit="1" customWidth="1"/>
    <col min="11011" max="11011" width="58" style="36" bestFit="1" customWidth="1"/>
    <col min="11012" max="11263" width="9.140625" style="36"/>
    <col min="11264" max="11264" width="17.28515625" style="36" bestFit="1" customWidth="1"/>
    <col min="11265" max="11265" width="20.28515625" style="36" bestFit="1" customWidth="1"/>
    <col min="11266" max="11266" width="19.85546875" style="36" bestFit="1" customWidth="1"/>
    <col min="11267" max="11267" width="58" style="36" bestFit="1" customWidth="1"/>
    <col min="11268" max="11519" width="9.140625" style="36"/>
    <col min="11520" max="11520" width="17.28515625" style="36" bestFit="1" customWidth="1"/>
    <col min="11521" max="11521" width="20.28515625" style="36" bestFit="1" customWidth="1"/>
    <col min="11522" max="11522" width="19.85546875" style="36" bestFit="1" customWidth="1"/>
    <col min="11523" max="11523" width="58" style="36" bestFit="1" customWidth="1"/>
    <col min="11524" max="11775" width="9.140625" style="36"/>
    <col min="11776" max="11776" width="17.28515625" style="36" bestFit="1" customWidth="1"/>
    <col min="11777" max="11777" width="20.28515625" style="36" bestFit="1" customWidth="1"/>
    <col min="11778" max="11778" width="19.85546875" style="36" bestFit="1" customWidth="1"/>
    <col min="11779" max="11779" width="58" style="36" bestFit="1" customWidth="1"/>
    <col min="11780" max="12031" width="9.140625" style="36"/>
    <col min="12032" max="12032" width="17.28515625" style="36" bestFit="1" customWidth="1"/>
    <col min="12033" max="12033" width="20.28515625" style="36" bestFit="1" customWidth="1"/>
    <col min="12034" max="12034" width="19.85546875" style="36" bestFit="1" customWidth="1"/>
    <col min="12035" max="12035" width="58" style="36" bestFit="1" customWidth="1"/>
    <col min="12036" max="12287" width="9.140625" style="36"/>
    <col min="12288" max="12288" width="17.28515625" style="36" bestFit="1" customWidth="1"/>
    <col min="12289" max="12289" width="20.28515625" style="36" bestFit="1" customWidth="1"/>
    <col min="12290" max="12290" width="19.85546875" style="36" bestFit="1" customWidth="1"/>
    <col min="12291" max="12291" width="58" style="36" bestFit="1" customWidth="1"/>
    <col min="12292" max="12543" width="9.140625" style="36"/>
    <col min="12544" max="12544" width="17.28515625" style="36" bestFit="1" customWidth="1"/>
    <col min="12545" max="12545" width="20.28515625" style="36" bestFit="1" customWidth="1"/>
    <col min="12546" max="12546" width="19.85546875" style="36" bestFit="1" customWidth="1"/>
    <col min="12547" max="12547" width="58" style="36" bestFit="1" customWidth="1"/>
    <col min="12548" max="12799" width="9.140625" style="36"/>
    <col min="12800" max="12800" width="17.28515625" style="36" bestFit="1" customWidth="1"/>
    <col min="12801" max="12801" width="20.28515625" style="36" bestFit="1" customWidth="1"/>
    <col min="12802" max="12802" width="19.85546875" style="36" bestFit="1" customWidth="1"/>
    <col min="12803" max="12803" width="58" style="36" bestFit="1" customWidth="1"/>
    <col min="12804" max="13055" width="9.140625" style="36"/>
    <col min="13056" max="13056" width="17.28515625" style="36" bestFit="1" customWidth="1"/>
    <col min="13057" max="13057" width="20.28515625" style="36" bestFit="1" customWidth="1"/>
    <col min="13058" max="13058" width="19.85546875" style="36" bestFit="1" customWidth="1"/>
    <col min="13059" max="13059" width="58" style="36" bestFit="1" customWidth="1"/>
    <col min="13060" max="13311" width="9.140625" style="36"/>
    <col min="13312" max="13312" width="17.28515625" style="36" bestFit="1" customWidth="1"/>
    <col min="13313" max="13313" width="20.28515625" style="36" bestFit="1" customWidth="1"/>
    <col min="13314" max="13314" width="19.85546875" style="36" bestFit="1" customWidth="1"/>
    <col min="13315" max="13315" width="58" style="36" bestFit="1" customWidth="1"/>
    <col min="13316" max="13567" width="9.140625" style="36"/>
    <col min="13568" max="13568" width="17.28515625" style="36" bestFit="1" customWidth="1"/>
    <col min="13569" max="13569" width="20.28515625" style="36" bestFit="1" customWidth="1"/>
    <col min="13570" max="13570" width="19.85546875" style="36" bestFit="1" customWidth="1"/>
    <col min="13571" max="13571" width="58" style="36" bestFit="1" customWidth="1"/>
    <col min="13572" max="13823" width="9.140625" style="36"/>
    <col min="13824" max="13824" width="17.28515625" style="36" bestFit="1" customWidth="1"/>
    <col min="13825" max="13825" width="20.28515625" style="36" bestFit="1" customWidth="1"/>
    <col min="13826" max="13826" width="19.85546875" style="36" bestFit="1" customWidth="1"/>
    <col min="13827" max="13827" width="58" style="36" bestFit="1" customWidth="1"/>
    <col min="13828" max="14079" width="9.140625" style="36"/>
    <col min="14080" max="14080" width="17.28515625" style="36" bestFit="1" customWidth="1"/>
    <col min="14081" max="14081" width="20.28515625" style="36" bestFit="1" customWidth="1"/>
    <col min="14082" max="14082" width="19.85546875" style="36" bestFit="1" customWidth="1"/>
    <col min="14083" max="14083" width="58" style="36" bestFit="1" customWidth="1"/>
    <col min="14084" max="14335" width="9.140625" style="36"/>
    <col min="14336" max="14336" width="17.28515625" style="36" bestFit="1" customWidth="1"/>
    <col min="14337" max="14337" width="20.28515625" style="36" bestFit="1" customWidth="1"/>
    <col min="14338" max="14338" width="19.85546875" style="36" bestFit="1" customWidth="1"/>
    <col min="14339" max="14339" width="58" style="36" bestFit="1" customWidth="1"/>
    <col min="14340" max="14591" width="9.140625" style="36"/>
    <col min="14592" max="14592" width="17.28515625" style="36" bestFit="1" customWidth="1"/>
    <col min="14593" max="14593" width="20.28515625" style="36" bestFit="1" customWidth="1"/>
    <col min="14594" max="14594" width="19.85546875" style="36" bestFit="1" customWidth="1"/>
    <col min="14595" max="14595" width="58" style="36" bestFit="1" customWidth="1"/>
    <col min="14596" max="14847" width="9.140625" style="36"/>
    <col min="14848" max="14848" width="17.28515625" style="36" bestFit="1" customWidth="1"/>
    <col min="14849" max="14849" width="20.28515625" style="36" bestFit="1" customWidth="1"/>
    <col min="14850" max="14850" width="19.85546875" style="36" bestFit="1" customWidth="1"/>
    <col min="14851" max="14851" width="58" style="36" bestFit="1" customWidth="1"/>
    <col min="14852" max="15103" width="9.140625" style="36"/>
    <col min="15104" max="15104" width="17.28515625" style="36" bestFit="1" customWidth="1"/>
    <col min="15105" max="15105" width="20.28515625" style="36" bestFit="1" customWidth="1"/>
    <col min="15106" max="15106" width="19.85546875" style="36" bestFit="1" customWidth="1"/>
    <col min="15107" max="15107" width="58" style="36" bestFit="1" customWidth="1"/>
    <col min="15108" max="15359" width="9.140625" style="36"/>
    <col min="15360" max="15360" width="17.28515625" style="36" bestFit="1" customWidth="1"/>
    <col min="15361" max="15361" width="20.28515625" style="36" bestFit="1" customWidth="1"/>
    <col min="15362" max="15362" width="19.85546875" style="36" bestFit="1" customWidth="1"/>
    <col min="15363" max="15363" width="58" style="36" bestFit="1" customWidth="1"/>
    <col min="15364" max="15615" width="9.140625" style="36"/>
    <col min="15616" max="15616" width="17.28515625" style="36" bestFit="1" customWidth="1"/>
    <col min="15617" max="15617" width="20.28515625" style="36" bestFit="1" customWidth="1"/>
    <col min="15618" max="15618" width="19.85546875" style="36" bestFit="1" customWidth="1"/>
    <col min="15619" max="15619" width="58" style="36" bestFit="1" customWidth="1"/>
    <col min="15620" max="15871" width="9.140625" style="36"/>
    <col min="15872" max="15872" width="17.28515625" style="36" bestFit="1" customWidth="1"/>
    <col min="15873" max="15873" width="20.28515625" style="36" bestFit="1" customWidth="1"/>
    <col min="15874" max="15874" width="19.85546875" style="36" bestFit="1" customWidth="1"/>
    <col min="15875" max="15875" width="58" style="36" bestFit="1" customWidth="1"/>
    <col min="15876" max="16127" width="9.140625" style="36"/>
    <col min="16128" max="16128" width="17.28515625" style="36" bestFit="1" customWidth="1"/>
    <col min="16129" max="16129" width="20.28515625" style="36" bestFit="1" customWidth="1"/>
    <col min="16130" max="16130" width="19.85546875" style="36" bestFit="1" customWidth="1"/>
    <col min="16131" max="16131" width="58" style="36" bestFit="1" customWidth="1"/>
    <col min="16132" max="16384" width="9.140625" style="36"/>
  </cols>
  <sheetData>
    <row r="1" spans="1:9" x14ac:dyDescent="0.2">
      <c r="A1" s="318" t="s">
        <v>69</v>
      </c>
      <c r="B1" s="318"/>
      <c r="C1" s="318"/>
      <c r="D1" s="318" t="s">
        <v>70</v>
      </c>
      <c r="E1" s="318"/>
      <c r="F1" s="318" t="s">
        <v>71</v>
      </c>
      <c r="G1" s="318"/>
      <c r="H1" s="318"/>
      <c r="I1" s="318"/>
    </row>
    <row r="2" spans="1:9" x14ac:dyDescent="0.2">
      <c r="A2" s="319">
        <f>CustomerName</f>
        <v>0</v>
      </c>
      <c r="B2" s="319"/>
      <c r="C2" s="319"/>
      <c r="D2" s="319">
        <f>PurchaseOrderNumber</f>
        <v>0</v>
      </c>
      <c r="E2" s="319"/>
      <c r="F2" s="319" t="s">
        <v>965</v>
      </c>
      <c r="G2" s="319"/>
      <c r="H2" s="319"/>
      <c r="I2" s="319"/>
    </row>
    <row r="3" spans="1:9" x14ac:dyDescent="0.2">
      <c r="A3" s="318" t="s">
        <v>958</v>
      </c>
      <c r="B3" s="318"/>
      <c r="C3" s="318"/>
      <c r="D3" s="318" t="s">
        <v>959</v>
      </c>
      <c r="E3" s="318"/>
      <c r="F3" s="318" t="s">
        <v>72</v>
      </c>
      <c r="G3" s="318"/>
      <c r="H3" s="318"/>
      <c r="I3" s="318"/>
    </row>
    <row r="4" spans="1:9" x14ac:dyDescent="0.2">
      <c r="A4" s="319">
        <f>SalesOrderNumber</f>
        <v>0</v>
      </c>
      <c r="B4" s="319"/>
      <c r="C4" s="319"/>
      <c r="D4" s="319" t="s">
        <v>964</v>
      </c>
      <c r="E4" s="319"/>
      <c r="F4" s="319" t="s">
        <v>966</v>
      </c>
      <c r="G4" s="319"/>
      <c r="H4" s="319"/>
      <c r="I4" s="319"/>
    </row>
    <row r="5" spans="1:9" x14ac:dyDescent="0.2">
      <c r="A5" s="318" t="s">
        <v>73</v>
      </c>
      <c r="B5" s="318"/>
      <c r="C5" s="318"/>
      <c r="D5" s="318" t="s">
        <v>74</v>
      </c>
      <c r="E5" s="318"/>
      <c r="F5" s="318" t="s">
        <v>75</v>
      </c>
      <c r="G5" s="318"/>
      <c r="H5" s="318"/>
      <c r="I5" s="318"/>
    </row>
    <row r="6" spans="1:9" x14ac:dyDescent="0.2">
      <c r="A6" s="37" t="s">
        <v>76</v>
      </c>
      <c r="B6" s="37">
        <v>1.0680000000000001</v>
      </c>
      <c r="C6" s="37" t="s">
        <v>77</v>
      </c>
      <c r="D6" s="327" t="s">
        <v>78</v>
      </c>
      <c r="E6" s="327"/>
      <c r="F6" s="327">
        <v>33000</v>
      </c>
      <c r="G6" s="327"/>
      <c r="H6" s="327" t="s">
        <v>364</v>
      </c>
      <c r="I6" s="327"/>
    </row>
    <row r="7" spans="1:9" x14ac:dyDescent="0.2">
      <c r="A7" s="318" t="s">
        <v>961</v>
      </c>
      <c r="B7" s="318"/>
      <c r="C7" s="318"/>
      <c r="D7" s="318"/>
      <c r="E7" s="318" t="s">
        <v>80</v>
      </c>
      <c r="F7" s="318"/>
      <c r="G7" s="318"/>
      <c r="H7" s="318"/>
      <c r="I7" s="318"/>
    </row>
    <row r="8" spans="1:9" s="50" customFormat="1" ht="28.5" customHeight="1" x14ac:dyDescent="0.2">
      <c r="A8" s="350" t="s">
        <v>969</v>
      </c>
      <c r="B8" s="350"/>
      <c r="C8" s="350"/>
      <c r="D8" s="350"/>
      <c r="E8" s="351"/>
      <c r="F8" s="351"/>
      <c r="G8" s="351"/>
      <c r="H8" s="351"/>
      <c r="I8" s="351"/>
    </row>
    <row r="9" spans="1:9" ht="15.75" x14ac:dyDescent="0.2">
      <c r="A9" s="352" t="s">
        <v>957</v>
      </c>
      <c r="B9" s="324"/>
      <c r="C9" s="324"/>
      <c r="D9" s="324"/>
      <c r="E9" s="324"/>
      <c r="F9" s="324"/>
      <c r="G9" s="324"/>
      <c r="H9" s="324"/>
      <c r="I9" s="353"/>
    </row>
    <row r="10" spans="1:9" x14ac:dyDescent="0.2">
      <c r="A10" s="354" t="s">
        <v>114</v>
      </c>
      <c r="B10" s="355"/>
      <c r="C10" s="355"/>
      <c r="D10" s="355"/>
      <c r="E10" s="355"/>
      <c r="F10" s="355"/>
      <c r="G10" s="355"/>
      <c r="H10" s="355"/>
      <c r="I10" s="356"/>
    </row>
    <row r="11" spans="1:9" x14ac:dyDescent="0.2">
      <c r="A11" s="357" t="s">
        <v>115</v>
      </c>
      <c r="B11" s="358"/>
      <c r="C11" s="358"/>
      <c r="D11" s="38"/>
      <c r="E11" s="51"/>
      <c r="F11" s="38"/>
      <c r="G11" s="38"/>
      <c r="H11" s="38"/>
      <c r="I11" s="52"/>
    </row>
    <row r="12" spans="1:9" x14ac:dyDescent="0.2">
      <c r="A12" s="53"/>
      <c r="B12" s="38"/>
      <c r="C12" s="38"/>
      <c r="D12" s="54" t="s">
        <v>116</v>
      </c>
      <c r="E12" s="348" t="s">
        <v>977</v>
      </c>
      <c r="F12" s="348"/>
      <c r="G12" s="349"/>
      <c r="H12" s="349"/>
      <c r="I12" s="52"/>
    </row>
    <row r="13" spans="1:9" s="59" customFormat="1" x14ac:dyDescent="0.2">
      <c r="A13" s="55"/>
      <c r="B13" s="56"/>
      <c r="C13" s="56"/>
      <c r="D13" s="57" t="s">
        <v>117</v>
      </c>
      <c r="E13" s="348" t="s">
        <v>955</v>
      </c>
      <c r="F13" s="348"/>
      <c r="G13" s="349"/>
      <c r="H13" s="349"/>
      <c r="I13" s="58"/>
    </row>
    <row r="14" spans="1:9" s="59" customFormat="1" x14ac:dyDescent="0.2">
      <c r="A14" s="55"/>
      <c r="B14" s="56"/>
      <c r="C14" s="56"/>
      <c r="D14" s="57" t="s">
        <v>118</v>
      </c>
      <c r="E14" s="348" t="s">
        <v>955</v>
      </c>
      <c r="F14" s="348"/>
      <c r="G14" s="349"/>
      <c r="H14" s="349"/>
      <c r="I14" s="58"/>
    </row>
    <row r="15" spans="1:9" x14ac:dyDescent="0.2">
      <c r="A15" s="53"/>
      <c r="B15" s="38"/>
      <c r="C15" s="38"/>
      <c r="D15" s="54" t="s">
        <v>119</v>
      </c>
      <c r="E15" s="348" t="s">
        <v>956</v>
      </c>
      <c r="F15" s="348"/>
      <c r="G15" s="349"/>
      <c r="H15" s="349"/>
      <c r="I15" s="52"/>
    </row>
    <row r="16" spans="1:9" x14ac:dyDescent="0.2">
      <c r="A16" s="354" t="s">
        <v>120</v>
      </c>
      <c r="B16" s="355"/>
      <c r="C16" s="355"/>
      <c r="D16" s="355"/>
      <c r="E16" s="355"/>
      <c r="F16" s="355"/>
      <c r="G16" s="355"/>
      <c r="H16" s="355"/>
      <c r="I16" s="356"/>
    </row>
    <row r="17" spans="1:9" ht="15" customHeight="1" x14ac:dyDescent="0.2">
      <c r="A17" s="357" t="s">
        <v>121</v>
      </c>
      <c r="B17" s="358"/>
      <c r="C17" s="358"/>
      <c r="D17" s="60"/>
      <c r="E17" s="61"/>
      <c r="F17" s="38"/>
      <c r="G17" s="38"/>
      <c r="H17" s="38"/>
      <c r="I17" s="52"/>
    </row>
    <row r="18" spans="1:9" x14ac:dyDescent="0.2">
      <c r="A18" s="53"/>
      <c r="B18" s="38"/>
      <c r="C18" s="38"/>
      <c r="D18" s="54" t="s">
        <v>122</v>
      </c>
      <c r="E18" s="348" t="s">
        <v>77</v>
      </c>
      <c r="F18" s="348"/>
      <c r="G18" s="349"/>
      <c r="H18" s="349"/>
      <c r="I18" s="52"/>
    </row>
    <row r="19" spans="1:9" x14ac:dyDescent="0.2">
      <c r="A19" s="53"/>
      <c r="B19" s="38"/>
      <c r="C19" s="38"/>
      <c r="D19" s="54" t="s">
        <v>123</v>
      </c>
      <c r="E19" s="348" t="s">
        <v>286</v>
      </c>
      <c r="F19" s="348"/>
      <c r="G19" s="349"/>
      <c r="H19" s="349"/>
      <c r="I19" s="52"/>
    </row>
    <row r="20" spans="1:9" x14ac:dyDescent="0.2">
      <c r="A20" s="53"/>
      <c r="B20" s="38"/>
      <c r="C20" s="38"/>
      <c r="D20" s="54" t="s">
        <v>125</v>
      </c>
      <c r="E20" s="348" t="s">
        <v>364</v>
      </c>
      <c r="F20" s="348"/>
      <c r="G20" s="349"/>
      <c r="H20" s="349"/>
      <c r="I20" s="52"/>
    </row>
    <row r="21" spans="1:9" x14ac:dyDescent="0.2">
      <c r="A21" s="53"/>
      <c r="B21" s="38"/>
      <c r="C21" s="38"/>
      <c r="D21" s="54" t="s">
        <v>126</v>
      </c>
      <c r="E21" s="348" t="s">
        <v>954</v>
      </c>
      <c r="F21" s="348"/>
      <c r="G21" s="349"/>
      <c r="H21" s="349"/>
      <c r="I21" s="52"/>
    </row>
    <row r="22" spans="1:9" x14ac:dyDescent="0.2">
      <c r="A22" s="53"/>
      <c r="B22" s="38"/>
      <c r="C22" s="38"/>
      <c r="D22" s="54" t="s">
        <v>127</v>
      </c>
      <c r="E22" s="348" t="s">
        <v>128</v>
      </c>
      <c r="F22" s="348"/>
      <c r="G22" s="349"/>
      <c r="H22" s="349"/>
      <c r="I22" s="52"/>
    </row>
    <row r="23" spans="1:9" x14ac:dyDescent="0.2">
      <c r="A23" s="53"/>
      <c r="B23" s="38"/>
      <c r="C23" s="38"/>
      <c r="D23" s="54" t="s">
        <v>7</v>
      </c>
      <c r="E23" s="348" t="s">
        <v>129</v>
      </c>
      <c r="F23" s="348"/>
      <c r="G23" s="349"/>
      <c r="H23" s="349"/>
      <c r="I23" s="52"/>
    </row>
    <row r="24" spans="1:9" x14ac:dyDescent="0.2">
      <c r="A24" s="53"/>
      <c r="B24" s="38"/>
      <c r="C24" s="38"/>
      <c r="D24" s="54" t="s">
        <v>130</v>
      </c>
      <c r="E24" s="348" t="s">
        <v>131</v>
      </c>
      <c r="F24" s="348"/>
      <c r="G24" s="349"/>
      <c r="H24" s="349"/>
      <c r="I24" s="52"/>
    </row>
    <row r="25" spans="1:9" x14ac:dyDescent="0.2">
      <c r="A25" s="53"/>
      <c r="B25" s="38"/>
      <c r="C25" s="38"/>
      <c r="D25" s="54" t="s">
        <v>132</v>
      </c>
      <c r="E25" s="348" t="s">
        <v>133</v>
      </c>
      <c r="F25" s="348"/>
      <c r="G25" s="349"/>
      <c r="H25" s="349"/>
      <c r="I25" s="52"/>
    </row>
    <row r="26" spans="1:9" x14ac:dyDescent="0.2">
      <c r="A26" s="53"/>
      <c r="B26" s="38"/>
      <c r="C26" s="38"/>
      <c r="D26" s="54" t="s">
        <v>134</v>
      </c>
      <c r="E26" s="348" t="s">
        <v>266</v>
      </c>
      <c r="F26" s="348"/>
      <c r="G26" s="349"/>
      <c r="H26" s="349"/>
      <c r="I26" s="52"/>
    </row>
    <row r="27" spans="1:9" x14ac:dyDescent="0.2">
      <c r="A27" s="357" t="s">
        <v>136</v>
      </c>
      <c r="B27" s="358"/>
      <c r="C27" s="358"/>
      <c r="D27" s="60"/>
      <c r="E27" s="51"/>
      <c r="F27" s="38"/>
      <c r="G27" s="38"/>
      <c r="H27" s="38"/>
      <c r="I27" s="52"/>
    </row>
    <row r="28" spans="1:9" x14ac:dyDescent="0.2">
      <c r="A28" s="53"/>
      <c r="B28" s="38"/>
      <c r="C28" s="38"/>
      <c r="D28" s="54" t="s">
        <v>137</v>
      </c>
      <c r="E28" s="348">
        <v>10</v>
      </c>
      <c r="F28" s="348"/>
      <c r="G28" s="349"/>
      <c r="H28" s="349"/>
      <c r="I28" s="52"/>
    </row>
    <row r="29" spans="1:9" x14ac:dyDescent="0.2">
      <c r="A29" s="53"/>
      <c r="B29" s="38"/>
      <c r="C29" s="38"/>
      <c r="D29" s="54" t="s">
        <v>138</v>
      </c>
      <c r="E29" s="359">
        <v>1.0680000000000001</v>
      </c>
      <c r="F29" s="359"/>
      <c r="G29" s="349"/>
      <c r="H29" s="349"/>
      <c r="I29" s="52"/>
    </row>
    <row r="30" spans="1:9" x14ac:dyDescent="0.2">
      <c r="A30" s="53"/>
      <c r="B30" s="38"/>
      <c r="C30" s="38"/>
      <c r="D30" s="54" t="s">
        <v>139</v>
      </c>
      <c r="E30" s="348">
        <v>11.85</v>
      </c>
      <c r="F30" s="348"/>
      <c r="G30" s="349"/>
      <c r="H30" s="349"/>
      <c r="I30" s="52"/>
    </row>
    <row r="31" spans="1:9" x14ac:dyDescent="0.2">
      <c r="A31" s="53"/>
      <c r="B31" s="38"/>
      <c r="C31" s="38"/>
      <c r="D31" s="54" t="s">
        <v>140</v>
      </c>
      <c r="E31" s="348">
        <v>75</v>
      </c>
      <c r="F31" s="348"/>
      <c r="G31" s="349"/>
      <c r="H31" s="349"/>
      <c r="I31" s="52"/>
    </row>
    <row r="32" spans="1:9" x14ac:dyDescent="0.2">
      <c r="A32" s="53"/>
      <c r="B32" s="38"/>
      <c r="C32" s="38"/>
      <c r="D32" s="54" t="s">
        <v>141</v>
      </c>
      <c r="E32" s="348">
        <v>28.98</v>
      </c>
      <c r="F32" s="348"/>
      <c r="G32" s="349"/>
      <c r="H32" s="349"/>
      <c r="I32" s="52"/>
    </row>
    <row r="33" spans="1:9" x14ac:dyDescent="0.2">
      <c r="A33" s="53"/>
      <c r="B33" s="38"/>
      <c r="C33" s="38"/>
      <c r="D33" s="54" t="s">
        <v>142</v>
      </c>
      <c r="E33" s="348">
        <v>1</v>
      </c>
      <c r="F33" s="348"/>
      <c r="G33" s="349"/>
      <c r="H33" s="349"/>
      <c r="I33" s="52"/>
    </row>
    <row r="34" spans="1:9" x14ac:dyDescent="0.2">
      <c r="A34" s="53"/>
      <c r="B34" s="38"/>
      <c r="C34" s="38"/>
      <c r="D34" s="54" t="s">
        <v>134</v>
      </c>
      <c r="E34" s="348">
        <v>1.2</v>
      </c>
      <c r="F34" s="348"/>
      <c r="G34" s="349"/>
      <c r="H34" s="349"/>
      <c r="I34" s="52"/>
    </row>
    <row r="35" spans="1:9" ht="15" customHeight="1" x14ac:dyDescent="0.2">
      <c r="A35" s="53"/>
      <c r="B35" s="38"/>
      <c r="C35" s="38"/>
      <c r="D35" s="60"/>
      <c r="E35" s="51"/>
      <c r="F35" s="38"/>
      <c r="G35" s="38"/>
      <c r="H35" s="38"/>
      <c r="I35" s="52"/>
    </row>
    <row r="36" spans="1:9" x14ac:dyDescent="0.2">
      <c r="A36" s="53"/>
      <c r="B36" s="38"/>
      <c r="C36" s="38"/>
      <c r="D36" s="54" t="s">
        <v>143</v>
      </c>
      <c r="E36" s="348" t="s">
        <v>103</v>
      </c>
      <c r="F36" s="348"/>
      <c r="G36" s="349"/>
      <c r="H36" s="349"/>
      <c r="I36" s="52"/>
    </row>
    <row r="37" spans="1:9" x14ac:dyDescent="0.2">
      <c r="A37" s="53"/>
      <c r="B37" s="38"/>
      <c r="C37" s="38"/>
      <c r="D37" s="54" t="s">
        <v>144</v>
      </c>
      <c r="E37" s="360"/>
      <c r="F37" s="360"/>
      <c r="G37" s="349"/>
      <c r="H37" s="349"/>
      <c r="I37" s="52"/>
    </row>
    <row r="38" spans="1:9" s="65" customFormat="1" x14ac:dyDescent="0.2">
      <c r="A38" s="62"/>
      <c r="B38" s="63"/>
      <c r="C38" s="63"/>
      <c r="D38" s="63"/>
      <c r="E38" s="63"/>
      <c r="F38" s="63"/>
      <c r="G38" s="63"/>
      <c r="H38" s="63"/>
      <c r="I38" s="64"/>
    </row>
    <row r="39" spans="1:9" ht="31.5" customHeight="1" x14ac:dyDescent="0.2">
      <c r="A39" s="361" t="s">
        <v>943</v>
      </c>
      <c r="B39" s="362"/>
      <c r="C39" s="362"/>
      <c r="D39" s="362"/>
      <c r="E39" s="362"/>
      <c r="F39" s="362"/>
      <c r="G39" s="362"/>
      <c r="H39" s="362"/>
      <c r="I39" s="363"/>
    </row>
    <row r="40" spans="1:9" x14ac:dyDescent="0.2">
      <c r="A40" s="66"/>
      <c r="B40" s="39"/>
      <c r="C40" s="39"/>
      <c r="D40" s="39"/>
      <c r="E40" s="39"/>
      <c r="F40" s="39"/>
      <c r="G40" s="39"/>
      <c r="H40" s="39"/>
      <c r="I40" s="67"/>
    </row>
    <row r="41" spans="1:9" x14ac:dyDescent="0.2">
      <c r="A41" s="68"/>
      <c r="B41" s="40"/>
      <c r="C41" s="40"/>
      <c r="D41" s="40"/>
      <c r="E41" s="41"/>
      <c r="F41" s="41"/>
      <c r="G41" s="41"/>
      <c r="H41" s="41"/>
      <c r="I41" s="69"/>
    </row>
    <row r="42" spans="1:9" x14ac:dyDescent="0.2">
      <c r="A42" s="42" t="s">
        <v>110</v>
      </c>
      <c r="B42" s="43"/>
      <c r="C42" s="43"/>
      <c r="D42" s="44"/>
      <c r="E42" s="42" t="s">
        <v>111</v>
      </c>
      <c r="F42" s="43"/>
      <c r="G42" s="45" t="s">
        <v>112</v>
      </c>
      <c r="H42" s="42" t="s">
        <v>113</v>
      </c>
      <c r="I42" s="45"/>
    </row>
    <row r="43" spans="1:9" x14ac:dyDescent="0.2">
      <c r="A43" s="346"/>
      <c r="B43" s="347"/>
      <c r="C43" s="46"/>
      <c r="D43" s="47"/>
      <c r="E43" s="48"/>
      <c r="F43" s="49"/>
      <c r="G43" s="47"/>
      <c r="H43" s="48"/>
      <c r="I43" s="47"/>
    </row>
    <row r="44" spans="1:9" x14ac:dyDescent="0.2">
      <c r="A44" s="53"/>
      <c r="B44" s="38"/>
      <c r="C44" s="38"/>
      <c r="D44" s="38"/>
      <c r="E44" s="38"/>
      <c r="F44" s="38"/>
      <c r="G44" s="38"/>
      <c r="H44" s="38"/>
      <c r="I44" s="52"/>
    </row>
    <row r="45" spans="1:9" x14ac:dyDescent="0.2">
      <c r="A45" s="70"/>
      <c r="B45" s="71"/>
      <c r="C45" s="71"/>
      <c r="D45" s="72"/>
      <c r="E45" s="71"/>
      <c r="F45" s="71"/>
      <c r="G45" s="71"/>
      <c r="H45" s="71"/>
      <c r="I45" s="73"/>
    </row>
  </sheetData>
  <mergeCells count="74">
    <mergeCell ref="E31:F31"/>
    <mergeCell ref="G31:H31"/>
    <mergeCell ref="A43:B43"/>
    <mergeCell ref="E32:F32"/>
    <mergeCell ref="G32:H32"/>
    <mergeCell ref="E33:F33"/>
    <mergeCell ref="G33:H33"/>
    <mergeCell ref="E34:F34"/>
    <mergeCell ref="G34:H34"/>
    <mergeCell ref="E36:F36"/>
    <mergeCell ref="G36:H36"/>
    <mergeCell ref="E37:F37"/>
    <mergeCell ref="G37:H37"/>
    <mergeCell ref="A39:I39"/>
    <mergeCell ref="A27:C27"/>
    <mergeCell ref="E29:F29"/>
    <mergeCell ref="G29:H29"/>
    <mergeCell ref="E30:F30"/>
    <mergeCell ref="G30:H30"/>
    <mergeCell ref="E28:F28"/>
    <mergeCell ref="G28:H28"/>
    <mergeCell ref="E25:F25"/>
    <mergeCell ref="G25:H25"/>
    <mergeCell ref="E26:F26"/>
    <mergeCell ref="G26:H26"/>
    <mergeCell ref="E19:F19"/>
    <mergeCell ref="G19:H19"/>
    <mergeCell ref="E20:F20"/>
    <mergeCell ref="G20:H20"/>
    <mergeCell ref="E21:F21"/>
    <mergeCell ref="G21:H21"/>
    <mergeCell ref="E22:F22"/>
    <mergeCell ref="G22:H22"/>
    <mergeCell ref="E23:F23"/>
    <mergeCell ref="G23:H23"/>
    <mergeCell ref="E24:F24"/>
    <mergeCell ref="G24:H24"/>
    <mergeCell ref="E15:F15"/>
    <mergeCell ref="G15:H15"/>
    <mergeCell ref="A16:I16"/>
    <mergeCell ref="A17:C17"/>
    <mergeCell ref="E18:F18"/>
    <mergeCell ref="G18:H18"/>
    <mergeCell ref="E14:F14"/>
    <mergeCell ref="G14:H14"/>
    <mergeCell ref="A7:D7"/>
    <mergeCell ref="E7:I7"/>
    <mergeCell ref="A8:D8"/>
    <mergeCell ref="E8:I8"/>
    <mergeCell ref="A9:I9"/>
    <mergeCell ref="A10:I10"/>
    <mergeCell ref="A11:C11"/>
    <mergeCell ref="E12:F12"/>
    <mergeCell ref="G12:H12"/>
    <mergeCell ref="E13:F13"/>
    <mergeCell ref="G13:H13"/>
    <mergeCell ref="A5:C5"/>
    <mergeCell ref="D5:E5"/>
    <mergeCell ref="F5:I5"/>
    <mergeCell ref="D6:E6"/>
    <mergeCell ref="F6:G6"/>
    <mergeCell ref="H6:I6"/>
    <mergeCell ref="A3:C3"/>
    <mergeCell ref="D3:E3"/>
    <mergeCell ref="F3:I3"/>
    <mergeCell ref="A4:C4"/>
    <mergeCell ref="D4:E4"/>
    <mergeCell ref="F4:I4"/>
    <mergeCell ref="A1:C1"/>
    <mergeCell ref="D1:E1"/>
    <mergeCell ref="F1:I1"/>
    <mergeCell ref="A2:C2"/>
    <mergeCell ref="D2:E2"/>
    <mergeCell ref="F2:I2"/>
  </mergeCells>
  <printOptions horizontalCentered="1" verticalCentered="1"/>
  <pageMargins left="0.74803149606299213" right="0.74803149606299213" top="0.98425196850393704" bottom="0.98425196850393704" header="0.51181102362204722" footer="0.51181102362204722"/>
  <pageSetup paperSize="9" scale="95" orientation="portrait" r:id="rId1"/>
  <headerFooter alignWithMargins="0">
    <oddFooter>&amp;RPage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5" tint="-0.249977111117893"/>
  </sheetPr>
  <dimension ref="A1:L111"/>
  <sheetViews>
    <sheetView workbookViewId="0">
      <selection activeCell="B8" sqref="B8"/>
    </sheetView>
  </sheetViews>
  <sheetFormatPr defaultColWidth="9.140625" defaultRowHeight="12" x14ac:dyDescent="0.2"/>
  <cols>
    <col min="1" max="1" width="22.140625" style="75" bestFit="1" customWidth="1"/>
    <col min="2" max="2" width="31.7109375" style="75" customWidth="1"/>
    <col min="3" max="3" width="20.85546875" style="75" bestFit="1" customWidth="1"/>
    <col min="4" max="4" width="13.85546875" style="75" bestFit="1" customWidth="1"/>
    <col min="5" max="5" width="7.5703125" style="75" bestFit="1" customWidth="1"/>
    <col min="6" max="6" width="11" style="75" bestFit="1" customWidth="1"/>
    <col min="7" max="7" width="12.7109375" style="75" bestFit="1" customWidth="1"/>
    <col min="8" max="8" width="16" style="75" bestFit="1" customWidth="1"/>
    <col min="9" max="9" width="13.5703125" style="75" bestFit="1" customWidth="1"/>
    <col min="10" max="10" width="11.42578125" style="75" bestFit="1" customWidth="1"/>
    <col min="11" max="11" width="16.85546875" style="75" bestFit="1" customWidth="1"/>
    <col min="12" max="12" width="7.140625" style="75" bestFit="1" customWidth="1"/>
    <col min="13" max="13" width="7" style="75" bestFit="1" customWidth="1"/>
    <col min="14" max="14" width="13.28515625" style="75" customWidth="1"/>
    <col min="15" max="16384" width="9.140625" style="75"/>
  </cols>
  <sheetData>
    <row r="1" spans="1:12" x14ac:dyDescent="0.2">
      <c r="A1" s="75" t="s">
        <v>145</v>
      </c>
      <c r="B1" s="75" t="s">
        <v>57</v>
      </c>
      <c r="C1" s="76" t="s">
        <v>59</v>
      </c>
      <c r="D1" s="76" t="s">
        <v>61</v>
      </c>
      <c r="E1" s="76" t="s">
        <v>62</v>
      </c>
      <c r="F1" s="76" t="s">
        <v>63</v>
      </c>
      <c r="G1" s="76" t="s">
        <v>64</v>
      </c>
      <c r="H1" s="76" t="s">
        <v>65</v>
      </c>
      <c r="I1" s="76" t="s">
        <v>66</v>
      </c>
      <c r="K1" s="77" t="s">
        <v>146</v>
      </c>
    </row>
    <row r="2" spans="1:12" x14ac:dyDescent="0.2">
      <c r="A2" s="75" t="s">
        <v>147</v>
      </c>
      <c r="B2" s="34">
        <v>0.13500000000000001</v>
      </c>
      <c r="C2" s="34">
        <v>0.32</v>
      </c>
      <c r="D2" s="34">
        <v>0.68</v>
      </c>
      <c r="E2" s="34">
        <v>0.86499999999999999</v>
      </c>
      <c r="F2" s="75">
        <v>0</v>
      </c>
      <c r="G2" s="75">
        <v>0</v>
      </c>
      <c r="H2" s="75">
        <v>0</v>
      </c>
      <c r="I2" s="75">
        <v>0</v>
      </c>
      <c r="K2" s="75" t="s">
        <v>148</v>
      </c>
      <c r="L2" s="75">
        <f>AVERAGE(FPD580_D_DIM:FPD580_F_DIM)</f>
        <v>1851</v>
      </c>
    </row>
    <row r="3" spans="1:12" x14ac:dyDescent="0.2">
      <c r="A3" s="75" t="s">
        <v>149</v>
      </c>
      <c r="B3" s="75">
        <v>3.2000000000000001E-2</v>
      </c>
      <c r="C3" s="75">
        <v>0.13500000000000001</v>
      </c>
      <c r="D3" s="75">
        <v>0.32</v>
      </c>
      <c r="E3" s="75">
        <v>0.68</v>
      </c>
      <c r="F3" s="75">
        <v>0.86499999999999999</v>
      </c>
      <c r="G3" s="75">
        <v>0.96799999999999997</v>
      </c>
      <c r="H3" s="75">
        <v>0</v>
      </c>
      <c r="I3" s="75">
        <v>0</v>
      </c>
      <c r="K3" s="75" t="s">
        <v>150</v>
      </c>
      <c r="L3" s="75">
        <f>AVERAGE(FPD580_G_DIM:FPD580_H_DIM)</f>
        <v>4146</v>
      </c>
    </row>
    <row r="4" spans="1:12" x14ac:dyDescent="0.2">
      <c r="A4" s="75" t="s">
        <v>151</v>
      </c>
      <c r="B4" s="75">
        <v>3.4000000000000002E-2</v>
      </c>
      <c r="C4" s="75">
        <v>9.1999999999999998E-2</v>
      </c>
      <c r="D4" s="75">
        <v>0.25</v>
      </c>
      <c r="E4" s="75">
        <v>0.36749999999999999</v>
      </c>
      <c r="F4" s="75">
        <v>0.63249999999999995</v>
      </c>
      <c r="G4" s="75">
        <v>0.75</v>
      </c>
      <c r="H4" s="75">
        <v>0.90800000000000003</v>
      </c>
      <c r="I4" s="75">
        <v>0.96599999999999997</v>
      </c>
      <c r="K4" s="75" t="s">
        <v>152</v>
      </c>
      <c r="L4" s="75">
        <f>AVERAGE(FPD580_N_DIM:FPD580_P_DIM)</f>
        <v>5620.5</v>
      </c>
    </row>
    <row r="5" spans="1:12" x14ac:dyDescent="0.2">
      <c r="K5" s="77" t="s">
        <v>153</v>
      </c>
      <c r="L5" s="75">
        <f>VLOOKUP('FPD580 MIS Sheet'!E15,K2:L4,2,0)</f>
        <v>5620.5</v>
      </c>
    </row>
    <row r="6" spans="1:12" x14ac:dyDescent="0.2">
      <c r="A6" s="75" t="s">
        <v>67</v>
      </c>
      <c r="B6" s="75" t="s">
        <v>57</v>
      </c>
      <c r="C6" s="78" t="s">
        <v>59</v>
      </c>
      <c r="D6" s="78" t="s">
        <v>61</v>
      </c>
      <c r="E6" s="78" t="s">
        <v>62</v>
      </c>
      <c r="F6" s="78" t="s">
        <v>63</v>
      </c>
      <c r="G6" s="78" t="s">
        <v>64</v>
      </c>
      <c r="H6" s="78" t="s">
        <v>65</v>
      </c>
      <c r="I6" s="78" t="s">
        <v>66</v>
      </c>
    </row>
    <row r="7" spans="1:12" x14ac:dyDescent="0.2">
      <c r="A7" s="75">
        <v>0.5</v>
      </c>
      <c r="B7" s="75">
        <v>3.4000000000000002E-2</v>
      </c>
      <c r="C7" s="79">
        <f>VLOOKUP('FPD580 MIS Sheet'!$E$15,FPD580_Hole_calc,3,0)</f>
        <v>9.1999999999999998E-2</v>
      </c>
      <c r="D7" s="79">
        <f>VLOOKUP('FPD580 MIS Sheet'!$E$15,FPD580_Hole_calc,4,0)</f>
        <v>0.25</v>
      </c>
      <c r="E7" s="79">
        <f>VLOOKUP('FPD580 MIS Sheet'!$E$15,FPD580_Hole_calc,5,0)</f>
        <v>0.36749999999999999</v>
      </c>
      <c r="F7" s="79">
        <f>VLOOKUP('FPD580 MIS Sheet'!$E$15,FPD580_Hole_calc,6,0)</f>
        <v>0.63249999999999995</v>
      </c>
      <c r="G7" s="79">
        <f>VLOOKUP('FPD580 MIS Sheet'!$E$15,FPD580_Hole_calc,7,0)</f>
        <v>0.75</v>
      </c>
      <c r="H7" s="79">
        <f>VLOOKUP('FPD580 MIS Sheet'!$E$15,FPD580_Hole_calc,8,0)</f>
        <v>0.90800000000000003</v>
      </c>
      <c r="I7" s="79">
        <f>VLOOKUP('FPD580 MIS Sheet'!$E$15,FPD580_Hole_calc,9,0)</f>
        <v>0.96599999999999997</v>
      </c>
    </row>
    <row r="11" spans="1:12" x14ac:dyDescent="0.2">
      <c r="A11" s="80" t="s">
        <v>154</v>
      </c>
      <c r="B11" s="81" t="s">
        <v>155</v>
      </c>
      <c r="C11" s="82" t="s">
        <v>156</v>
      </c>
      <c r="D11" s="83" t="s">
        <v>34</v>
      </c>
      <c r="E11" s="83" t="s">
        <v>36</v>
      </c>
      <c r="F11" s="83" t="s">
        <v>157</v>
      </c>
      <c r="G11" s="83" t="s">
        <v>158</v>
      </c>
      <c r="H11" s="83" t="s">
        <v>157</v>
      </c>
      <c r="I11" s="83" t="s">
        <v>159</v>
      </c>
      <c r="J11" s="83" t="s">
        <v>160</v>
      </c>
      <c r="K11" s="75" t="s">
        <v>161</v>
      </c>
    </row>
    <row r="12" spans="1:12" x14ac:dyDescent="0.2">
      <c r="A12" s="84" t="s">
        <v>162</v>
      </c>
      <c r="B12" s="85" t="s">
        <v>163</v>
      </c>
      <c r="C12" s="34" t="s">
        <v>103</v>
      </c>
      <c r="D12" s="34">
        <v>120</v>
      </c>
      <c r="E12" s="34">
        <v>1.5</v>
      </c>
      <c r="F12" s="34">
        <v>0</v>
      </c>
      <c r="G12" s="34" t="s">
        <v>65</v>
      </c>
      <c r="H12" s="34" t="s">
        <v>65</v>
      </c>
      <c r="I12" s="34">
        <v>4</v>
      </c>
      <c r="J12" s="34">
        <v>411</v>
      </c>
      <c r="K12" s="75">
        <v>1400</v>
      </c>
    </row>
    <row r="13" spans="1:12" x14ac:dyDescent="0.2">
      <c r="A13" s="84" t="s">
        <v>164</v>
      </c>
      <c r="B13" s="85" t="s">
        <v>165</v>
      </c>
      <c r="C13" s="34" t="s">
        <v>103</v>
      </c>
      <c r="D13" s="34">
        <v>120</v>
      </c>
      <c r="E13" s="34">
        <v>1.5</v>
      </c>
      <c r="F13" s="34">
        <v>40</v>
      </c>
      <c r="G13" s="34" t="s">
        <v>65</v>
      </c>
      <c r="H13" s="34" t="s">
        <v>166</v>
      </c>
      <c r="I13" s="34">
        <v>4</v>
      </c>
      <c r="J13" s="34">
        <v>412</v>
      </c>
      <c r="K13" s="75">
        <v>1400</v>
      </c>
    </row>
    <row r="14" spans="1:12" x14ac:dyDescent="0.2">
      <c r="A14" s="84" t="s">
        <v>167</v>
      </c>
      <c r="B14" s="85" t="s">
        <v>168</v>
      </c>
      <c r="C14" s="34" t="s">
        <v>103</v>
      </c>
      <c r="D14" s="34">
        <v>120</v>
      </c>
      <c r="E14" s="34">
        <v>1.5</v>
      </c>
      <c r="F14" s="86">
        <f>FS+Flange_t+40</f>
        <v>150.9</v>
      </c>
      <c r="G14" s="34" t="s">
        <v>65</v>
      </c>
      <c r="H14" s="34" t="s">
        <v>62</v>
      </c>
      <c r="I14" s="34">
        <v>4</v>
      </c>
      <c r="J14" s="34" t="s">
        <v>169</v>
      </c>
      <c r="K14" s="75">
        <v>1400</v>
      </c>
    </row>
    <row r="15" spans="1:12" x14ac:dyDescent="0.2">
      <c r="A15" s="84" t="s">
        <v>170</v>
      </c>
      <c r="B15" s="85" t="s">
        <v>171</v>
      </c>
      <c r="C15" s="34" t="s">
        <v>103</v>
      </c>
      <c r="D15" s="34">
        <v>120</v>
      </c>
      <c r="E15" s="34">
        <v>3</v>
      </c>
      <c r="F15" s="34">
        <v>0</v>
      </c>
      <c r="G15" s="34" t="s">
        <v>65</v>
      </c>
      <c r="H15" s="34" t="s">
        <v>65</v>
      </c>
      <c r="I15" s="34">
        <v>5</v>
      </c>
      <c r="J15" s="34">
        <v>511</v>
      </c>
      <c r="K15" s="75">
        <v>2000</v>
      </c>
    </row>
    <row r="16" spans="1:12" x14ac:dyDescent="0.2">
      <c r="A16" s="84" t="s">
        <v>172</v>
      </c>
      <c r="B16" s="85" t="s">
        <v>173</v>
      </c>
      <c r="C16" s="34" t="s">
        <v>103</v>
      </c>
      <c r="D16" s="34">
        <v>120</v>
      </c>
      <c r="E16" s="34">
        <v>3</v>
      </c>
      <c r="F16" s="86">
        <f>FS+Flange_t+60</f>
        <v>170.9</v>
      </c>
      <c r="G16" s="34" t="s">
        <v>65</v>
      </c>
      <c r="H16" s="34" t="s">
        <v>62</v>
      </c>
      <c r="I16" s="34">
        <v>5</v>
      </c>
      <c r="J16" s="34" t="s">
        <v>174</v>
      </c>
      <c r="K16" s="75">
        <v>2000</v>
      </c>
    </row>
    <row r="17" spans="1:11" x14ac:dyDescent="0.2">
      <c r="A17" s="84" t="s">
        <v>175</v>
      </c>
      <c r="B17" s="85" t="s">
        <v>163</v>
      </c>
      <c r="C17" s="34" t="s">
        <v>176</v>
      </c>
      <c r="D17" s="34">
        <v>280</v>
      </c>
      <c r="E17" s="34">
        <v>1.5</v>
      </c>
      <c r="F17" s="34">
        <v>0</v>
      </c>
      <c r="G17" s="34" t="s">
        <v>166</v>
      </c>
      <c r="H17" s="34" t="s">
        <v>65</v>
      </c>
      <c r="I17" s="34">
        <v>4</v>
      </c>
      <c r="J17" s="34" t="s">
        <v>177</v>
      </c>
      <c r="K17" s="75">
        <v>1400</v>
      </c>
    </row>
    <row r="18" spans="1:11" x14ac:dyDescent="0.2">
      <c r="A18" s="84" t="s">
        <v>178</v>
      </c>
      <c r="B18" s="85" t="s">
        <v>165</v>
      </c>
      <c r="C18" s="34" t="s">
        <v>176</v>
      </c>
      <c r="D18" s="34">
        <v>280</v>
      </c>
      <c r="E18" s="34">
        <v>1.5</v>
      </c>
      <c r="F18" s="34">
        <v>40</v>
      </c>
      <c r="G18" s="34" t="s">
        <v>166</v>
      </c>
      <c r="H18" s="34" t="s">
        <v>166</v>
      </c>
      <c r="I18" s="34">
        <v>4</v>
      </c>
      <c r="J18" s="34" t="s">
        <v>179</v>
      </c>
      <c r="K18" s="75">
        <v>1400</v>
      </c>
    </row>
    <row r="19" spans="1:11" x14ac:dyDescent="0.2">
      <c r="A19" s="84" t="s">
        <v>180</v>
      </c>
      <c r="B19" s="85" t="s">
        <v>168</v>
      </c>
      <c r="C19" s="34" t="s">
        <v>176</v>
      </c>
      <c r="D19" s="34">
        <v>280</v>
      </c>
      <c r="E19" s="34">
        <v>1.5</v>
      </c>
      <c r="F19" s="86">
        <f>FS+Flange_t+40</f>
        <v>150.9</v>
      </c>
      <c r="G19" s="34" t="s">
        <v>166</v>
      </c>
      <c r="H19" s="34" t="s">
        <v>62</v>
      </c>
      <c r="I19" s="34">
        <v>4</v>
      </c>
      <c r="J19" s="34" t="s">
        <v>181</v>
      </c>
      <c r="K19" s="75">
        <v>1400</v>
      </c>
    </row>
    <row r="20" spans="1:11" x14ac:dyDescent="0.2">
      <c r="A20" s="84" t="s">
        <v>31</v>
      </c>
      <c r="B20" s="85" t="s">
        <v>171</v>
      </c>
      <c r="C20" s="34" t="s">
        <v>176</v>
      </c>
      <c r="D20" s="34">
        <v>280</v>
      </c>
      <c r="E20" s="34">
        <v>3</v>
      </c>
      <c r="F20" s="34">
        <v>0</v>
      </c>
      <c r="G20" s="34" t="s">
        <v>166</v>
      </c>
      <c r="H20" s="34" t="s">
        <v>65</v>
      </c>
      <c r="I20" s="34">
        <v>5</v>
      </c>
      <c r="J20" s="34" t="s">
        <v>182</v>
      </c>
      <c r="K20" s="75">
        <v>2000</v>
      </c>
    </row>
    <row r="21" spans="1:11" x14ac:dyDescent="0.2">
      <c r="A21" s="84" t="s">
        <v>183</v>
      </c>
      <c r="B21" s="85" t="s">
        <v>173</v>
      </c>
      <c r="C21" s="34" t="s">
        <v>176</v>
      </c>
      <c r="D21" s="34">
        <v>280</v>
      </c>
      <c r="E21" s="34">
        <v>3</v>
      </c>
      <c r="F21" s="86">
        <f>FS+Flange_t+60</f>
        <v>170.9</v>
      </c>
      <c r="G21" s="34" t="s">
        <v>166</v>
      </c>
      <c r="H21" s="34" t="s">
        <v>62</v>
      </c>
      <c r="I21" s="34">
        <v>5</v>
      </c>
      <c r="J21" s="34" t="s">
        <v>184</v>
      </c>
      <c r="K21" s="75">
        <v>2000</v>
      </c>
    </row>
    <row r="22" spans="1:11" ht="15" x14ac:dyDescent="0.25">
      <c r="A22" s="84"/>
      <c r="B22" s="85"/>
      <c r="C22" s="34"/>
      <c r="D22" s="34"/>
      <c r="E22" s="34"/>
      <c r="F22"/>
      <c r="G22" s="34"/>
      <c r="H22" s="34"/>
      <c r="I22" s="34"/>
      <c r="J22" s="34"/>
    </row>
    <row r="23" spans="1:11" x14ac:dyDescent="0.2">
      <c r="A23" s="84"/>
      <c r="B23" s="85"/>
      <c r="C23" s="34"/>
      <c r="D23" s="87" t="s">
        <v>34</v>
      </c>
      <c r="E23" s="87" t="s">
        <v>36</v>
      </c>
      <c r="F23" s="87" t="s">
        <v>950</v>
      </c>
      <c r="G23" s="87" t="s">
        <v>158</v>
      </c>
      <c r="H23" s="87" t="s">
        <v>157</v>
      </c>
      <c r="I23" s="87" t="s">
        <v>159</v>
      </c>
      <c r="J23" s="87" t="s">
        <v>160</v>
      </c>
    </row>
    <row r="24" spans="1:11" x14ac:dyDescent="0.2">
      <c r="A24" s="34"/>
      <c r="B24" s="34"/>
      <c r="C24" s="34"/>
      <c r="D24" s="88">
        <f>VLOOKUP(FPD580_MIS_ModelType,FPD580_Length_calc,4,0)+IF(AND(FPD580_MIS_TP3_YN="Yes", FPD580_NRT="Y"), 100, 0)</f>
        <v>120</v>
      </c>
      <c r="E24" s="88">
        <f>VLOOKUP(FPD580_MIS_ModelType,FPD580_Length_calc,5,0)</f>
        <v>1.5</v>
      </c>
      <c r="F24" s="88">
        <f>VLOOKUP(FPD580_MIS_ModelType,FPD580_Length_calc,6,0)+IF(F26="Yes",35,0)</f>
        <v>0</v>
      </c>
      <c r="G24" s="88" t="str">
        <f>VLOOKUP(FPD580_MIS_ModelType,FPD580_Length_calc,7,0)</f>
        <v>N</v>
      </c>
      <c r="H24" s="88" t="str">
        <f>VLOOKUP(FPD580_MIS_ModelType,FPD580_Length_calc,8,0)</f>
        <v>N</v>
      </c>
      <c r="I24" s="88">
        <f>VLOOKUP(FPD580_MIS_ModelType,FPD580_Length_calc,9,0)</f>
        <v>4</v>
      </c>
      <c r="J24" s="88">
        <f>VLOOKUP(FPD580_MIS_ModelType,FPD580_Length_calc,10,0)</f>
        <v>411</v>
      </c>
      <c r="K24" s="75">
        <f>VLOOKUP(FPD580_MIS_ModelType,A12:K21,11,0)-FPD580_WALLT-FPD580_FS</f>
        <v>1299</v>
      </c>
    </row>
    <row r="25" spans="1:11" x14ac:dyDescent="0.2">
      <c r="A25" s="34"/>
      <c r="B25" s="34"/>
      <c r="G25" s="34"/>
      <c r="H25" s="34"/>
      <c r="I25" s="34"/>
    </row>
    <row r="26" spans="1:11" x14ac:dyDescent="0.2">
      <c r="C26" s="78" t="s">
        <v>185</v>
      </c>
      <c r="D26" s="79" t="s">
        <v>186</v>
      </c>
      <c r="E26" s="78" t="s">
        <v>949</v>
      </c>
      <c r="F26" s="79" t="s">
        <v>186</v>
      </c>
    </row>
    <row r="28" spans="1:11" x14ac:dyDescent="0.2">
      <c r="A28" s="364" t="s">
        <v>187</v>
      </c>
      <c r="B28" s="364"/>
      <c r="C28" s="34"/>
      <c r="D28" s="34"/>
      <c r="E28" s="34"/>
    </row>
    <row r="29" spans="1:11" x14ac:dyDescent="0.2">
      <c r="A29" s="89" t="s">
        <v>188</v>
      </c>
      <c r="B29" s="89" t="s">
        <v>189</v>
      </c>
      <c r="C29" s="83" t="s">
        <v>37</v>
      </c>
      <c r="D29" s="83" t="s">
        <v>190</v>
      </c>
      <c r="E29" s="83" t="s">
        <v>191</v>
      </c>
      <c r="F29" s="83" t="s">
        <v>192</v>
      </c>
      <c r="G29" s="83" t="s">
        <v>193</v>
      </c>
      <c r="H29" s="83" t="s">
        <v>194</v>
      </c>
      <c r="I29" s="83" t="s">
        <v>195</v>
      </c>
    </row>
    <row r="30" spans="1:11" x14ac:dyDescent="0.2">
      <c r="A30" s="90" t="s">
        <v>196</v>
      </c>
      <c r="B30" s="90" t="s">
        <v>197</v>
      </c>
      <c r="C30" s="34" t="s">
        <v>198</v>
      </c>
      <c r="D30" s="34">
        <v>15.9</v>
      </c>
      <c r="E30" s="34">
        <v>24</v>
      </c>
      <c r="F30" s="34">
        <v>15.9</v>
      </c>
      <c r="G30" s="34">
        <v>38</v>
      </c>
      <c r="H30" s="34" t="s">
        <v>199</v>
      </c>
      <c r="I30" s="75" t="s">
        <v>200</v>
      </c>
    </row>
    <row r="31" spans="1:11" x14ac:dyDescent="0.2">
      <c r="A31" s="90" t="s">
        <v>201</v>
      </c>
      <c r="B31" s="90" t="s">
        <v>197</v>
      </c>
      <c r="C31" s="34" t="s">
        <v>202</v>
      </c>
      <c r="D31" s="34">
        <v>17.5</v>
      </c>
      <c r="E31" s="34">
        <v>24</v>
      </c>
      <c r="F31" s="34">
        <v>15.9</v>
      </c>
      <c r="G31" s="34">
        <v>38</v>
      </c>
      <c r="H31" s="34" t="s">
        <v>199</v>
      </c>
      <c r="I31" s="75" t="s">
        <v>200</v>
      </c>
    </row>
    <row r="32" spans="1:11" x14ac:dyDescent="0.2">
      <c r="A32" s="90" t="s">
        <v>203</v>
      </c>
      <c r="B32" s="90" t="s">
        <v>197</v>
      </c>
      <c r="C32" s="34" t="s">
        <v>204</v>
      </c>
      <c r="D32" s="34">
        <v>22.3</v>
      </c>
      <c r="E32" s="34">
        <v>24</v>
      </c>
      <c r="F32" s="34">
        <v>15.9</v>
      </c>
      <c r="G32" s="34">
        <v>38</v>
      </c>
      <c r="H32" s="34" t="s">
        <v>199</v>
      </c>
      <c r="I32" s="75" t="s">
        <v>200</v>
      </c>
    </row>
    <row r="33" spans="1:9" x14ac:dyDescent="0.2">
      <c r="A33" s="90" t="s">
        <v>205</v>
      </c>
      <c r="B33" s="90" t="s">
        <v>197</v>
      </c>
      <c r="C33" s="34" t="s">
        <v>206</v>
      </c>
      <c r="D33" s="34">
        <v>23.88</v>
      </c>
      <c r="E33" s="34">
        <v>24</v>
      </c>
      <c r="F33" s="34">
        <v>15.9</v>
      </c>
      <c r="G33" s="34">
        <v>38</v>
      </c>
      <c r="H33" s="34" t="s">
        <v>199</v>
      </c>
      <c r="I33" s="75" t="s">
        <v>200</v>
      </c>
    </row>
    <row r="34" spans="1:9" x14ac:dyDescent="0.2">
      <c r="A34" s="90" t="s">
        <v>207</v>
      </c>
      <c r="B34" s="90" t="s">
        <v>197</v>
      </c>
      <c r="C34" s="34" t="s">
        <v>208</v>
      </c>
      <c r="D34" s="34">
        <v>25.4</v>
      </c>
      <c r="E34" s="34">
        <v>24</v>
      </c>
      <c r="F34" s="34">
        <v>15.9</v>
      </c>
      <c r="G34" s="34">
        <v>38</v>
      </c>
      <c r="H34" s="34" t="s">
        <v>199</v>
      </c>
      <c r="I34" s="75" t="s">
        <v>200</v>
      </c>
    </row>
    <row r="35" spans="1:9" x14ac:dyDescent="0.2">
      <c r="A35" s="90" t="s">
        <v>196</v>
      </c>
      <c r="B35" s="90" t="s">
        <v>209</v>
      </c>
      <c r="C35" s="34" t="s">
        <v>38</v>
      </c>
      <c r="D35" s="34">
        <v>18</v>
      </c>
      <c r="E35" s="34">
        <v>24</v>
      </c>
      <c r="F35" s="34">
        <v>16</v>
      </c>
      <c r="G35" s="34" t="s">
        <v>210</v>
      </c>
      <c r="H35" s="34" t="s">
        <v>211</v>
      </c>
      <c r="I35" s="75" t="s">
        <v>200</v>
      </c>
    </row>
    <row r="36" spans="1:9" x14ac:dyDescent="0.2">
      <c r="A36" s="90" t="s">
        <v>201</v>
      </c>
      <c r="B36" s="90" t="s">
        <v>209</v>
      </c>
      <c r="C36" s="34" t="s">
        <v>212</v>
      </c>
      <c r="D36" s="34">
        <v>20</v>
      </c>
      <c r="E36" s="34">
        <v>24</v>
      </c>
      <c r="F36" s="34">
        <v>16</v>
      </c>
      <c r="G36" s="34" t="s">
        <v>210</v>
      </c>
      <c r="H36" s="34" t="s">
        <v>211</v>
      </c>
      <c r="I36" s="75" t="s">
        <v>200</v>
      </c>
    </row>
    <row r="37" spans="1:9" x14ac:dyDescent="0.2">
      <c r="A37" s="90" t="s">
        <v>203</v>
      </c>
      <c r="B37" s="90" t="s">
        <v>209</v>
      </c>
      <c r="C37" s="34" t="s">
        <v>213</v>
      </c>
      <c r="D37" s="34">
        <v>20</v>
      </c>
      <c r="E37" s="34">
        <v>24</v>
      </c>
      <c r="F37" s="34">
        <v>16</v>
      </c>
      <c r="G37" s="34" t="s">
        <v>210</v>
      </c>
      <c r="H37" s="34" t="s">
        <v>211</v>
      </c>
      <c r="I37" s="75" t="s">
        <v>200</v>
      </c>
    </row>
    <row r="38" spans="1:9" x14ac:dyDescent="0.2">
      <c r="A38" s="90" t="s">
        <v>205</v>
      </c>
      <c r="B38" s="90" t="s">
        <v>209</v>
      </c>
      <c r="C38" s="34" t="s">
        <v>214</v>
      </c>
      <c r="D38" s="34">
        <v>22</v>
      </c>
      <c r="E38" s="34">
        <v>24</v>
      </c>
      <c r="F38" s="34">
        <v>16</v>
      </c>
      <c r="G38" s="34" t="s">
        <v>210</v>
      </c>
      <c r="H38" s="34" t="s">
        <v>211</v>
      </c>
      <c r="I38" s="75" t="s">
        <v>200</v>
      </c>
    </row>
    <row r="39" spans="1:9" x14ac:dyDescent="0.2">
      <c r="A39" s="90" t="s">
        <v>207</v>
      </c>
      <c r="B39" s="90" t="s">
        <v>209</v>
      </c>
      <c r="C39" s="34" t="s">
        <v>215</v>
      </c>
      <c r="D39" s="34">
        <v>24</v>
      </c>
      <c r="E39" s="34">
        <v>24</v>
      </c>
      <c r="F39" s="34">
        <v>16</v>
      </c>
      <c r="G39" s="34" t="s">
        <v>210</v>
      </c>
      <c r="H39" s="34" t="s">
        <v>211</v>
      </c>
      <c r="I39" s="75" t="s">
        <v>200</v>
      </c>
    </row>
    <row r="40" spans="1:9" x14ac:dyDescent="0.2">
      <c r="A40" s="90"/>
      <c r="B40" s="90"/>
      <c r="C40" s="34"/>
      <c r="D40" s="34"/>
      <c r="E40" s="34"/>
      <c r="F40" s="34"/>
      <c r="G40" s="34"/>
      <c r="H40" s="34"/>
    </row>
    <row r="41" spans="1:9" x14ac:dyDescent="0.2">
      <c r="A41" s="90"/>
      <c r="B41" s="90"/>
      <c r="C41" s="34"/>
      <c r="D41" s="87" t="s">
        <v>190</v>
      </c>
      <c r="E41" s="87" t="s">
        <v>191</v>
      </c>
      <c r="F41" s="87" t="s">
        <v>192</v>
      </c>
      <c r="G41" s="87" t="s">
        <v>193</v>
      </c>
      <c r="H41" s="87" t="s">
        <v>194</v>
      </c>
      <c r="I41" s="87" t="s">
        <v>195</v>
      </c>
    </row>
    <row r="42" spans="1:9" x14ac:dyDescent="0.2">
      <c r="A42" s="34"/>
      <c r="B42" s="34"/>
      <c r="C42" s="34"/>
      <c r="D42" s="88">
        <f>VLOOKUP(FPD580_MIS_FlangeSize,FPD580_Flange_calc,2,0)</f>
        <v>15.9</v>
      </c>
      <c r="E42" s="88">
        <f>VLOOKUP(FPD580_MIS_FlangeSize,FPD580_Flange_calc,3,0)</f>
        <v>24</v>
      </c>
      <c r="F42" s="88">
        <f>VLOOKUP(FPD580_MIS_FlangeSize,FPD580_Flange_calc,4,0)</f>
        <v>15.9</v>
      </c>
      <c r="G42" s="88">
        <f>VLOOKUP(FPD580_MIS_FlangeSize,FPD580_Flange_calc,5,0)</f>
        <v>38</v>
      </c>
      <c r="H42" s="88" t="str">
        <f>VLOOKUP(FPD580_MIS_FlangeSize,FPD580_Flange_calc,6,0)</f>
        <v>ASME B16.5 2003</v>
      </c>
      <c r="I42" s="88" t="str">
        <f>VLOOKUP(FPD580_MIS_FlangeSize,FPD580_Flange_calc,7,0)</f>
        <v>SEP</v>
      </c>
    </row>
    <row r="43" spans="1:9" x14ac:dyDescent="0.2">
      <c r="A43" s="34"/>
      <c r="B43" s="34"/>
      <c r="C43" s="34"/>
      <c r="D43" s="75" t="s">
        <v>135</v>
      </c>
      <c r="E43" s="75" t="s">
        <v>216</v>
      </c>
      <c r="F43" s="34" t="s">
        <v>217</v>
      </c>
      <c r="G43" s="75" t="s">
        <v>129</v>
      </c>
    </row>
    <row r="44" spans="1:9" x14ac:dyDescent="0.2">
      <c r="A44" s="34"/>
      <c r="B44" s="34"/>
      <c r="C44" s="34"/>
      <c r="D44" s="34"/>
      <c r="E44" s="34"/>
      <c r="F44" s="34"/>
    </row>
    <row r="45" spans="1:9" x14ac:dyDescent="0.2">
      <c r="A45" s="89" t="s">
        <v>218</v>
      </c>
      <c r="B45" s="91" t="s">
        <v>40</v>
      </c>
      <c r="C45" s="91"/>
      <c r="D45" s="34"/>
      <c r="E45" s="34"/>
      <c r="F45" s="34"/>
    </row>
    <row r="46" spans="1:9" x14ac:dyDescent="0.2">
      <c r="A46" s="34" t="s">
        <v>219</v>
      </c>
      <c r="B46" s="75" t="s">
        <v>220</v>
      </c>
      <c r="C46" s="75">
        <v>1.5</v>
      </c>
      <c r="D46" s="34"/>
      <c r="E46" s="34"/>
    </row>
    <row r="47" spans="1:9" x14ac:dyDescent="0.2">
      <c r="A47" s="90" t="s">
        <v>221</v>
      </c>
      <c r="B47" s="75" t="s">
        <v>220</v>
      </c>
      <c r="C47" s="75">
        <v>1.5</v>
      </c>
      <c r="D47" s="34"/>
      <c r="E47" s="34"/>
      <c r="F47" s="34"/>
    </row>
    <row r="48" spans="1:9" x14ac:dyDescent="0.2">
      <c r="A48" s="90" t="s">
        <v>222</v>
      </c>
      <c r="B48" s="75" t="s">
        <v>220</v>
      </c>
      <c r="C48" s="75">
        <v>1.5</v>
      </c>
      <c r="D48" s="34"/>
      <c r="E48" s="34"/>
      <c r="F48" s="34"/>
    </row>
    <row r="49" spans="1:10" x14ac:dyDescent="0.2">
      <c r="A49" s="90" t="s">
        <v>223</v>
      </c>
      <c r="B49" s="75" t="s">
        <v>224</v>
      </c>
      <c r="C49" s="75">
        <v>4.5</v>
      </c>
      <c r="D49" s="34"/>
      <c r="E49" s="34"/>
      <c r="F49" s="34"/>
    </row>
    <row r="50" spans="1:10" x14ac:dyDescent="0.2">
      <c r="A50" s="90" t="s">
        <v>225</v>
      </c>
      <c r="B50" s="75" t="s">
        <v>224</v>
      </c>
      <c r="C50" s="75">
        <v>4.5</v>
      </c>
      <c r="D50" s="34"/>
      <c r="E50" s="34"/>
      <c r="F50" s="34"/>
    </row>
    <row r="51" spans="1:10" x14ac:dyDescent="0.2">
      <c r="B51" s="92"/>
      <c r="C51" s="75">
        <f>VLOOKUP(FPD580_MIS_Gasket,FPD580_Gasket_Calc,3,0)</f>
        <v>1.5</v>
      </c>
      <c r="E51" s="34"/>
      <c r="F51" s="34"/>
    </row>
    <row r="52" spans="1:10" x14ac:dyDescent="0.2">
      <c r="E52" s="34"/>
      <c r="F52" s="34"/>
    </row>
    <row r="53" spans="1:10" x14ac:dyDescent="0.2">
      <c r="E53" s="34"/>
      <c r="F53" s="34"/>
    </row>
    <row r="54" spans="1:10" x14ac:dyDescent="0.2">
      <c r="A54" s="77" t="s">
        <v>226</v>
      </c>
      <c r="B54" s="77" t="s">
        <v>155</v>
      </c>
    </row>
    <row r="55" spans="1:10" x14ac:dyDescent="0.2">
      <c r="A55" s="93" t="s">
        <v>227</v>
      </c>
      <c r="B55" s="94" t="s">
        <v>228</v>
      </c>
    </row>
    <row r="56" spans="1:10" x14ac:dyDescent="0.2">
      <c r="A56" s="93" t="s">
        <v>229</v>
      </c>
      <c r="B56" s="94" t="s">
        <v>230</v>
      </c>
    </row>
    <row r="57" spans="1:10" x14ac:dyDescent="0.2">
      <c r="A57" s="93" t="s">
        <v>231</v>
      </c>
      <c r="B57" s="94" t="s">
        <v>232</v>
      </c>
    </row>
    <row r="58" spans="1:10" x14ac:dyDescent="0.2">
      <c r="A58" s="93" t="s">
        <v>233</v>
      </c>
      <c r="B58" s="94" t="s">
        <v>234</v>
      </c>
    </row>
    <row r="60" spans="1:10" x14ac:dyDescent="0.2">
      <c r="J60" s="95"/>
    </row>
    <row r="61" spans="1:10" x14ac:dyDescent="0.2">
      <c r="B61" s="96" t="s">
        <v>235</v>
      </c>
      <c r="C61" s="96" t="s">
        <v>236</v>
      </c>
      <c r="D61" s="96" t="s">
        <v>237</v>
      </c>
      <c r="E61" s="96" t="s">
        <v>234</v>
      </c>
      <c r="J61" s="95"/>
    </row>
    <row r="62" spans="1:10" x14ac:dyDescent="0.2">
      <c r="A62" s="77" t="s">
        <v>238</v>
      </c>
      <c r="B62" s="77" t="s">
        <v>239</v>
      </c>
      <c r="C62" s="77" t="s">
        <v>197</v>
      </c>
      <c r="D62" s="77" t="s">
        <v>209</v>
      </c>
      <c r="E62" s="77" t="s">
        <v>240</v>
      </c>
    </row>
    <row r="63" spans="1:10" x14ac:dyDescent="0.2">
      <c r="A63" s="97" t="s">
        <v>241</v>
      </c>
      <c r="B63" s="79"/>
      <c r="C63" s="79"/>
      <c r="D63" s="79"/>
      <c r="E63" s="79"/>
      <c r="F63" s="98" t="s">
        <v>242</v>
      </c>
    </row>
    <row r="64" spans="1:10" x14ac:dyDescent="0.2">
      <c r="A64" s="97" t="s">
        <v>196</v>
      </c>
      <c r="B64" s="79"/>
      <c r="C64" s="88" t="s">
        <v>198</v>
      </c>
      <c r="D64" s="88" t="s">
        <v>38</v>
      </c>
      <c r="E64" s="79"/>
      <c r="F64" s="98" t="s">
        <v>243</v>
      </c>
    </row>
    <row r="65" spans="1:12" x14ac:dyDescent="0.2">
      <c r="A65" s="97" t="s">
        <v>201</v>
      </c>
      <c r="B65" s="79"/>
      <c r="C65" s="88" t="s">
        <v>202</v>
      </c>
      <c r="D65" s="88" t="s">
        <v>212</v>
      </c>
      <c r="E65" s="79"/>
      <c r="F65" s="98" t="s">
        <v>244</v>
      </c>
    </row>
    <row r="66" spans="1:12" x14ac:dyDescent="0.2">
      <c r="A66" s="97" t="s">
        <v>203</v>
      </c>
      <c r="B66" s="79"/>
      <c r="C66" s="88" t="s">
        <v>204</v>
      </c>
      <c r="D66" s="88" t="s">
        <v>213</v>
      </c>
      <c r="E66" s="79"/>
      <c r="F66" s="98" t="s">
        <v>245</v>
      </c>
    </row>
    <row r="67" spans="1:12" x14ac:dyDescent="0.2">
      <c r="A67" s="99" t="s">
        <v>205</v>
      </c>
      <c r="B67" s="79"/>
      <c r="C67" s="88" t="s">
        <v>206</v>
      </c>
      <c r="D67" s="88" t="s">
        <v>214</v>
      </c>
      <c r="E67" s="79"/>
      <c r="F67" s="98" t="s">
        <v>246</v>
      </c>
    </row>
    <row r="68" spans="1:12" x14ac:dyDescent="0.2">
      <c r="A68" s="99" t="s">
        <v>207</v>
      </c>
      <c r="B68" s="79"/>
      <c r="C68" s="88" t="s">
        <v>208</v>
      </c>
      <c r="D68" s="88" t="s">
        <v>215</v>
      </c>
      <c r="E68" s="79"/>
      <c r="F68" s="98" t="s">
        <v>247</v>
      </c>
    </row>
    <row r="69" spans="1:12" x14ac:dyDescent="0.2">
      <c r="A69" s="99" t="s">
        <v>248</v>
      </c>
      <c r="B69" s="79"/>
      <c r="C69" s="79"/>
      <c r="D69" s="79"/>
      <c r="E69" s="79"/>
      <c r="F69" s="98" t="s">
        <v>234</v>
      </c>
    </row>
    <row r="71" spans="1:12" x14ac:dyDescent="0.2">
      <c r="A71" s="96" t="s">
        <v>249</v>
      </c>
    </row>
    <row r="73" spans="1:12" x14ac:dyDescent="0.2">
      <c r="A73" s="77" t="s">
        <v>250</v>
      </c>
    </row>
    <row r="74" spans="1:12" x14ac:dyDescent="0.2">
      <c r="A74" s="93" t="s">
        <v>952</v>
      </c>
      <c r="B74" s="75" t="s">
        <v>251</v>
      </c>
    </row>
    <row r="75" spans="1:12" x14ac:dyDescent="0.2">
      <c r="A75" s="93" t="s">
        <v>951</v>
      </c>
      <c r="B75" s="75" t="s">
        <v>252</v>
      </c>
    </row>
    <row r="77" spans="1:12" ht="15" x14ac:dyDescent="0.25">
      <c r="G77"/>
      <c r="H77"/>
      <c r="I77"/>
      <c r="J77"/>
      <c r="K77"/>
      <c r="L77"/>
    </row>
    <row r="78" spans="1:12" ht="15" x14ac:dyDescent="0.25">
      <c r="A78" s="199" t="s">
        <v>864</v>
      </c>
      <c r="B78" s="199" t="s">
        <v>863</v>
      </c>
      <c r="C78" s="199" t="s">
        <v>865</v>
      </c>
      <c r="D78" s="36"/>
      <c r="G78"/>
      <c r="H78"/>
      <c r="I78"/>
      <c r="J78"/>
      <c r="K78"/>
      <c r="L78"/>
    </row>
    <row r="79" spans="1:12" ht="15" x14ac:dyDescent="0.25">
      <c r="A79" s="202" t="s">
        <v>226</v>
      </c>
      <c r="B79" s="202"/>
      <c r="C79" s="199"/>
      <c r="D79" s="36"/>
      <c r="G79"/>
      <c r="H79"/>
      <c r="I79"/>
      <c r="J79"/>
      <c r="K79"/>
      <c r="L79"/>
    </row>
    <row r="80" spans="1:12" ht="12" customHeight="1" x14ac:dyDescent="0.25">
      <c r="A80" s="200" t="s">
        <v>638</v>
      </c>
      <c r="B80" s="200" t="s">
        <v>894</v>
      </c>
      <c r="C80" s="201" t="s">
        <v>866</v>
      </c>
      <c r="D80" s="365" t="s">
        <v>868</v>
      </c>
      <c r="G80"/>
      <c r="H80"/>
      <c r="I80"/>
      <c r="J80"/>
      <c r="K80"/>
      <c r="L80"/>
    </row>
    <row r="81" spans="1:12" ht="12" customHeight="1" x14ac:dyDescent="0.25">
      <c r="A81" s="200" t="s">
        <v>872</v>
      </c>
      <c r="B81" s="200" t="s">
        <v>895</v>
      </c>
      <c r="C81" s="201" t="s">
        <v>866</v>
      </c>
      <c r="D81" s="365"/>
      <c r="G81"/>
      <c r="H81"/>
      <c r="I81"/>
      <c r="J81"/>
      <c r="K81"/>
      <c r="L81"/>
    </row>
    <row r="82" spans="1:12" ht="12" customHeight="1" x14ac:dyDescent="0.25">
      <c r="A82" s="200" t="s">
        <v>227</v>
      </c>
      <c r="B82" s="200" t="s">
        <v>896</v>
      </c>
      <c r="C82" s="201" t="s">
        <v>866</v>
      </c>
      <c r="D82" s="365"/>
      <c r="G82"/>
      <c r="H82"/>
      <c r="I82"/>
      <c r="J82"/>
      <c r="K82"/>
      <c r="L82"/>
    </row>
    <row r="83" spans="1:12" ht="12" customHeight="1" x14ac:dyDescent="0.25">
      <c r="A83" s="200" t="s">
        <v>475</v>
      </c>
      <c r="B83" s="200" t="s">
        <v>897</v>
      </c>
      <c r="C83" s="201" t="s">
        <v>866</v>
      </c>
      <c r="D83" s="365"/>
      <c r="G83"/>
      <c r="H83"/>
      <c r="I83"/>
      <c r="J83"/>
      <c r="K83"/>
      <c r="L83"/>
    </row>
    <row r="84" spans="1:12" ht="12" customHeight="1" x14ac:dyDescent="0.25">
      <c r="A84" s="200" t="s">
        <v>636</v>
      </c>
      <c r="B84" s="200" t="s">
        <v>898</v>
      </c>
      <c r="C84" s="201" t="s">
        <v>866</v>
      </c>
      <c r="D84" s="365"/>
      <c r="G84"/>
      <c r="H84"/>
      <c r="I84"/>
      <c r="J84"/>
      <c r="K84"/>
      <c r="L84"/>
    </row>
    <row r="85" spans="1:12" ht="12" customHeight="1" x14ac:dyDescent="0.25">
      <c r="A85" s="200" t="s">
        <v>229</v>
      </c>
      <c r="B85" s="200" t="s">
        <v>920</v>
      </c>
      <c r="C85" s="201" t="s">
        <v>866</v>
      </c>
      <c r="D85" s="365"/>
      <c r="G85"/>
      <c r="H85"/>
      <c r="I85"/>
      <c r="J85"/>
      <c r="K85"/>
      <c r="L85"/>
    </row>
    <row r="86" spans="1:12" ht="12" customHeight="1" x14ac:dyDescent="0.25">
      <c r="A86" s="200" t="s">
        <v>404</v>
      </c>
      <c r="B86" s="200" t="s">
        <v>899</v>
      </c>
      <c r="C86" s="201" t="s">
        <v>866</v>
      </c>
      <c r="D86" s="365"/>
      <c r="G86"/>
      <c r="H86"/>
      <c r="I86"/>
      <c r="J86"/>
      <c r="K86"/>
      <c r="L86"/>
    </row>
    <row r="87" spans="1:12" ht="12" customHeight="1" x14ac:dyDescent="0.25">
      <c r="A87" s="200" t="s">
        <v>648</v>
      </c>
      <c r="B87" s="200" t="s">
        <v>900</v>
      </c>
      <c r="C87" s="201" t="s">
        <v>866</v>
      </c>
      <c r="D87" s="365"/>
      <c r="G87"/>
      <c r="H87"/>
      <c r="I87"/>
      <c r="J87"/>
      <c r="K87"/>
      <c r="L87"/>
    </row>
    <row r="88" spans="1:12" ht="12" customHeight="1" x14ac:dyDescent="0.25">
      <c r="A88" s="200" t="s">
        <v>231</v>
      </c>
      <c r="B88" s="200" t="s">
        <v>901</v>
      </c>
      <c r="C88" s="201" t="s">
        <v>866</v>
      </c>
      <c r="D88" s="365"/>
      <c r="G88"/>
      <c r="H88"/>
      <c r="I88"/>
      <c r="J88"/>
      <c r="K88"/>
      <c r="L88"/>
    </row>
    <row r="89" spans="1:12" ht="12" customHeight="1" x14ac:dyDescent="0.25">
      <c r="A89" s="200" t="s">
        <v>644</v>
      </c>
      <c r="B89" s="200" t="s">
        <v>902</v>
      </c>
      <c r="C89" s="201" t="s">
        <v>866</v>
      </c>
      <c r="D89" s="365"/>
      <c r="G89"/>
      <c r="H89"/>
      <c r="I89"/>
      <c r="J89"/>
      <c r="K89"/>
      <c r="L89"/>
    </row>
    <row r="90" spans="1:12" ht="12" customHeight="1" x14ac:dyDescent="0.25">
      <c r="A90" s="200" t="s">
        <v>397</v>
      </c>
      <c r="B90" s="200" t="s">
        <v>903</v>
      </c>
      <c r="C90" s="201" t="s">
        <v>866</v>
      </c>
      <c r="D90" s="365"/>
      <c r="G90"/>
      <c r="H90"/>
      <c r="I90"/>
      <c r="J90"/>
      <c r="K90"/>
      <c r="L90"/>
    </row>
    <row r="91" spans="1:12" ht="12" customHeight="1" x14ac:dyDescent="0.25">
      <c r="A91" s="200" t="s">
        <v>398</v>
      </c>
      <c r="B91" s="200" t="s">
        <v>904</v>
      </c>
      <c r="C91" s="201" t="s">
        <v>866</v>
      </c>
      <c r="D91" s="365"/>
      <c r="G91"/>
      <c r="H91"/>
      <c r="I91"/>
      <c r="J91"/>
      <c r="K91"/>
      <c r="L91"/>
    </row>
    <row r="92" spans="1:12" ht="12.75" customHeight="1" x14ac:dyDescent="0.25">
      <c r="A92" s="200" t="s">
        <v>233</v>
      </c>
      <c r="B92" s="200" t="s">
        <v>884</v>
      </c>
      <c r="C92" s="201" t="s">
        <v>866</v>
      </c>
      <c r="D92" s="365"/>
      <c r="G92"/>
      <c r="H92"/>
      <c r="I92"/>
      <c r="J92"/>
      <c r="K92"/>
      <c r="L92"/>
    </row>
    <row r="93" spans="1:12" ht="15" x14ac:dyDescent="0.25">
      <c r="A93" s="200" t="s">
        <v>873</v>
      </c>
      <c r="B93" s="200"/>
      <c r="C93" s="201"/>
      <c r="D93" s="29"/>
      <c r="G93"/>
      <c r="H93"/>
      <c r="I93"/>
      <c r="J93"/>
      <c r="K93"/>
      <c r="L93"/>
    </row>
    <row r="94" spans="1:12" ht="12" customHeight="1" x14ac:dyDescent="0.25">
      <c r="A94" s="200" t="s">
        <v>638</v>
      </c>
      <c r="B94" s="200" t="s">
        <v>905</v>
      </c>
      <c r="C94" s="201" t="s">
        <v>867</v>
      </c>
      <c r="D94" s="365" t="s">
        <v>869</v>
      </c>
      <c r="G94"/>
      <c r="H94"/>
      <c r="I94"/>
      <c r="J94"/>
      <c r="K94"/>
      <c r="L94"/>
    </row>
    <row r="95" spans="1:12" ht="12" customHeight="1" x14ac:dyDescent="0.25">
      <c r="A95" s="200" t="s">
        <v>872</v>
      </c>
      <c r="B95" s="200" t="s">
        <v>906</v>
      </c>
      <c r="C95" s="201" t="s">
        <v>867</v>
      </c>
      <c r="D95" s="365"/>
      <c r="G95"/>
      <c r="H95"/>
      <c r="I95"/>
      <c r="J95"/>
      <c r="K95"/>
      <c r="L95"/>
    </row>
    <row r="96" spans="1:12" ht="12" customHeight="1" x14ac:dyDescent="0.25">
      <c r="A96" s="200" t="s">
        <v>227</v>
      </c>
      <c r="B96" s="200" t="s">
        <v>907</v>
      </c>
      <c r="C96" s="201" t="s">
        <v>867</v>
      </c>
      <c r="D96" s="365"/>
      <c r="G96"/>
      <c r="H96"/>
      <c r="I96"/>
      <c r="J96"/>
      <c r="K96"/>
      <c r="L96"/>
    </row>
    <row r="97" spans="1:12" ht="12" customHeight="1" x14ac:dyDescent="0.25">
      <c r="A97" s="200" t="s">
        <v>475</v>
      </c>
      <c r="B97" s="200" t="s">
        <v>908</v>
      </c>
      <c r="C97" s="201" t="s">
        <v>867</v>
      </c>
      <c r="D97" s="365"/>
      <c r="G97"/>
      <c r="H97"/>
      <c r="I97"/>
      <c r="J97"/>
      <c r="K97"/>
      <c r="L97"/>
    </row>
    <row r="98" spans="1:12" ht="12" customHeight="1" x14ac:dyDescent="0.25">
      <c r="A98" s="200" t="s">
        <v>636</v>
      </c>
      <c r="B98" s="200" t="s">
        <v>909</v>
      </c>
      <c r="C98" s="201" t="s">
        <v>867</v>
      </c>
      <c r="D98" s="365"/>
      <c r="G98"/>
      <c r="H98"/>
      <c r="I98"/>
      <c r="J98"/>
      <c r="K98"/>
      <c r="L98"/>
    </row>
    <row r="99" spans="1:12" ht="12" customHeight="1" x14ac:dyDescent="0.25">
      <c r="A99" s="200" t="s">
        <v>229</v>
      </c>
      <c r="B99" s="200" t="s">
        <v>921</v>
      </c>
      <c r="C99" s="201" t="s">
        <v>867</v>
      </c>
      <c r="D99" s="365"/>
      <c r="G99"/>
      <c r="H99"/>
      <c r="I99"/>
      <c r="J99"/>
      <c r="K99"/>
      <c r="L99"/>
    </row>
    <row r="100" spans="1:12" ht="12" customHeight="1" x14ac:dyDescent="0.25">
      <c r="A100" s="200" t="s">
        <v>404</v>
      </c>
      <c r="B100" s="200" t="s">
        <v>910</v>
      </c>
      <c r="C100" s="201" t="s">
        <v>867</v>
      </c>
      <c r="D100" s="365"/>
      <c r="G100"/>
      <c r="H100"/>
      <c r="I100"/>
      <c r="J100"/>
      <c r="K100"/>
      <c r="L100"/>
    </row>
    <row r="101" spans="1:12" ht="12" customHeight="1" x14ac:dyDescent="0.25">
      <c r="A101" s="200" t="s">
        <v>648</v>
      </c>
      <c r="B101" s="200" t="s">
        <v>911</v>
      </c>
      <c r="C101" s="201" t="s">
        <v>867</v>
      </c>
      <c r="D101" s="365"/>
      <c r="G101"/>
      <c r="H101"/>
      <c r="I101"/>
      <c r="J101"/>
      <c r="K101"/>
      <c r="L101"/>
    </row>
    <row r="102" spans="1:12" ht="12" customHeight="1" x14ac:dyDescent="0.25">
      <c r="A102" s="200" t="s">
        <v>231</v>
      </c>
      <c r="B102" s="200" t="s">
        <v>912</v>
      </c>
      <c r="C102" s="201" t="s">
        <v>867</v>
      </c>
      <c r="D102" s="365"/>
      <c r="G102"/>
      <c r="H102"/>
      <c r="I102"/>
      <c r="J102"/>
      <c r="K102"/>
      <c r="L102"/>
    </row>
    <row r="103" spans="1:12" ht="12" customHeight="1" x14ac:dyDescent="0.25">
      <c r="A103" s="200" t="s">
        <v>644</v>
      </c>
      <c r="B103" s="200" t="s">
        <v>913</v>
      </c>
      <c r="C103" s="201" t="s">
        <v>867</v>
      </c>
      <c r="D103" s="365"/>
      <c r="G103"/>
      <c r="H103"/>
      <c r="I103"/>
      <c r="J103"/>
      <c r="K103"/>
      <c r="L103"/>
    </row>
    <row r="104" spans="1:12" ht="12" customHeight="1" x14ac:dyDescent="0.25">
      <c r="A104" s="200" t="s">
        <v>641</v>
      </c>
      <c r="B104" s="200" t="s">
        <v>916</v>
      </c>
      <c r="C104" s="201" t="s">
        <v>867</v>
      </c>
      <c r="D104" s="365"/>
      <c r="G104"/>
      <c r="H104"/>
      <c r="I104"/>
      <c r="J104"/>
      <c r="K104"/>
      <c r="L104"/>
    </row>
    <row r="105" spans="1:12" ht="12" customHeight="1" x14ac:dyDescent="0.25">
      <c r="A105" s="200" t="s">
        <v>646</v>
      </c>
      <c r="B105" s="200" t="s">
        <v>916</v>
      </c>
      <c r="C105" s="201" t="s">
        <v>867</v>
      </c>
      <c r="D105" s="365"/>
      <c r="G105"/>
      <c r="H105"/>
      <c r="I105"/>
      <c r="J105"/>
      <c r="K105"/>
      <c r="L105"/>
    </row>
    <row r="106" spans="1:12" ht="12" customHeight="1" x14ac:dyDescent="0.25">
      <c r="A106" s="200" t="s">
        <v>164</v>
      </c>
      <c r="B106" s="200" t="s">
        <v>917</v>
      </c>
      <c r="C106" s="201" t="s">
        <v>867</v>
      </c>
      <c r="D106" s="365"/>
      <c r="G106"/>
      <c r="H106"/>
      <c r="I106"/>
      <c r="J106"/>
      <c r="K106"/>
      <c r="L106"/>
    </row>
    <row r="107" spans="1:12" ht="12" customHeight="1" x14ac:dyDescent="0.25">
      <c r="A107" s="200" t="s">
        <v>397</v>
      </c>
      <c r="B107" s="200" t="s">
        <v>914</v>
      </c>
      <c r="C107" s="201" t="s">
        <v>867</v>
      </c>
      <c r="D107" s="365"/>
      <c r="G107"/>
      <c r="H107"/>
      <c r="I107"/>
      <c r="J107"/>
      <c r="K107"/>
      <c r="L107"/>
    </row>
    <row r="108" spans="1:12" ht="12.75" customHeight="1" x14ac:dyDescent="0.25">
      <c r="A108" s="200" t="s">
        <v>398</v>
      </c>
      <c r="B108" s="200" t="s">
        <v>915</v>
      </c>
      <c r="C108" s="201" t="s">
        <v>867</v>
      </c>
      <c r="D108" s="365"/>
      <c r="G108"/>
      <c r="H108"/>
      <c r="I108"/>
      <c r="J108"/>
      <c r="K108"/>
      <c r="L108"/>
    </row>
    <row r="109" spans="1:12" ht="12.75" customHeight="1" x14ac:dyDescent="0.25">
      <c r="A109" s="200" t="s">
        <v>383</v>
      </c>
      <c r="B109" s="200" t="s">
        <v>978</v>
      </c>
      <c r="C109" s="201" t="s">
        <v>867</v>
      </c>
      <c r="D109" s="365"/>
      <c r="G109"/>
      <c r="H109"/>
      <c r="I109"/>
      <c r="J109"/>
      <c r="K109"/>
      <c r="L109"/>
    </row>
    <row r="110" spans="1:12" ht="12.75" customHeight="1" x14ac:dyDescent="0.25">
      <c r="A110" s="200" t="s">
        <v>233</v>
      </c>
      <c r="B110" s="200" t="s">
        <v>884</v>
      </c>
      <c r="C110" s="201" t="s">
        <v>867</v>
      </c>
      <c r="D110" s="365"/>
      <c r="G110"/>
      <c r="H110"/>
      <c r="I110"/>
      <c r="J110"/>
      <c r="K110"/>
      <c r="L110"/>
    </row>
    <row r="111" spans="1:12" ht="15" x14ac:dyDescent="0.25">
      <c r="G111"/>
      <c r="H111"/>
      <c r="I111"/>
      <c r="J111"/>
      <c r="K111"/>
      <c r="L111"/>
    </row>
  </sheetData>
  <mergeCells count="3">
    <mergeCell ref="A28:B28"/>
    <mergeCell ref="D80:D92"/>
    <mergeCell ref="D94:D1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5" tint="-0.249977111117893"/>
  </sheetPr>
  <dimension ref="A2:F8"/>
  <sheetViews>
    <sheetView workbookViewId="0"/>
  </sheetViews>
  <sheetFormatPr defaultRowHeight="15" x14ac:dyDescent="0.25"/>
  <cols>
    <col min="1" max="1" width="23" bestFit="1" customWidth="1"/>
    <col min="2" max="2" width="21.140625" bestFit="1" customWidth="1"/>
    <col min="3" max="3" width="21.42578125" bestFit="1" customWidth="1"/>
    <col min="4" max="4" width="23.85546875" bestFit="1" customWidth="1"/>
    <col min="5" max="5" width="35.85546875" bestFit="1" customWidth="1"/>
    <col min="6" max="6" width="9.140625" style="101"/>
  </cols>
  <sheetData>
    <row r="2" spans="1:6" x14ac:dyDescent="0.25">
      <c r="A2" s="100" t="s">
        <v>253</v>
      </c>
      <c r="B2" s="100" t="s">
        <v>254</v>
      </c>
      <c r="C2" s="100" t="s">
        <v>255</v>
      </c>
      <c r="D2" s="100" t="s">
        <v>95</v>
      </c>
      <c r="E2" s="100" t="s">
        <v>97</v>
      </c>
    </row>
    <row r="3" spans="1:6" x14ac:dyDescent="0.25">
      <c r="A3" t="s">
        <v>256</v>
      </c>
      <c r="B3" t="s">
        <v>257</v>
      </c>
      <c r="C3" t="s">
        <v>258</v>
      </c>
      <c r="D3" t="s">
        <v>259</v>
      </c>
      <c r="E3" t="s">
        <v>96</v>
      </c>
      <c r="F3" s="101" t="s">
        <v>260</v>
      </c>
    </row>
    <row r="4" spans="1:6" x14ac:dyDescent="0.25">
      <c r="A4" t="s">
        <v>261</v>
      </c>
      <c r="B4" t="s">
        <v>257</v>
      </c>
      <c r="C4" t="s">
        <v>227</v>
      </c>
      <c r="D4" t="s">
        <v>96</v>
      </c>
      <c r="E4" t="s">
        <v>96</v>
      </c>
    </row>
    <row r="5" spans="1:6" x14ac:dyDescent="0.25">
      <c r="A5" t="s">
        <v>262</v>
      </c>
      <c r="B5" t="s">
        <v>257</v>
      </c>
      <c r="C5" t="s">
        <v>227</v>
      </c>
      <c r="D5" t="s">
        <v>96</v>
      </c>
      <c r="E5" t="s">
        <v>96</v>
      </c>
    </row>
    <row r="8" spans="1:6" x14ac:dyDescent="0.25">
      <c r="A8" t="s">
        <v>263</v>
      </c>
      <c r="B8">
        <v>254.51</v>
      </c>
      <c r="C8" t="s">
        <v>135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theme="9" tint="-0.249977111117893"/>
  </sheetPr>
  <dimension ref="A1:I76"/>
  <sheetViews>
    <sheetView topLeftCell="A9" workbookViewId="0">
      <selection activeCell="E37" sqref="E37"/>
    </sheetView>
  </sheetViews>
  <sheetFormatPr defaultColWidth="9.140625" defaultRowHeight="12.75" x14ac:dyDescent="0.25"/>
  <cols>
    <col min="1" max="1" width="22" style="214" bestFit="1" customWidth="1"/>
    <col min="2" max="2" width="14" style="214" bestFit="1" customWidth="1"/>
    <col min="3" max="3" width="13.42578125" style="214" bestFit="1" customWidth="1"/>
    <col min="4" max="4" width="19.7109375" style="214" bestFit="1" customWidth="1"/>
    <col min="5" max="5" width="17.42578125" style="214" customWidth="1"/>
    <col min="6" max="6" width="9.140625" style="214"/>
    <col min="7" max="7" width="9.140625" style="240" customWidth="1"/>
    <col min="8" max="8" width="9.140625" style="214" customWidth="1"/>
    <col min="9" max="16384" width="9.140625" style="214"/>
  </cols>
  <sheetData>
    <row r="1" spans="1:7" x14ac:dyDescent="0.25">
      <c r="A1" s="256" t="s">
        <v>0</v>
      </c>
      <c r="B1" s="266">
        <f>CustomerName</f>
        <v>0</v>
      </c>
      <c r="C1" s="266"/>
      <c r="D1" s="266"/>
      <c r="E1" s="267"/>
      <c r="F1" s="240"/>
    </row>
    <row r="2" spans="1:7" x14ac:dyDescent="0.25">
      <c r="A2" s="258" t="s">
        <v>22</v>
      </c>
      <c r="B2" s="268">
        <f>SalesOrderNumber</f>
        <v>0</v>
      </c>
      <c r="C2" s="268"/>
      <c r="D2" s="268"/>
      <c r="E2" s="269"/>
      <c r="F2" s="211"/>
      <c r="G2" s="211"/>
    </row>
    <row r="3" spans="1:7" x14ac:dyDescent="0.25">
      <c r="A3" s="258" t="s">
        <v>23</v>
      </c>
      <c r="B3" s="268">
        <f>PurchaseOrderNumber</f>
        <v>0</v>
      </c>
      <c r="C3" s="268"/>
      <c r="D3" s="268"/>
      <c r="E3" s="270"/>
      <c r="F3" s="240"/>
      <c r="G3" s="271"/>
    </row>
    <row r="4" spans="1:7" x14ac:dyDescent="0.25">
      <c r="A4" s="260" t="s">
        <v>844</v>
      </c>
      <c r="B4" s="268"/>
      <c r="C4" s="268"/>
      <c r="D4" s="268"/>
      <c r="E4" s="270"/>
      <c r="F4" s="240"/>
      <c r="G4" s="271"/>
    </row>
    <row r="5" spans="1:7" x14ac:dyDescent="0.25">
      <c r="A5" s="260" t="s">
        <v>845</v>
      </c>
      <c r="B5" s="268"/>
      <c r="C5" s="268"/>
      <c r="D5" s="268"/>
      <c r="E5" s="270"/>
      <c r="F5" s="240"/>
      <c r="G5" s="271"/>
    </row>
    <row r="6" spans="1:7" x14ac:dyDescent="0.25">
      <c r="A6" s="258" t="s">
        <v>24</v>
      </c>
      <c r="B6" s="307"/>
      <c r="C6" s="307"/>
      <c r="D6" s="307"/>
      <c r="E6" s="308"/>
      <c r="F6" s="211"/>
      <c r="G6" s="211"/>
    </row>
    <row r="7" spans="1:7" x14ac:dyDescent="0.25">
      <c r="A7" s="258" t="s">
        <v>25</v>
      </c>
      <c r="B7" s="310"/>
      <c r="C7" s="310"/>
      <c r="D7" s="310"/>
      <c r="E7" s="311"/>
      <c r="F7" s="240"/>
    </row>
    <row r="8" spans="1:7" x14ac:dyDescent="0.25">
      <c r="A8" s="258" t="s">
        <v>26</v>
      </c>
      <c r="B8" s="310"/>
      <c r="C8" s="310"/>
      <c r="D8" s="310"/>
      <c r="E8" s="311"/>
      <c r="F8" s="240"/>
    </row>
    <row r="9" spans="1:7" x14ac:dyDescent="0.25">
      <c r="A9" s="209"/>
      <c r="B9" s="30"/>
      <c r="C9" s="30"/>
      <c r="D9" s="30"/>
      <c r="E9" s="210"/>
      <c r="F9" s="240"/>
    </row>
    <row r="10" spans="1:7" x14ac:dyDescent="0.25">
      <c r="A10" s="316" t="s">
        <v>861</v>
      </c>
      <c r="B10" s="278" t="s">
        <v>962</v>
      </c>
      <c r="C10" s="278"/>
      <c r="D10" s="314"/>
      <c r="E10" s="315"/>
      <c r="F10" s="240"/>
    </row>
    <row r="11" spans="1:7" x14ac:dyDescent="0.25">
      <c r="A11" s="316"/>
      <c r="B11" s="371" t="s">
        <v>862</v>
      </c>
      <c r="C11" s="371"/>
      <c r="D11" s="314"/>
      <c r="E11" s="315"/>
      <c r="F11" s="240"/>
    </row>
    <row r="12" spans="1:7" x14ac:dyDescent="0.25">
      <c r="A12" s="279" t="s">
        <v>27</v>
      </c>
      <c r="B12" s="280">
        <f>IF(TB_FS_select="Y", VLOOKUP(B18, 'TB PED Data'!D50:E117, 2, 0), TB_PT_select)</f>
        <v>24</v>
      </c>
      <c r="C12" s="30" t="s">
        <v>963</v>
      </c>
      <c r="D12" s="30"/>
      <c r="E12" s="110"/>
      <c r="F12" s="240"/>
    </row>
    <row r="13" spans="1:7" x14ac:dyDescent="0.25">
      <c r="A13" s="368"/>
      <c r="B13" s="369"/>
      <c r="C13" s="369"/>
      <c r="D13" s="369"/>
      <c r="E13" s="370"/>
      <c r="F13" s="240"/>
    </row>
    <row r="14" spans="1:7" x14ac:dyDescent="0.25">
      <c r="A14" s="205" t="s">
        <v>28</v>
      </c>
      <c r="B14" s="240"/>
      <c r="C14" s="240"/>
      <c r="D14" s="204" t="s">
        <v>29</v>
      </c>
      <c r="E14" s="110"/>
      <c r="F14" s="240"/>
    </row>
    <row r="15" spans="1:7" x14ac:dyDescent="0.25">
      <c r="A15" s="252" t="s">
        <v>30</v>
      </c>
      <c r="B15" s="253">
        <v>411</v>
      </c>
      <c r="C15" s="240"/>
      <c r="D15" s="254" t="s">
        <v>32</v>
      </c>
      <c r="E15" s="255" t="str">
        <f>IF(OR(TB_PIPEID&lt;=120, AND(TB_MIS_Bidirectional="Yes", TB_MIS_PipeID&lt;400)), "4 holes", IF(TB_PIPEID&gt;=1200, "8 holes", "6 holes"))</f>
        <v>8 holes</v>
      </c>
      <c r="F15" s="240"/>
    </row>
    <row r="16" spans="1:7" x14ac:dyDescent="0.25">
      <c r="A16" s="252" t="s">
        <v>33</v>
      </c>
      <c r="B16" s="253">
        <v>1200</v>
      </c>
      <c r="C16" s="240"/>
      <c r="D16" s="254" t="s">
        <v>34</v>
      </c>
      <c r="E16" s="255">
        <f>VLOOKUP(B15, 'TB Model Data'!A14:B47, 2, 0)+VLOOKUP(TB_MIS_CoolingFins,'TB Calculation Data'!$C$137:$D$138,2,FALSE)+IF(TB_NRT_select="Y", VLOOKUP(TB_MIS_THREADEDFLANGE, 'TB Calculation Data'!C145:D146, 2, FALSE), 0)+IF(TB_FLANGET&gt;=60, _xlfn.CEILING.MATH(TB_FLANGET-60, 20), 0)</f>
        <v>120</v>
      </c>
      <c r="F16" s="240"/>
      <c r="G16" s="214"/>
    </row>
    <row r="17" spans="1:7" x14ac:dyDescent="0.25">
      <c r="A17" s="252" t="s">
        <v>35</v>
      </c>
      <c r="B17" s="253">
        <v>6</v>
      </c>
      <c r="C17" s="240"/>
      <c r="D17" s="254" t="s">
        <v>36</v>
      </c>
      <c r="E17" s="255">
        <f>VLOOKUP(B15, 'TB Model Data'!A14:D47, 3, 0)</f>
        <v>1.5</v>
      </c>
      <c r="G17" s="214"/>
    </row>
    <row r="18" spans="1:7" x14ac:dyDescent="0.25">
      <c r="A18" s="252" t="s">
        <v>37</v>
      </c>
      <c r="B18" s="253" t="s">
        <v>198</v>
      </c>
      <c r="C18" s="240"/>
      <c r="D18" s="254" t="s">
        <v>384</v>
      </c>
      <c r="E18" s="255">
        <f>IF(TB_FS_select="Y", VLOOKUP(B19, 'TB Calculation Data'!E125:F128, 2, 0), 0)</f>
        <v>1.5</v>
      </c>
      <c r="G18" s="214"/>
    </row>
    <row r="19" spans="1:7" x14ac:dyDescent="0.25">
      <c r="A19" s="252" t="s">
        <v>40</v>
      </c>
      <c r="B19" s="253" t="s">
        <v>220</v>
      </c>
      <c r="C19" s="240"/>
      <c r="D19" s="254" t="s">
        <v>41</v>
      </c>
      <c r="E19" s="255">
        <f>IF(TB_FS_select="Y", IF('TB Calculation Data'!B155="Yes", 'TB Calculation Data'!C155, VLOOKUP(B18, 'TB Calculation Data'!B5:C93, 2, 0)), 0)</f>
        <v>95</v>
      </c>
      <c r="G19" s="214"/>
    </row>
    <row r="20" spans="1:7" x14ac:dyDescent="0.25">
      <c r="A20" s="252" t="s">
        <v>427</v>
      </c>
      <c r="B20" s="253" t="s">
        <v>242</v>
      </c>
      <c r="C20" s="240"/>
      <c r="D20" s="254" t="s">
        <v>428</v>
      </c>
      <c r="E20" s="255">
        <f>IF(TB_MIS_IsoValve="user supplied", TB_CalcData_IsoValLen_Value_mm, IF('TB Calculation Data'!B156="Yes", 'TB Calculation Data'!C156, VLOOKUP(B20, 'TB Calculation Data'!C97:D113, 2, 0)))</f>
        <v>0</v>
      </c>
      <c r="G20" s="214"/>
    </row>
    <row r="21" spans="1:7" x14ac:dyDescent="0.25">
      <c r="A21" s="252" t="s">
        <v>429</v>
      </c>
      <c r="B21" s="253" t="s">
        <v>441</v>
      </c>
      <c r="C21" s="240"/>
      <c r="D21" s="254" t="s">
        <v>44</v>
      </c>
      <c r="E21" s="255">
        <f>IF(TB_FS_select="Y", VLOOKUP(B18, 'TB Calculation Data'!B5:D93, 3, 0), 0)</f>
        <v>15.9</v>
      </c>
      <c r="F21" s="240"/>
      <c r="G21" s="214"/>
    </row>
    <row r="22" spans="1:7" x14ac:dyDescent="0.25">
      <c r="A22" s="252" t="s">
        <v>430</v>
      </c>
      <c r="B22" s="253" t="s">
        <v>186</v>
      </c>
      <c r="C22" s="240" t="str">
        <f>IF(TB_MIS_EndSupport='TB Calculation Data'!D120,"(sp = internal)",IF(TB_MIS_EndSupport='TB Calculation Data'!D121,"std=external"," "))</f>
        <v xml:space="preserve"> </v>
      </c>
      <c r="D22" s="254" t="s">
        <v>45</v>
      </c>
      <c r="E22" s="255">
        <f>IF(TB_ES_select="Y", VLOOKUP(B21, 'TB Calculation Data'!D118:E121, 2, 0), 0) + IF(TB_MIS_BAYONET="Yes", 35, 0)</f>
        <v>0</v>
      </c>
      <c r="G22" s="214"/>
    </row>
    <row r="23" spans="1:7" x14ac:dyDescent="0.25">
      <c r="A23" s="252" t="s">
        <v>857</v>
      </c>
      <c r="B23" s="253" t="s">
        <v>186</v>
      </c>
      <c r="C23" s="240"/>
      <c r="D23" s="254" t="s">
        <v>431</v>
      </c>
      <c r="E23" s="255">
        <f>IF(VLOOKUP(B15, 'TB Model Data'!A14:J47, 10, 0)="N", 0, IF(B22="Yes", VLOOKUP(B22, 'TB Calculation Data'!C133:D134, 2, 0), 0))</f>
        <v>0</v>
      </c>
      <c r="G23" s="214"/>
    </row>
    <row r="24" spans="1:7" x14ac:dyDescent="0.25">
      <c r="A24" s="281" t="s">
        <v>855</v>
      </c>
      <c r="B24" s="253" t="s">
        <v>186</v>
      </c>
      <c r="C24" s="240"/>
      <c r="D24" s="30"/>
      <c r="E24" s="218"/>
      <c r="G24" s="214"/>
    </row>
    <row r="25" spans="1:7" x14ac:dyDescent="0.25">
      <c r="A25" s="281" t="s">
        <v>874</v>
      </c>
      <c r="B25" s="253" t="s">
        <v>186</v>
      </c>
      <c r="C25" s="240"/>
      <c r="D25" s="30"/>
      <c r="E25" s="218"/>
      <c r="G25" s="214"/>
    </row>
    <row r="26" spans="1:7" x14ac:dyDescent="0.25">
      <c r="A26" s="281" t="s">
        <v>979</v>
      </c>
      <c r="B26" s="253" t="s">
        <v>186</v>
      </c>
      <c r="C26" s="288"/>
      <c r="D26" s="292" t="s">
        <v>42</v>
      </c>
      <c r="E26" s="293" t="s">
        <v>186</v>
      </c>
      <c r="G26" s="214"/>
    </row>
    <row r="27" spans="1:7" x14ac:dyDescent="0.25">
      <c r="A27" s="213"/>
      <c r="B27" s="111"/>
      <c r="C27" s="111"/>
      <c r="D27" s="117"/>
      <c r="E27" s="223"/>
      <c r="G27" s="214"/>
    </row>
    <row r="28" spans="1:7" x14ac:dyDescent="0.25">
      <c r="A28" s="212"/>
      <c r="B28" s="240"/>
      <c r="C28" s="240"/>
      <c r="D28" s="240"/>
      <c r="E28" s="110"/>
      <c r="G28" s="214"/>
    </row>
    <row r="29" spans="1:7" x14ac:dyDescent="0.25">
      <c r="A29" s="206" t="s">
        <v>46</v>
      </c>
      <c r="B29" s="217"/>
      <c r="C29" s="217"/>
      <c r="D29" s="241" t="s">
        <v>47</v>
      </c>
      <c r="E29" s="218"/>
      <c r="G29" s="214"/>
    </row>
    <row r="30" spans="1:7" x14ac:dyDescent="0.25">
      <c r="A30" s="248" t="s">
        <v>48</v>
      </c>
      <c r="B30" s="249">
        <f>IF(TB_MIS_Partial="Yes",
IF(TB_HT_select="N",
TB_PIPEID+TB_WALLT+TB_NL+TB_FS+TB_GT+TB_ISOVALVE-TB_EC-C31,
(TB_PC*2)+TB_WALLT+TB_NL-TB_EC-G40),
IF(TB_HT_select="N",
IF(TB_ES_select="N",
TB_PIPEID+TB_WALLT+TB_NL+TB_FS+TB_GT+TB_ISOVALVE-TB_EC,
TB_PIPEID+TB_WALLT+TB_NL+TB_FS+TB_GT+TB_ISOVALVE-TB_EC+(TB_WALLT+TB_ES_LENGTH+TB_GT_two)),
(TB_PC*2)+TB_WALLT+TB_NL-TB_EC+IF(NOT(B34="N/A"), -B34, 0)))</f>
        <v>1421</v>
      </c>
      <c r="C30" s="290">
        <f>IF((TB_PIPEID*(1-'TB Model Data'!F9))+25&gt;IF(TB_Series_select=4, 1400, 2000),
IF(TB_Series_select=4, 1400, 2000),
(TB_PIPEID*(1-'TB Model Data'!F9))+25)</f>
        <v>466.00000000000006</v>
      </c>
      <c r="D30" s="285" t="s">
        <v>49</v>
      </c>
      <c r="E30" s="246">
        <f>IF(TB_HT_select="N",IF(TB_FS_select="Y",TB_NL+TB_GT+TB_FS+TB_WALLT,"N/A"),"N/A")</f>
        <v>222.5</v>
      </c>
      <c r="G30" s="214"/>
    </row>
    <row r="31" spans="1:7" x14ac:dyDescent="0.25">
      <c r="A31" s="248" t="s">
        <v>50</v>
      </c>
      <c r="B31" s="282">
        <f>IF(TB_MIS_Bidirectional="Yes", "N/A", TB_A_Length-TB_I_Dim+TB_EC+IF(TB_Series_select=3,20,0)+IF(TB_MIS_ModelType="H611", B34+10, 0))</f>
        <v>824</v>
      </c>
      <c r="C31" s="290">
        <f>TB_PIPEID-C30</f>
        <v>734</v>
      </c>
      <c r="D31" s="285" t="s">
        <v>51</v>
      </c>
      <c r="E31" s="246" t="str">
        <f>IF(TB_HT_select="N",IF(TB_ES_select="Y",TB_ES_LENGTH+TB_GT_two+TB_WALLT,"N/A"),"N/A")</f>
        <v>N/A</v>
      </c>
      <c r="G31" s="214"/>
    </row>
    <row r="32" spans="1:7" x14ac:dyDescent="0.25">
      <c r="A32" s="248" t="s">
        <v>52</v>
      </c>
      <c r="B32" s="282">
        <f>IF(OR(TB_NRT_select="Y", TB_MIS_Bidirectional="Yes"),"N/A",IF(OR(TB_Series_select=3,TB_Series_select=6),"N/A",TB_J_Length+10))</f>
        <v>834</v>
      </c>
      <c r="C32" s="217"/>
      <c r="D32" s="285" t="s">
        <v>53</v>
      </c>
      <c r="E32" s="246">
        <f>IF(TB_HT_select="N",IF(TB_FS_select="Y",TB_A_Length-TB_NL,"N/A"),"N/A")</f>
        <v>1301</v>
      </c>
      <c r="G32" s="214"/>
    </row>
    <row r="33" spans="1:9" x14ac:dyDescent="0.25">
      <c r="A33" s="248" t="s">
        <v>856</v>
      </c>
      <c r="B33" s="282" t="str">
        <f>IF(TB_MIS_Bidirectional="No", "N/A", TB_A_Length+1.5-TB_B_Dim+IF(TB_MIS_EndSupport="Not Required", 0, 20))</f>
        <v>N/A</v>
      </c>
      <c r="C33" s="217"/>
      <c r="D33" s="217"/>
      <c r="E33" s="236"/>
      <c r="G33" s="214"/>
    </row>
    <row r="34" spans="1:9" x14ac:dyDescent="0.25">
      <c r="A34" s="283" t="s">
        <v>877</v>
      </c>
      <c r="B34" s="284" t="str">
        <f>IF(TB_MIS_ModelType="H611", TB_MIS_PipeID+TB_MIS_WallThickness+30, "N/A")</f>
        <v>N/A</v>
      </c>
      <c r="C34" s="237" t="str">
        <f>IF(NOT(B34="N/A"), "Cut 300 mm of pipe for machining purposes.", "")</f>
        <v/>
      </c>
      <c r="D34" s="217"/>
      <c r="E34" s="236"/>
      <c r="G34" s="214"/>
    </row>
    <row r="35" spans="1:9" x14ac:dyDescent="0.25">
      <c r="A35" s="216"/>
      <c r="B35" s="217"/>
      <c r="C35" s="217"/>
      <c r="D35" s="217"/>
      <c r="E35" s="218"/>
      <c r="G35" s="214"/>
    </row>
    <row r="36" spans="1:9" x14ac:dyDescent="0.25">
      <c r="A36" s="206" t="s">
        <v>54</v>
      </c>
      <c r="B36" s="217"/>
      <c r="C36" s="217"/>
      <c r="D36" s="366" t="s">
        <v>960</v>
      </c>
      <c r="E36" s="367"/>
      <c r="G36" s="214"/>
    </row>
    <row r="37" spans="1:9" x14ac:dyDescent="0.25">
      <c r="A37" s="248" t="s">
        <v>56</v>
      </c>
      <c r="B37" s="250" t="str">
        <f>IF(TB_NRT_select="Y",TB_Fin_TW+10,"N/A")</f>
        <v>N/A</v>
      </c>
      <c r="C37" s="217"/>
      <c r="D37" s="285" t="s">
        <v>57</v>
      </c>
      <c r="E37" s="246">
        <f>IF(TB_MIS_Partial="Yes","N/A",(TB_PIPEID*'TB Model Data'!B$9-TB_EC)+IF(TB_ES_select="Y",TB_WALLT+TB_ES_LENGTH+TB_GT_two,0))</f>
        <v>39.300000000000004</v>
      </c>
      <c r="G37" s="214"/>
    </row>
    <row r="38" spans="1:9" x14ac:dyDescent="0.25">
      <c r="A38" s="248" t="s">
        <v>58</v>
      </c>
      <c r="B38" s="250" t="str">
        <f>IF(TB_NRT_select="Y",(TB_A_Length-TB_AverageNRT-216),"N/A")</f>
        <v>N/A</v>
      </c>
      <c r="C38" s="217"/>
      <c r="D38" s="285" t="s">
        <v>59</v>
      </c>
      <c r="E38" s="246">
        <f>IF(TB_MIS_Partial="Yes","N/A",(TB_PIPEID*'TB Model Data'!C$9-TB_EC)+IF(TB_ES_select="Y",TB_WALLT+TB_ES_LENGTH+TB_GT_two,0))</f>
        <v>108.89999999999999</v>
      </c>
      <c r="G38" s="214"/>
    </row>
    <row r="39" spans="1:9" x14ac:dyDescent="0.25">
      <c r="A39" s="248" t="s">
        <v>60</v>
      </c>
      <c r="B39" s="250" t="str">
        <f>IF(TB_NRT_select="Y",TB_Fin_TW+135,"N/A")</f>
        <v>N/A</v>
      </c>
      <c r="C39" s="217"/>
      <c r="D39" s="285" t="s">
        <v>61</v>
      </c>
      <c r="E39" s="246">
        <f>IF(TB_MIS_Partial="Yes","N/A",(TB_PIPEID*'TB Model Data'!D$9-TB_EC)+IF(TB_ES_select="Y",TB_WALLT+TB_ES_LENGTH+TB_GT_two,0))</f>
        <v>298.5</v>
      </c>
    </row>
    <row r="40" spans="1:9" x14ac:dyDescent="0.25">
      <c r="A40" s="220"/>
      <c r="B40" s="217"/>
      <c r="C40" s="217"/>
      <c r="D40" s="285" t="s">
        <v>385</v>
      </c>
      <c r="E40" s="246">
        <f>IF(TB_MIS_Partial="Yes","N/A",(TB_PIPEID*'TB Model Data'!E$9-TB_EC)+IF(TB_ES_select="Y",TB_WALLT+TB_ES_LENGTH+TB_GT_two,0))</f>
        <v>439.5</v>
      </c>
      <c r="G40" s="291">
        <f>TB_MIS_PipeID-G41</f>
        <v>1201.5</v>
      </c>
    </row>
    <row r="41" spans="1:9" x14ac:dyDescent="0.25">
      <c r="A41" s="206" t="s">
        <v>432</v>
      </c>
      <c r="B41" s="217"/>
      <c r="C41" s="217"/>
      <c r="D41" s="285" t="s">
        <v>63</v>
      </c>
      <c r="E41" s="246">
        <f>IF(TB_MIS_Partial="Yes",
IF('TB Model Data'!F$9=0,"N/A",(TB_PIPEID*'TB Model Data'!F$9))-C31,
IF('TB Model Data'!F$9=0,"N/A",(TB_PIPEID*'TB Model Data'!F$9)+IF(TB_ES_select="Y",TB_WALLT+TB_ES_LENGTH+TB_GT_two,0)-TB_EC))</f>
        <v>757.49999999999989</v>
      </c>
      <c r="G41" s="291">
        <f>(TB_PIPEID*'TB Model Data'!Q$9)+IF(TB_ES_select="Y",TB_WALLT+TB_ES_LENGTH+TB_GT_two,0)-TB_EC</f>
        <v>-1.5</v>
      </c>
    </row>
    <row r="42" spans="1:9" x14ac:dyDescent="0.25">
      <c r="A42" s="248" t="s">
        <v>433</v>
      </c>
      <c r="B42" s="249" t="str">
        <f>IF(TB_HT_select="N","N/A",VLOOKUP(B15,'TB Model Data'!A30:H47,8,0))</f>
        <v>N/A</v>
      </c>
      <c r="C42" s="217"/>
      <c r="D42" s="285" t="s">
        <v>64</v>
      </c>
      <c r="E42" s="246">
        <f>IF(TB_MIS_Partial="Yes",
IF('TB Model Data'!G$9=0,"N/A",(TB_PIPEID*'TB Model Data'!G$9))-C31,
IF('TB Model Data'!G$9=0,"N/A",(TB_PIPEID*'TB Model Data'!G$9)+IF(TB_ES_select="Y",TB_WALLT+TB_ES_LENGTH+TB_GT_two,0)-TB_EC))</f>
        <v>898.5</v>
      </c>
    </row>
    <row r="43" spans="1:9" x14ac:dyDescent="0.25">
      <c r="A43" s="248" t="s">
        <v>434</v>
      </c>
      <c r="B43" s="249" t="str">
        <f>IF(TB_HT_select="N","N/A",IF(TB_HT_select="T",(TB_MIS_PipeID+IF(TB_W_Dim="N/A",0,TB_W_Dim)+VLOOKUP(TB_MIS_ModelType,'TB Model Data'!A30:H47,5,0)),(TB_GT+TB_ISOVALVE+TB_GT+TB_FS+TB_WALLT+TB_PIPEID+(VLOOKUP(B15,'TB Model Data'!A30:H47,5,0)+TB_GR_Length+IF(TB_ES_select="Y",TB_WALLT+TB_ES_LENGTH+TB_GT_two,0)))))</f>
        <v>N/A</v>
      </c>
      <c r="C43" s="217"/>
      <c r="D43" s="285" t="s">
        <v>65</v>
      </c>
      <c r="E43" s="246">
        <f>IF(TB_MIS_Partial="Yes",
IF('TB Model Data'!H$9=0,"N/A",(TB_PIPEID*'TB Model Data'!H$9))-C31,
IF('TB Model Data'!H$9=0,"N/A",(TB_PIPEID*'TB Model Data'!H$9)+IF(TB_ES_select="Y",TB_WALLT+TB_ES_LENGTH+TB_GT_two,0)-TB_EC))</f>
        <v>1088.1000000000001</v>
      </c>
    </row>
    <row r="44" spans="1:9" x14ac:dyDescent="0.25">
      <c r="A44" s="248" t="s">
        <v>435</v>
      </c>
      <c r="B44" s="249" t="str">
        <f>IF(TB_HT_select="N","N/A",VLOOKUP(B15,'TB Model Data'!A30:H47,6,0))</f>
        <v>N/A</v>
      </c>
      <c r="C44" s="237" t="s">
        <v>436</v>
      </c>
      <c r="D44" s="285" t="s">
        <v>66</v>
      </c>
      <c r="E44" s="246">
        <f>IF(TB_MIS_Partial="Yes",
IF('TB Model Data'!I$9=0,"N/A",(TB_PIPEID*'TB Model Data'!I$9))-C31,
IF('TB Model Data'!I$9=0,"N/A",(TB_PIPEID*'TB Model Data'!I$9)+IF(TB_ES_select="Y",TB_WALLT+TB_ES_LENGTH+TB_GT_two,0)-TB_EC))</f>
        <v>1157.7</v>
      </c>
      <c r="H44" s="240"/>
      <c r="I44" s="240"/>
    </row>
    <row r="45" spans="1:9" x14ac:dyDescent="0.25">
      <c r="A45" s="248" t="s">
        <v>437</v>
      </c>
      <c r="B45" s="249" t="str">
        <f>IF(TB_HT_select="N","N/A",(VLOOKUP(B15,'TB Model Data'!A30:H47,7,0)+IF(TB_MIS_GearRetract="Yes",80,0)))</f>
        <v>N/A</v>
      </c>
      <c r="C45" s="237" t="s">
        <v>436</v>
      </c>
      <c r="D45" s="285" t="s">
        <v>67</v>
      </c>
      <c r="E45" s="246">
        <f>IF(TB_MIS_Bidirectional="Yes", "N/A",
IF(TB_MIS_Partial="Yes",
((C30)/2)+TB_EC,
(TB_PIPEID*'TB Model Data'!A$9)+IF(TB_ES_select="Y",TB_WALLT+TB_ES_LENGTH+TB_GT_two,0)-TB_EC))</f>
        <v>598.5</v>
      </c>
    </row>
    <row r="46" spans="1:9" x14ac:dyDescent="0.25">
      <c r="A46" s="221"/>
      <c r="B46" s="222"/>
      <c r="C46" s="222"/>
      <c r="D46" s="222"/>
      <c r="E46" s="223"/>
    </row>
    <row r="47" spans="1:9" x14ac:dyDescent="0.25">
      <c r="A47" s="240"/>
      <c r="B47" s="240"/>
      <c r="C47" s="240"/>
      <c r="D47" s="240"/>
      <c r="E47" s="240"/>
      <c r="F47" s="240"/>
      <c r="G47" s="214"/>
    </row>
    <row r="48" spans="1:9" s="277" customFormat="1" x14ac:dyDescent="0.2">
      <c r="A48" s="205" t="s">
        <v>28</v>
      </c>
      <c r="B48" s="240"/>
      <c r="C48" s="240"/>
      <c r="D48" s="238"/>
      <c r="E48" s="239"/>
      <c r="H48" s="238"/>
    </row>
    <row r="49" spans="1:8" s="277" customFormat="1" x14ac:dyDescent="0.2">
      <c r="A49" s="252" t="s">
        <v>30</v>
      </c>
      <c r="B49" s="249">
        <v>121</v>
      </c>
      <c r="C49" s="240"/>
      <c r="D49" s="238"/>
      <c r="E49" s="239"/>
      <c r="F49" s="118"/>
      <c r="H49" s="238"/>
    </row>
    <row r="50" spans="1:8" s="277" customFormat="1" x14ac:dyDescent="0.2">
      <c r="A50" s="252" t="s">
        <v>438</v>
      </c>
      <c r="B50" s="249" t="s">
        <v>666</v>
      </c>
      <c r="C50" s="240"/>
      <c r="D50" s="238"/>
      <c r="E50" s="239"/>
      <c r="H50" s="238"/>
    </row>
    <row r="51" spans="1:8" s="277" customFormat="1" x14ac:dyDescent="0.2">
      <c r="A51" s="252" t="s">
        <v>33</v>
      </c>
      <c r="B51" s="249">
        <v>40.9</v>
      </c>
      <c r="C51" s="240"/>
      <c r="D51" s="238"/>
      <c r="E51" s="239"/>
      <c r="H51" s="238"/>
    </row>
    <row r="52" spans="1:8" s="277" customFormat="1" x14ac:dyDescent="0.2">
      <c r="A52" s="252" t="s">
        <v>35</v>
      </c>
      <c r="B52" s="249">
        <v>3.68</v>
      </c>
      <c r="C52" s="240"/>
      <c r="D52" s="238"/>
      <c r="E52" s="239"/>
      <c r="H52" s="238"/>
    </row>
    <row r="53" spans="1:8" s="277" customFormat="1" x14ac:dyDescent="0.2">
      <c r="A53" s="252" t="s">
        <v>440</v>
      </c>
      <c r="B53" s="249" t="s">
        <v>441</v>
      </c>
      <c r="C53" s="240"/>
      <c r="D53" s="30"/>
      <c r="E53" s="218"/>
      <c r="H53" s="238"/>
    </row>
    <row r="54" spans="1:8" s="277" customFormat="1" x14ac:dyDescent="0.2">
      <c r="A54" s="252" t="s">
        <v>37</v>
      </c>
      <c r="B54" s="249" t="s">
        <v>242</v>
      </c>
      <c r="C54" s="240"/>
      <c r="D54" s="30"/>
      <c r="E54" s="218"/>
      <c r="H54" s="238"/>
    </row>
    <row r="55" spans="1:8" s="277" customFormat="1" x14ac:dyDescent="0.2">
      <c r="A55" s="212"/>
      <c r="B55" s="240"/>
      <c r="C55" s="240"/>
      <c r="D55" s="240"/>
      <c r="E55" s="110"/>
      <c r="H55" s="238"/>
    </row>
    <row r="56" spans="1:8" s="277" customFormat="1" x14ac:dyDescent="0.2">
      <c r="A56" s="205" t="s">
        <v>29</v>
      </c>
      <c r="B56" s="240"/>
      <c r="C56" s="240"/>
      <c r="D56" s="240"/>
      <c r="E56" s="110"/>
      <c r="H56" s="238"/>
    </row>
    <row r="57" spans="1:8" s="277" customFormat="1" x14ac:dyDescent="0.2">
      <c r="A57" s="252" t="s">
        <v>32</v>
      </c>
      <c r="B57" s="249">
        <f>VLOOKUP(B50,TB_Dims,9,0)</f>
        <v>4</v>
      </c>
      <c r="C57" s="240"/>
      <c r="D57" s="240"/>
      <c r="E57" s="110"/>
      <c r="H57" s="238"/>
    </row>
    <row r="58" spans="1:8" s="277" customFormat="1" x14ac:dyDescent="0.2">
      <c r="A58" s="252" t="s">
        <v>442</v>
      </c>
      <c r="B58" s="249" t="str">
        <f>VLOOKUP(B50,TB_Dims,10,0)</f>
        <v>1/32"</v>
      </c>
      <c r="C58" s="240"/>
      <c r="D58" s="240"/>
      <c r="E58" s="110"/>
      <c r="H58" s="238"/>
    </row>
    <row r="59" spans="1:8" s="277" customFormat="1" x14ac:dyDescent="0.2">
      <c r="A59" s="252" t="s">
        <v>443</v>
      </c>
      <c r="B59" s="249" t="str">
        <f>VLOOKUP(B50,TB_Dims,8,0)</f>
        <v>1/4"</v>
      </c>
      <c r="C59" s="240"/>
      <c r="D59" s="240"/>
      <c r="E59" s="110"/>
      <c r="H59" s="238"/>
    </row>
    <row r="60" spans="1:8" s="277" customFormat="1" x14ac:dyDescent="0.2">
      <c r="A60" s="252" t="s">
        <v>44</v>
      </c>
      <c r="B60" s="249" t="str">
        <f>IF(B54="Not Required","N/A",VLOOKUP(B54,'TB Model Data 100'!A54:L78,6,FALSE))</f>
        <v>N/A</v>
      </c>
      <c r="C60" s="30" t="s">
        <v>135</v>
      </c>
      <c r="D60" s="240"/>
      <c r="E60" s="110"/>
      <c r="H60" s="238"/>
    </row>
    <row r="61" spans="1:8" s="277" customFormat="1" x14ac:dyDescent="0.2">
      <c r="A61" s="212"/>
      <c r="B61" s="240"/>
      <c r="C61" s="240"/>
      <c r="D61" s="240"/>
      <c r="E61" s="110"/>
      <c r="H61" s="238"/>
    </row>
    <row r="62" spans="1:8" s="277" customFormat="1" x14ac:dyDescent="0.2">
      <c r="A62" s="212"/>
      <c r="B62" s="240"/>
      <c r="C62" s="240"/>
      <c r="D62" s="240"/>
      <c r="E62" s="110"/>
      <c r="H62" s="238"/>
    </row>
    <row r="63" spans="1:8" s="277" customFormat="1" x14ac:dyDescent="0.2">
      <c r="A63" s="206" t="s">
        <v>46</v>
      </c>
      <c r="B63" s="217"/>
      <c r="C63" s="217"/>
      <c r="D63" s="238"/>
      <c r="E63" s="239"/>
      <c r="H63" s="238"/>
    </row>
    <row r="64" spans="1:8" s="277" customFormat="1" x14ac:dyDescent="0.2">
      <c r="A64" s="248" t="s">
        <v>48</v>
      </c>
      <c r="B64" s="249">
        <f>VLOOKUP(B50,TB_Dims,4,0)</f>
        <v>300</v>
      </c>
      <c r="C64" s="217"/>
      <c r="D64" s="238"/>
      <c r="E64" s="239"/>
      <c r="H64" s="238"/>
    </row>
    <row r="65" spans="1:8" s="277" customFormat="1" x14ac:dyDescent="0.2">
      <c r="A65" s="216"/>
      <c r="B65" s="217"/>
      <c r="C65" s="217"/>
      <c r="D65" s="238"/>
      <c r="E65" s="239"/>
      <c r="H65" s="238"/>
    </row>
    <row r="66" spans="1:8" s="277" customFormat="1" x14ac:dyDescent="0.2">
      <c r="A66" s="206" t="s">
        <v>47</v>
      </c>
      <c r="B66" s="217"/>
      <c r="C66" s="217"/>
      <c r="D66" s="217"/>
      <c r="E66" s="218"/>
      <c r="H66" s="238"/>
    </row>
    <row r="67" spans="1:8" s="277" customFormat="1" x14ac:dyDescent="0.2">
      <c r="A67" s="286" t="s">
        <v>57</v>
      </c>
      <c r="B67" s="250">
        <f>VLOOKUP(B50,TB_Dims,5,0)</f>
        <v>175</v>
      </c>
      <c r="C67" s="217"/>
      <c r="D67" s="238"/>
      <c r="E67" s="239"/>
      <c r="H67" s="238"/>
    </row>
    <row r="68" spans="1:8" s="277" customFormat="1" x14ac:dyDescent="0.2">
      <c r="A68" s="286" t="s">
        <v>59</v>
      </c>
      <c r="B68" s="287">
        <f>VLOOKUP(B50,TB_Dims,6,0)</f>
        <v>100</v>
      </c>
      <c r="C68" s="217"/>
      <c r="D68" s="238"/>
      <c r="E68" s="239"/>
      <c r="H68" s="238"/>
    </row>
    <row r="69" spans="1:8" s="277" customFormat="1" x14ac:dyDescent="0.2">
      <c r="A69" s="216"/>
      <c r="B69" s="219"/>
      <c r="C69" s="217"/>
      <c r="D69" s="219"/>
      <c r="E69" s="239"/>
      <c r="H69" s="238"/>
    </row>
    <row r="70" spans="1:8" s="277" customFormat="1" x14ac:dyDescent="0.2">
      <c r="A70" s="206" t="s">
        <v>55</v>
      </c>
      <c r="B70" s="217"/>
      <c r="C70" s="217"/>
      <c r="D70" s="219"/>
      <c r="E70" s="239"/>
      <c r="H70" s="238"/>
    </row>
    <row r="71" spans="1:8" s="277" customFormat="1" x14ac:dyDescent="0.2">
      <c r="A71" s="286" t="s">
        <v>444</v>
      </c>
      <c r="B71" s="250">
        <f>IF(B57=2,"N/A",((B51*0.125)+B52))</f>
        <v>8.7925000000000004</v>
      </c>
      <c r="C71" s="217"/>
      <c r="D71" s="219"/>
      <c r="E71" s="239"/>
      <c r="H71" s="238"/>
    </row>
    <row r="72" spans="1:8" s="277" customFormat="1" x14ac:dyDescent="0.2">
      <c r="A72" s="286" t="s">
        <v>445</v>
      </c>
      <c r="B72" s="250">
        <f>(B51*0.3)+B52</f>
        <v>15.95</v>
      </c>
      <c r="C72" s="217"/>
      <c r="D72" s="219"/>
      <c r="E72" s="239"/>
      <c r="H72" s="238"/>
    </row>
    <row r="73" spans="1:8" s="277" customFormat="1" x14ac:dyDescent="0.2">
      <c r="A73" s="286" t="s">
        <v>446</v>
      </c>
      <c r="B73" s="250">
        <f>(B51*0.7)+B52</f>
        <v>32.309999999999995</v>
      </c>
      <c r="C73" s="217"/>
      <c r="D73" s="238"/>
      <c r="E73" s="239"/>
      <c r="H73" s="238"/>
    </row>
    <row r="74" spans="1:8" s="277" customFormat="1" x14ac:dyDescent="0.2">
      <c r="A74" s="286" t="s">
        <v>447</v>
      </c>
      <c r="B74" s="250">
        <f>IF(B57=2,"N/A",((B51*0.875)+B52))</f>
        <v>39.467500000000001</v>
      </c>
      <c r="C74" s="217"/>
      <c r="D74" s="238"/>
      <c r="E74" s="239"/>
      <c r="H74" s="238"/>
    </row>
    <row r="75" spans="1:8" s="277" customFormat="1" x14ac:dyDescent="0.2">
      <c r="A75" s="286" t="s">
        <v>64</v>
      </c>
      <c r="B75" s="250">
        <f>VLOOKUP(B50,TB_Dims,7,0)</f>
        <v>48.26</v>
      </c>
      <c r="C75" s="217"/>
      <c r="D75" s="238"/>
      <c r="E75" s="239"/>
      <c r="H75" s="238"/>
    </row>
    <row r="76" spans="1:8" s="277" customFormat="1" x14ac:dyDescent="0.2">
      <c r="A76" s="221"/>
      <c r="B76" s="222"/>
      <c r="C76" s="222"/>
      <c r="D76" s="222"/>
      <c r="E76" s="223"/>
      <c r="H76" s="238"/>
    </row>
  </sheetData>
  <mergeCells count="9">
    <mergeCell ref="D36:E36"/>
    <mergeCell ref="B6:E6"/>
    <mergeCell ref="B7:E7"/>
    <mergeCell ref="B8:E8"/>
    <mergeCell ref="A13:E13"/>
    <mergeCell ref="D10:E10"/>
    <mergeCell ref="D11:E11"/>
    <mergeCell ref="A10:A11"/>
    <mergeCell ref="B11:C11"/>
  </mergeCells>
  <conditionalFormatting sqref="A33:B33">
    <cfRule type="expression" dxfId="4" priority="3">
      <formula>$B$24="Yes"</formula>
    </cfRule>
  </conditionalFormatting>
  <dataValidations count="10">
    <dataValidation type="list" allowBlank="1" showInputMessage="1" showErrorMessage="1" sqref="B50 IX50 ST50 ACP50 AML50 AWH50 BGD50 BPZ50 BZV50 CJR50 CTN50 DDJ50 DNF50 DXB50 EGX50 EQT50 FAP50 FKL50 FUH50 GED50 GNZ50 GXV50 HHR50 HRN50 IBJ50 ILF50 IVB50 JEX50 JOT50 JYP50 KIL50 KSH50 LCD50 LLZ50 LVV50 MFR50 MPN50 MZJ50 NJF50 NTB50 OCX50 OMT50 OWP50 PGL50 PQH50 QAD50 QJZ50 QTV50 RDR50 RNN50 RXJ50 SHF50 SRB50 TAX50 TKT50 TUP50 UEL50 UOH50 UYD50 VHZ50 VRV50 WBR50 WLN50 WVJ50" xr:uid="{00000000-0002-0000-0D00-000001000000}">
      <formula1>TB_Pipe_NB</formula1>
    </dataValidation>
    <dataValidation type="list" allowBlank="1" showInputMessage="1" showErrorMessage="1" sqref="B49 IX49 ST49 ACP49 AML49 AWH49 BGD49 BPZ49 BZV49 CJR49 CTN49 DDJ49 DNF49 DXB49 EGX49 EQT49 FAP49 FKL49 FUH49 GED49 GNZ49 GXV49 HHR49 HRN49 IBJ49 ILF49 IVB49 JEX49 JOT49 JYP49 KIL49 KSH49 LCD49 LLZ49 LVV49 MFR49 MPN49 MZJ49 NJF49 NTB49 OCX49 OMT49 OWP49 PGL49 PQH49 QAD49 QJZ49 QTV49 RDR49 RNN49 RXJ49 SHF49 SRB49 TAX49 TKT49 TUP49 UEL49 UOH49 UYD49 VHZ49 VRV49 WBR49 WLN49 WVJ49" xr:uid="{00000000-0002-0000-0D00-000002000000}">
      <formula1>TB_Model</formula1>
    </dataValidation>
    <dataValidation type="list" allowBlank="1" showInputMessage="1" showErrorMessage="1" sqref="B53 IX53 ST53 ACP53 AML53 AWH53 BGD53 BPZ53 BZV53 CJR53 CTN53 DDJ53 DNF53 DXB53 EGX53 EQT53 FAP53 FKL53 FUH53 GED53 GNZ53 GXV53 HHR53 HRN53 IBJ53 ILF53 IVB53 JEX53 JOT53 JYP53 KIL53 KSH53 LCD53 LLZ53 LVV53 MFR53 MPN53 MZJ53 NJF53 NTB53 OCX53 OMT53 OWP53 PGL53 PQH53 QAD53 QJZ53 QTV53 RDR53 RNN53 RXJ53 SHF53 SRB53 TAX53 TKT53 TUP53 UEL53 UOH53 UYD53 VHZ53 VRV53 WBR53 WLN53 WVJ53" xr:uid="{00000000-0002-0000-0D00-000003000000}">
      <formula1>TB_Conn_type</formula1>
    </dataValidation>
    <dataValidation type="list" allowBlank="1" showInputMessage="1" showErrorMessage="1" sqref="B54 IX54 ST54 ACP54 AML54 AWH54 BGD54 BPZ54 BZV54 CJR54 CTN54 DDJ54 DNF54 DXB54 EGX54 EQT54 FAP54 FKL54 FUH54 GED54 GNZ54 GXV54 HHR54 HRN54 IBJ54 ILF54 IVB54 JEX54 JOT54 JYP54 KIL54 KSH54 LCD54 LLZ54 LVV54 MFR54 MPN54 MZJ54 NJF54 NTB54 OCX54 OMT54 OWP54 PGL54 PQH54 QAD54 QJZ54 QTV54 RDR54 RNN54 RXJ54 SHF54 SRB54 TAX54 TKT54 TUP54 UEL54 UOH54 UYD54 VHZ54 VRV54 WBR54 WLN54 WVJ54" xr:uid="{00000000-0002-0000-0D00-000004000000}">
      <formula1>TB_Flange_list</formula1>
    </dataValidation>
    <dataValidation type="list" allowBlank="1" showInputMessage="1" showErrorMessage="1" sqref="B20" xr:uid="{00000000-0002-0000-0D00-000005000000}">
      <formula1>TB_ISOValve_list</formula1>
    </dataValidation>
    <dataValidation type="list" allowBlank="1" showInputMessage="1" showErrorMessage="1" sqref="B19" xr:uid="{00000000-0002-0000-0D00-000006000000}">
      <formula1>TB_Gasket_list</formula1>
    </dataValidation>
    <dataValidation type="list" allowBlank="1" showInputMessage="1" showErrorMessage="1" sqref="B18" xr:uid="{00000000-0002-0000-0D00-000007000000}">
      <formula1>TB_FS_list</formula1>
    </dataValidation>
    <dataValidation type="list" allowBlank="1" showInputMessage="1" showErrorMessage="1" sqref="B21" xr:uid="{00000000-0002-0000-0D00-000008000000}">
      <formula1>TB_ES_list</formula1>
    </dataValidation>
    <dataValidation type="list" allowBlank="1" showInputMessage="1" showErrorMessage="1" sqref="B15" xr:uid="{00000000-0002-0000-0D00-000009000000}">
      <formula1>TB_Model_list</formula1>
    </dataValidation>
    <dataValidation type="list" allowBlank="1" showInputMessage="1" showErrorMessage="1" sqref="B22:B26 E26" xr:uid="{00000000-0002-0000-0D00-00000A000000}">
      <formula1>TB_GR_List</formula1>
    </dataValidation>
  </dataValidations>
  <printOptions horizontalCentered="1"/>
  <pageMargins left="0.70866141732283472" right="0.70866141732283472" top="1.17" bottom="0.74803149606299213" header="0.31496062992125984" footer="0.31496062992125984"/>
  <pageSetup orientation="portrait" r:id="rId1"/>
  <headerFooter>
    <oddHeader>&amp;C&amp;"Calibri,Regular"&amp;22FPD350 MIS&amp;R&amp;D</oddHeader>
    <oddFooter>&amp;RPage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theme="9" tint="-0.249977111117893"/>
    <pageSetUpPr fitToPage="1"/>
  </sheetPr>
  <dimension ref="A1:W30"/>
  <sheetViews>
    <sheetView topLeftCell="A2" workbookViewId="0">
      <selection sqref="A1:W1"/>
    </sheetView>
  </sheetViews>
  <sheetFormatPr defaultColWidth="9.140625" defaultRowHeight="12" x14ac:dyDescent="0.25"/>
  <cols>
    <col min="1" max="1" width="4.5703125" style="21" customWidth="1"/>
    <col min="2" max="2" width="7.42578125" style="21" customWidth="1"/>
    <col min="3" max="3" width="11.140625" style="21" customWidth="1"/>
    <col min="4" max="4" width="17" style="21" customWidth="1"/>
    <col min="5" max="5" width="8.140625" style="21" bestFit="1" customWidth="1"/>
    <col min="6" max="6" width="5.5703125" style="21" bestFit="1" customWidth="1"/>
    <col min="7" max="7" width="5.140625" style="21" bestFit="1" customWidth="1"/>
    <col min="8" max="8" width="7.7109375" style="21" bestFit="1" customWidth="1"/>
    <col min="9" max="9" width="15.28515625" style="21" customWidth="1"/>
    <col min="10" max="10" width="5.5703125" style="21" bestFit="1" customWidth="1"/>
    <col min="11" max="11" width="5.140625" style="21" bestFit="1" customWidth="1"/>
    <col min="12" max="12" width="5.5703125" style="21" bestFit="1" customWidth="1"/>
    <col min="13" max="13" width="8.28515625" style="21" customWidth="1"/>
    <col min="14" max="14" width="5.5703125" style="21" bestFit="1" customWidth="1"/>
    <col min="15" max="15" width="8.140625" style="21" customWidth="1"/>
    <col min="16" max="16" width="5.5703125" style="21" bestFit="1" customWidth="1"/>
    <col min="17" max="17" width="6.5703125" style="21" customWidth="1"/>
    <col min="18" max="18" width="4.42578125" style="21" bestFit="1" customWidth="1"/>
    <col min="19" max="19" width="8.28515625" style="21" customWidth="1"/>
    <col min="20" max="20" width="8.140625" style="21" hidden="1" customWidth="1"/>
    <col min="21" max="21" width="8.140625" style="21" customWidth="1"/>
    <col min="22" max="22" width="5.140625" style="21" hidden="1" customWidth="1"/>
    <col min="23" max="23" width="14.5703125" style="21" customWidth="1"/>
    <col min="24" max="16384" width="9.140625" style="21"/>
  </cols>
  <sheetData>
    <row r="1" spans="1:23" hidden="1" x14ac:dyDescent="0.25">
      <c r="A1" s="373" t="s">
        <v>11</v>
      </c>
      <c r="B1" s="373"/>
      <c r="C1" s="373"/>
      <c r="D1" s="373"/>
      <c r="E1" s="373"/>
      <c r="F1" s="373"/>
      <c r="G1" s="373"/>
      <c r="H1" s="373"/>
      <c r="I1" s="373"/>
      <c r="J1" s="373"/>
      <c r="K1" s="373"/>
      <c r="L1" s="373"/>
      <c r="M1" s="373"/>
      <c r="N1" s="373"/>
      <c r="O1" s="373"/>
      <c r="P1" s="373"/>
      <c r="Q1" s="373"/>
      <c r="R1" s="373"/>
      <c r="S1" s="373"/>
      <c r="T1" s="373"/>
      <c r="U1" s="373"/>
      <c r="V1" s="373"/>
      <c r="W1" s="373"/>
    </row>
    <row r="2" spans="1:23" ht="27" customHeight="1" x14ac:dyDescent="0.25">
      <c r="A2" s="372" t="s">
        <v>10</v>
      </c>
      <c r="B2" s="372" t="s">
        <v>14</v>
      </c>
      <c r="C2" s="372" t="s">
        <v>15</v>
      </c>
      <c r="D2" s="372" t="s">
        <v>13</v>
      </c>
      <c r="E2" s="372" t="s">
        <v>12</v>
      </c>
      <c r="F2" s="372" t="s">
        <v>18</v>
      </c>
      <c r="G2" s="372"/>
      <c r="H2" s="372" t="s">
        <v>448</v>
      </c>
      <c r="I2" s="372" t="s">
        <v>424</v>
      </c>
      <c r="J2" s="372" t="s">
        <v>7</v>
      </c>
      <c r="K2" s="372"/>
      <c r="L2" s="372" t="s">
        <v>449</v>
      </c>
      <c r="M2" s="372"/>
      <c r="N2" s="372" t="s">
        <v>8</v>
      </c>
      <c r="O2" s="372"/>
      <c r="P2" s="372" t="s">
        <v>450</v>
      </c>
      <c r="Q2" s="372"/>
      <c r="R2" s="372" t="s">
        <v>9</v>
      </c>
      <c r="S2" s="372" t="s">
        <v>16</v>
      </c>
      <c r="T2" s="372"/>
      <c r="U2" s="372" t="s">
        <v>17</v>
      </c>
      <c r="V2" s="372"/>
      <c r="W2" s="372" t="s">
        <v>194</v>
      </c>
    </row>
    <row r="3" spans="1:23" x14ac:dyDescent="0.25">
      <c r="A3" s="372"/>
      <c r="B3" s="372"/>
      <c r="C3" s="372"/>
      <c r="D3" s="372"/>
      <c r="E3" s="372"/>
      <c r="F3" s="22" t="s">
        <v>20</v>
      </c>
      <c r="G3" s="22" t="s">
        <v>21</v>
      </c>
      <c r="H3" s="372"/>
      <c r="I3" s="372"/>
      <c r="J3" s="22" t="s">
        <v>20</v>
      </c>
      <c r="K3" s="22" t="s">
        <v>21</v>
      </c>
      <c r="L3" s="22" t="s">
        <v>20</v>
      </c>
      <c r="M3" s="22" t="s">
        <v>21</v>
      </c>
      <c r="N3" s="22" t="s">
        <v>20</v>
      </c>
      <c r="O3" s="22" t="s">
        <v>21</v>
      </c>
      <c r="P3" s="22" t="s">
        <v>20</v>
      </c>
      <c r="Q3" s="22" t="s">
        <v>21</v>
      </c>
      <c r="R3" s="372"/>
      <c r="S3" s="22" t="s">
        <v>20</v>
      </c>
      <c r="T3" s="22" t="s">
        <v>21</v>
      </c>
      <c r="U3" s="22" t="s">
        <v>20</v>
      </c>
      <c r="V3" s="22" t="s">
        <v>21</v>
      </c>
      <c r="W3" s="372"/>
    </row>
    <row r="4" spans="1:23" x14ac:dyDescent="0.25">
      <c r="A4" s="20"/>
      <c r="B4" s="20"/>
      <c r="C4" s="20"/>
      <c r="D4" s="203"/>
      <c r="E4" s="20"/>
      <c r="F4" s="20"/>
      <c r="G4" s="20"/>
      <c r="H4" s="20"/>
      <c r="I4" s="20"/>
      <c r="J4" s="20"/>
      <c r="K4" s="20"/>
      <c r="L4" s="20"/>
      <c r="M4" s="20"/>
      <c r="N4" s="20"/>
      <c r="O4" s="20"/>
      <c r="P4" s="20"/>
      <c r="Q4" s="20"/>
      <c r="R4" s="20"/>
      <c r="S4" s="20"/>
      <c r="T4" s="20"/>
      <c r="U4" s="20"/>
      <c r="V4" s="20"/>
      <c r="W4" s="20"/>
    </row>
    <row r="5" spans="1:23" x14ac:dyDescent="0.25">
      <c r="A5" s="20"/>
      <c r="B5" s="20"/>
      <c r="C5" s="20"/>
      <c r="D5" s="203"/>
      <c r="E5" s="20"/>
      <c r="F5" s="20"/>
      <c r="G5" s="20"/>
      <c r="H5" s="20"/>
      <c r="I5" s="20"/>
      <c r="J5" s="20"/>
      <c r="K5" s="20"/>
      <c r="L5" s="20"/>
      <c r="M5" s="20"/>
      <c r="N5" s="20"/>
      <c r="O5" s="20"/>
      <c r="P5" s="20"/>
      <c r="Q5" s="20"/>
      <c r="R5" s="20"/>
      <c r="S5" s="20"/>
      <c r="T5" s="20"/>
      <c r="U5" s="20"/>
      <c r="V5" s="20"/>
      <c r="W5" s="20"/>
    </row>
    <row r="6" spans="1:23" x14ac:dyDescent="0.25">
      <c r="A6" s="20"/>
      <c r="B6" s="20"/>
      <c r="C6" s="20"/>
      <c r="D6" s="203"/>
      <c r="E6" s="20"/>
      <c r="F6" s="20"/>
      <c r="G6" s="20"/>
      <c r="H6" s="20"/>
      <c r="I6" s="20"/>
      <c r="J6" s="20"/>
      <c r="K6" s="20"/>
      <c r="L6" s="20"/>
      <c r="M6" s="20"/>
      <c r="N6" s="20"/>
      <c r="O6" s="20"/>
      <c r="P6" s="20"/>
      <c r="Q6" s="20"/>
      <c r="R6" s="20"/>
      <c r="S6" s="20"/>
      <c r="T6" s="20"/>
      <c r="U6" s="20"/>
      <c r="V6" s="20"/>
      <c r="W6" s="20"/>
    </row>
    <row r="7" spans="1:23" x14ac:dyDescent="0.25">
      <c r="A7" s="20"/>
      <c r="B7" s="20"/>
      <c r="C7" s="20"/>
      <c r="D7" s="203"/>
      <c r="E7" s="20"/>
      <c r="F7" s="20"/>
      <c r="G7" s="20"/>
      <c r="H7" s="20"/>
      <c r="I7" s="20"/>
      <c r="J7" s="20"/>
      <c r="K7" s="20"/>
      <c r="L7" s="20"/>
      <c r="M7" s="20"/>
      <c r="N7" s="20"/>
      <c r="O7" s="20"/>
      <c r="P7" s="20"/>
      <c r="Q7" s="20"/>
      <c r="R7" s="20"/>
      <c r="S7" s="20"/>
      <c r="T7" s="20"/>
      <c r="U7" s="20"/>
      <c r="V7" s="20"/>
      <c r="W7" s="20"/>
    </row>
    <row r="8" spans="1:23" x14ac:dyDescent="0.25">
      <c r="A8" s="20"/>
      <c r="B8" s="20"/>
      <c r="C8" s="20"/>
      <c r="D8" s="203"/>
      <c r="E8" s="20"/>
      <c r="F8" s="20"/>
      <c r="G8" s="20"/>
      <c r="H8" s="20"/>
      <c r="I8" s="20"/>
      <c r="J8" s="20"/>
      <c r="K8" s="20"/>
      <c r="L8" s="20"/>
      <c r="M8" s="20"/>
      <c r="N8" s="20"/>
      <c r="O8" s="20"/>
      <c r="P8" s="20"/>
      <c r="Q8" s="20"/>
      <c r="R8" s="20"/>
      <c r="S8" s="20"/>
      <c r="T8" s="20"/>
      <c r="U8" s="20"/>
      <c r="V8" s="20"/>
      <c r="W8" s="20"/>
    </row>
    <row r="9" spans="1:23" x14ac:dyDescent="0.25">
      <c r="A9" s="20"/>
      <c r="B9" s="20"/>
      <c r="C9" s="20"/>
      <c r="D9" s="203"/>
      <c r="E9" s="20"/>
      <c r="F9" s="20"/>
      <c r="G9" s="20"/>
      <c r="H9" s="20"/>
      <c r="I9" s="20"/>
      <c r="J9" s="20"/>
      <c r="K9" s="20"/>
      <c r="L9" s="20"/>
      <c r="M9" s="20"/>
      <c r="N9" s="20"/>
      <c r="O9" s="20"/>
      <c r="P9" s="20"/>
      <c r="Q9" s="20"/>
      <c r="R9" s="20"/>
      <c r="S9" s="20"/>
      <c r="T9" s="20"/>
      <c r="U9" s="20"/>
      <c r="V9" s="20"/>
      <c r="W9" s="20"/>
    </row>
    <row r="10" spans="1:23" x14ac:dyDescent="0.25">
      <c r="A10" s="20"/>
      <c r="B10" s="20"/>
      <c r="C10" s="20"/>
      <c r="D10" s="203"/>
      <c r="E10" s="20"/>
      <c r="F10" s="20"/>
      <c r="G10" s="20"/>
      <c r="H10" s="20"/>
      <c r="I10" s="20"/>
      <c r="J10" s="20"/>
      <c r="K10" s="20"/>
      <c r="L10" s="20"/>
      <c r="M10" s="20"/>
      <c r="N10" s="20"/>
      <c r="O10" s="20"/>
      <c r="P10" s="20"/>
      <c r="Q10" s="20"/>
      <c r="R10" s="20"/>
      <c r="S10" s="20"/>
      <c r="T10" s="20"/>
      <c r="U10" s="20"/>
      <c r="V10" s="20"/>
      <c r="W10" s="20"/>
    </row>
    <row r="11" spans="1:23" x14ac:dyDescent="0.25">
      <c r="A11" s="20"/>
      <c r="B11" s="20"/>
      <c r="C11" s="20"/>
      <c r="D11" s="203"/>
      <c r="E11" s="20"/>
      <c r="F11" s="20"/>
      <c r="G11" s="20"/>
      <c r="H11" s="20"/>
      <c r="I11" s="20"/>
      <c r="J11" s="20"/>
      <c r="K11" s="20"/>
      <c r="L11" s="20"/>
      <c r="M11" s="20"/>
      <c r="N11" s="20"/>
      <c r="O11" s="20"/>
      <c r="P11" s="20"/>
      <c r="Q11" s="20"/>
      <c r="R11" s="20"/>
      <c r="S11" s="20"/>
      <c r="T11" s="20"/>
      <c r="U11" s="20"/>
      <c r="V11" s="20"/>
      <c r="W11" s="20"/>
    </row>
    <row r="12" spans="1:23" x14ac:dyDescent="0.25">
      <c r="A12" s="20"/>
      <c r="B12" s="20"/>
      <c r="C12" s="20"/>
      <c r="D12" s="203"/>
      <c r="E12" s="20"/>
      <c r="F12" s="20"/>
      <c r="G12" s="20"/>
      <c r="H12" s="20"/>
      <c r="I12" s="20"/>
      <c r="J12" s="20"/>
      <c r="K12" s="20"/>
      <c r="L12" s="20"/>
      <c r="M12" s="20"/>
      <c r="N12" s="20"/>
      <c r="O12" s="20"/>
      <c r="P12" s="20"/>
      <c r="Q12" s="20"/>
      <c r="R12" s="20"/>
      <c r="S12" s="20"/>
      <c r="T12" s="20"/>
      <c r="U12" s="20"/>
      <c r="V12" s="20"/>
      <c r="W12" s="20"/>
    </row>
    <row r="13" spans="1:23" x14ac:dyDescent="0.25">
      <c r="A13" s="20"/>
      <c r="B13" s="20"/>
      <c r="C13" s="20"/>
      <c r="D13" s="203"/>
      <c r="E13" s="20"/>
      <c r="F13" s="20"/>
      <c r="G13" s="20"/>
      <c r="H13" s="20"/>
      <c r="I13" s="20"/>
      <c r="J13" s="20"/>
      <c r="K13" s="20"/>
      <c r="L13" s="20"/>
      <c r="M13" s="20"/>
      <c r="N13" s="20"/>
      <c r="O13" s="20"/>
      <c r="P13" s="20"/>
      <c r="Q13" s="20"/>
      <c r="R13" s="20"/>
      <c r="S13" s="20"/>
      <c r="T13" s="20"/>
      <c r="U13" s="20"/>
      <c r="V13" s="20"/>
      <c r="W13" s="20"/>
    </row>
    <row r="14" spans="1:23" x14ac:dyDescent="0.25">
      <c r="A14" s="20"/>
      <c r="B14" s="20"/>
      <c r="C14" s="20"/>
      <c r="D14" s="203"/>
      <c r="E14" s="20"/>
      <c r="F14" s="20"/>
      <c r="G14" s="20"/>
      <c r="H14" s="20"/>
      <c r="I14" s="20"/>
      <c r="J14" s="20"/>
      <c r="K14" s="20"/>
      <c r="L14" s="20"/>
      <c r="M14" s="20"/>
      <c r="N14" s="20"/>
      <c r="O14" s="20"/>
      <c r="P14" s="20"/>
      <c r="Q14" s="20"/>
      <c r="R14" s="20"/>
      <c r="S14" s="20"/>
      <c r="T14" s="20"/>
      <c r="U14" s="20"/>
      <c r="V14" s="20"/>
      <c r="W14" s="20"/>
    </row>
    <row r="15" spans="1:23" x14ac:dyDescent="0.25">
      <c r="A15" s="20"/>
      <c r="B15" s="20"/>
      <c r="C15" s="20"/>
      <c r="D15" s="203"/>
      <c r="E15" s="20"/>
      <c r="F15" s="20"/>
      <c r="G15" s="20"/>
      <c r="H15" s="20"/>
      <c r="I15" s="20"/>
      <c r="J15" s="20"/>
      <c r="K15" s="20"/>
      <c r="L15" s="20"/>
      <c r="M15" s="20"/>
      <c r="N15" s="20"/>
      <c r="O15" s="20"/>
      <c r="P15" s="20"/>
      <c r="Q15" s="20"/>
      <c r="R15" s="20"/>
      <c r="S15" s="20"/>
      <c r="T15" s="20"/>
      <c r="U15" s="20"/>
      <c r="V15" s="20"/>
      <c r="W15" s="20"/>
    </row>
    <row r="16" spans="1:23" x14ac:dyDescent="0.25">
      <c r="A16" s="20"/>
      <c r="B16" s="20"/>
      <c r="C16" s="20"/>
      <c r="D16" s="203"/>
      <c r="E16" s="20"/>
      <c r="F16" s="20"/>
      <c r="G16" s="20"/>
      <c r="H16" s="20"/>
      <c r="I16" s="20"/>
      <c r="J16" s="20"/>
      <c r="K16" s="20"/>
      <c r="L16" s="20"/>
      <c r="M16" s="20"/>
      <c r="N16" s="20"/>
      <c r="O16" s="20"/>
      <c r="P16" s="20"/>
      <c r="Q16" s="20"/>
      <c r="R16" s="20"/>
      <c r="S16" s="20"/>
      <c r="T16" s="20"/>
      <c r="U16" s="20"/>
      <c r="V16" s="20"/>
      <c r="W16" s="20"/>
    </row>
    <row r="17" spans="1:23" x14ac:dyDescent="0.25">
      <c r="A17" s="20"/>
      <c r="B17" s="20"/>
      <c r="C17" s="20"/>
      <c r="D17" s="203"/>
      <c r="E17" s="20"/>
      <c r="F17" s="20"/>
      <c r="G17" s="20"/>
      <c r="H17" s="20"/>
      <c r="I17" s="20"/>
      <c r="J17" s="20"/>
      <c r="K17" s="20"/>
      <c r="L17" s="20"/>
      <c r="M17" s="20"/>
      <c r="N17" s="20"/>
      <c r="O17" s="20"/>
      <c r="P17" s="20"/>
      <c r="Q17" s="20"/>
      <c r="R17" s="20"/>
      <c r="S17" s="20"/>
      <c r="T17" s="20"/>
      <c r="U17" s="20"/>
      <c r="V17" s="20"/>
      <c r="W17" s="20"/>
    </row>
    <row r="18" spans="1:23" x14ac:dyDescent="0.25">
      <c r="A18" s="20"/>
      <c r="B18" s="20"/>
      <c r="C18" s="20"/>
      <c r="D18" s="203"/>
      <c r="E18" s="20"/>
      <c r="F18" s="20"/>
      <c r="G18" s="20"/>
      <c r="H18" s="20"/>
      <c r="I18" s="20"/>
      <c r="J18" s="20"/>
      <c r="K18" s="20"/>
      <c r="L18" s="20"/>
      <c r="M18" s="20"/>
      <c r="N18" s="20"/>
      <c r="O18" s="20"/>
      <c r="P18" s="20"/>
      <c r="Q18" s="20"/>
      <c r="R18" s="20"/>
      <c r="S18" s="20"/>
      <c r="T18" s="20"/>
      <c r="U18" s="20"/>
      <c r="V18" s="20"/>
      <c r="W18" s="20"/>
    </row>
    <row r="19" spans="1:23" x14ac:dyDescent="0.25">
      <c r="A19" s="20"/>
      <c r="B19" s="20"/>
      <c r="C19" s="20"/>
      <c r="D19" s="203"/>
      <c r="E19" s="20"/>
      <c r="F19" s="20"/>
      <c r="G19" s="20"/>
      <c r="H19" s="20"/>
      <c r="I19" s="20"/>
      <c r="J19" s="20"/>
      <c r="K19" s="20"/>
      <c r="L19" s="20"/>
      <c r="M19" s="20"/>
      <c r="N19" s="20"/>
      <c r="O19" s="20"/>
      <c r="P19" s="20"/>
      <c r="Q19" s="20"/>
      <c r="R19" s="20"/>
      <c r="S19" s="20"/>
      <c r="T19" s="20"/>
      <c r="U19" s="20"/>
      <c r="V19" s="20"/>
      <c r="W19" s="20"/>
    </row>
    <row r="20" spans="1:23" x14ac:dyDescent="0.25">
      <c r="A20" s="20"/>
      <c r="B20" s="20"/>
      <c r="C20" s="20"/>
      <c r="D20" s="203"/>
      <c r="E20" s="20"/>
      <c r="F20" s="20"/>
      <c r="G20" s="20"/>
      <c r="H20" s="20"/>
      <c r="I20" s="20"/>
      <c r="J20" s="20"/>
      <c r="K20" s="20"/>
      <c r="L20" s="20"/>
      <c r="M20" s="20"/>
      <c r="N20" s="20"/>
      <c r="O20" s="20"/>
      <c r="P20" s="20"/>
      <c r="Q20" s="20"/>
      <c r="R20" s="20"/>
      <c r="S20" s="20"/>
      <c r="T20" s="20"/>
      <c r="U20" s="20"/>
      <c r="V20" s="20"/>
      <c r="W20" s="20"/>
    </row>
    <row r="21" spans="1:23" x14ac:dyDescent="0.25">
      <c r="A21" s="20"/>
      <c r="B21" s="20"/>
      <c r="C21" s="20"/>
      <c r="D21" s="203"/>
      <c r="E21" s="20"/>
      <c r="F21" s="20"/>
      <c r="G21" s="20"/>
      <c r="H21" s="20"/>
      <c r="I21" s="20"/>
      <c r="J21" s="20"/>
      <c r="K21" s="20"/>
      <c r="L21" s="20"/>
      <c r="M21" s="20"/>
      <c r="N21" s="20"/>
      <c r="O21" s="20"/>
      <c r="P21" s="20"/>
      <c r="Q21" s="20"/>
      <c r="R21" s="20"/>
      <c r="S21" s="20"/>
      <c r="T21" s="20"/>
      <c r="U21" s="20"/>
      <c r="V21" s="20"/>
      <c r="W21" s="20"/>
    </row>
    <row r="22" spans="1:23" x14ac:dyDescent="0.25">
      <c r="A22" s="20"/>
      <c r="B22" s="20"/>
      <c r="C22" s="20"/>
      <c r="D22" s="203"/>
      <c r="E22" s="20"/>
      <c r="F22" s="20"/>
      <c r="G22" s="20"/>
      <c r="H22" s="20"/>
      <c r="I22" s="20"/>
      <c r="J22" s="20"/>
      <c r="K22" s="20"/>
      <c r="L22" s="20"/>
      <c r="M22" s="20"/>
      <c r="N22" s="20"/>
      <c r="O22" s="20"/>
      <c r="P22" s="20"/>
      <c r="Q22" s="20"/>
      <c r="R22" s="20"/>
      <c r="S22" s="20"/>
      <c r="T22" s="20"/>
      <c r="U22" s="20"/>
      <c r="V22" s="20"/>
      <c r="W22" s="20"/>
    </row>
    <row r="23" spans="1:23" x14ac:dyDescent="0.25">
      <c r="A23" s="20"/>
      <c r="B23" s="20"/>
      <c r="C23" s="20"/>
      <c r="D23" s="203"/>
      <c r="E23" s="20"/>
      <c r="F23" s="20"/>
      <c r="G23" s="20"/>
      <c r="H23" s="20"/>
      <c r="I23" s="20"/>
      <c r="J23" s="20"/>
      <c r="K23" s="20"/>
      <c r="L23" s="20"/>
      <c r="M23" s="20"/>
      <c r="N23" s="20"/>
      <c r="O23" s="20"/>
      <c r="P23" s="20"/>
      <c r="Q23" s="20"/>
      <c r="R23" s="20"/>
      <c r="S23" s="20"/>
      <c r="T23" s="20"/>
      <c r="U23" s="20"/>
      <c r="V23" s="20"/>
      <c r="W23" s="20"/>
    </row>
    <row r="24" spans="1:23" x14ac:dyDescent="0.25">
      <c r="A24" s="20"/>
      <c r="B24" s="20"/>
      <c r="C24" s="20"/>
      <c r="D24" s="203"/>
      <c r="E24" s="20"/>
      <c r="F24" s="20"/>
      <c r="G24" s="20"/>
      <c r="H24" s="20"/>
      <c r="I24" s="20"/>
      <c r="J24" s="20"/>
      <c r="K24" s="20"/>
      <c r="L24" s="20"/>
      <c r="M24" s="20"/>
      <c r="N24" s="20"/>
      <c r="O24" s="20"/>
      <c r="P24" s="20"/>
      <c r="Q24" s="20"/>
      <c r="R24" s="20"/>
      <c r="S24" s="20"/>
      <c r="T24" s="20"/>
      <c r="U24" s="20"/>
      <c r="V24" s="20"/>
      <c r="W24" s="20"/>
    </row>
    <row r="25" spans="1:23" x14ac:dyDescent="0.25">
      <c r="A25" s="20"/>
      <c r="B25" s="20"/>
      <c r="C25" s="20"/>
      <c r="D25" s="203"/>
      <c r="E25" s="20"/>
      <c r="F25" s="20"/>
      <c r="G25" s="20"/>
      <c r="H25" s="20"/>
      <c r="I25" s="20"/>
      <c r="J25" s="20"/>
      <c r="K25" s="20"/>
      <c r="L25" s="20"/>
      <c r="M25" s="20"/>
      <c r="N25" s="20"/>
      <c r="O25" s="20"/>
      <c r="P25" s="20"/>
      <c r="Q25" s="20"/>
      <c r="R25" s="20"/>
      <c r="S25" s="20"/>
      <c r="T25" s="20"/>
      <c r="U25" s="20"/>
      <c r="V25" s="20"/>
      <c r="W25" s="20"/>
    </row>
    <row r="26" spans="1:23" x14ac:dyDescent="0.25">
      <c r="A26" s="20"/>
      <c r="B26" s="20"/>
      <c r="C26" s="20"/>
      <c r="D26" s="203"/>
      <c r="E26" s="20"/>
      <c r="F26" s="20"/>
      <c r="G26" s="20"/>
      <c r="H26" s="20"/>
      <c r="I26" s="20"/>
      <c r="J26" s="20"/>
      <c r="K26" s="20"/>
      <c r="L26" s="20"/>
      <c r="M26" s="20"/>
      <c r="N26" s="20"/>
      <c r="O26" s="20"/>
      <c r="P26" s="20"/>
      <c r="Q26" s="20"/>
      <c r="R26" s="20"/>
      <c r="S26" s="20"/>
      <c r="T26" s="20"/>
      <c r="U26" s="20"/>
      <c r="V26" s="20"/>
      <c r="W26" s="20"/>
    </row>
    <row r="27" spans="1:23" x14ac:dyDescent="0.25">
      <c r="A27" s="20"/>
      <c r="B27" s="20"/>
      <c r="C27" s="20"/>
      <c r="D27" s="203"/>
      <c r="E27" s="20"/>
      <c r="F27" s="20"/>
      <c r="G27" s="20"/>
      <c r="H27" s="20"/>
      <c r="I27" s="20"/>
      <c r="J27" s="20"/>
      <c r="K27" s="20"/>
      <c r="L27" s="20"/>
      <c r="M27" s="20"/>
      <c r="N27" s="20"/>
      <c r="O27" s="20"/>
      <c r="P27" s="20"/>
      <c r="Q27" s="20"/>
      <c r="R27" s="20"/>
      <c r="S27" s="20"/>
      <c r="T27" s="20"/>
      <c r="U27" s="20"/>
      <c r="V27" s="20"/>
      <c r="W27" s="20"/>
    </row>
    <row r="28" spans="1:23" x14ac:dyDescent="0.25">
      <c r="A28" s="20"/>
      <c r="B28" s="20"/>
      <c r="C28" s="20"/>
      <c r="D28" s="203"/>
      <c r="E28" s="20"/>
      <c r="F28" s="20"/>
      <c r="G28" s="20"/>
      <c r="H28" s="20"/>
      <c r="I28" s="20"/>
      <c r="J28" s="20"/>
      <c r="K28" s="20"/>
      <c r="L28" s="20"/>
      <c r="M28" s="20"/>
      <c r="N28" s="20"/>
      <c r="O28" s="20"/>
      <c r="P28" s="20"/>
      <c r="Q28" s="20"/>
      <c r="R28" s="20"/>
      <c r="S28" s="20"/>
      <c r="T28" s="20"/>
      <c r="U28" s="20"/>
      <c r="V28" s="20"/>
      <c r="W28" s="20"/>
    </row>
    <row r="29" spans="1:23" x14ac:dyDescent="0.25">
      <c r="A29" s="20"/>
      <c r="B29" s="20"/>
      <c r="C29" s="20"/>
      <c r="D29" s="203"/>
      <c r="E29" s="20"/>
      <c r="F29" s="20"/>
      <c r="G29" s="20"/>
      <c r="H29" s="20"/>
      <c r="I29" s="20"/>
      <c r="J29" s="20"/>
      <c r="K29" s="20"/>
      <c r="L29" s="20"/>
      <c r="M29" s="20"/>
      <c r="N29" s="20"/>
      <c r="O29" s="20"/>
      <c r="P29" s="20"/>
      <c r="Q29" s="20"/>
      <c r="R29" s="20"/>
      <c r="S29" s="20"/>
      <c r="T29" s="20"/>
      <c r="U29" s="20"/>
      <c r="V29" s="20"/>
      <c r="W29" s="20"/>
    </row>
    <row r="30" spans="1:23" x14ac:dyDescent="0.25">
      <c r="A30" s="20"/>
      <c r="B30" s="20"/>
      <c r="C30" s="20"/>
      <c r="D30" s="203"/>
      <c r="E30" s="20"/>
      <c r="F30" s="20"/>
      <c r="G30" s="20"/>
      <c r="H30" s="20"/>
      <c r="I30" s="20"/>
      <c r="J30" s="20"/>
      <c r="K30" s="20"/>
      <c r="L30" s="20"/>
      <c r="M30" s="20"/>
      <c r="N30" s="20"/>
      <c r="O30" s="20"/>
      <c r="P30" s="20"/>
      <c r="Q30" s="20"/>
      <c r="R30" s="20"/>
      <c r="S30" s="20"/>
      <c r="T30" s="20"/>
      <c r="U30" s="20"/>
      <c r="V30" s="20"/>
      <c r="W30" s="20"/>
    </row>
  </sheetData>
  <mergeCells count="17">
    <mergeCell ref="A1:W1"/>
    <mergeCell ref="A2:A3"/>
    <mergeCell ref="B2:B3"/>
    <mergeCell ref="C2:C3"/>
    <mergeCell ref="D2:D3"/>
    <mergeCell ref="E2:E3"/>
    <mergeCell ref="F2:G2"/>
    <mergeCell ref="H2:H3"/>
    <mergeCell ref="I2:I3"/>
    <mergeCell ref="S2:T2"/>
    <mergeCell ref="U2:V2"/>
    <mergeCell ref="W2:W3"/>
    <mergeCell ref="J2:K2"/>
    <mergeCell ref="L2:M2"/>
    <mergeCell ref="N2:O2"/>
    <mergeCell ref="P2:Q2"/>
    <mergeCell ref="R2:R3"/>
  </mergeCells>
  <pageMargins left="0.70866141732283472" right="0.70866141732283472" top="0.74803149606299213" bottom="0.74803149606299213" header="0.31496062992125984" footer="0.31496062992125984"/>
  <pageSetup paperSize="9" scale="78" fitToHeight="0" orientation="landscape" r:id="rId1"/>
  <headerFooter>
    <oddHeader>&amp;L&amp;"Arial,Regular"Tag Information&amp;R&amp;D</oddHeader>
    <oddFooter>&amp;RPage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theme="9" tint="-0.249977111117893"/>
  </sheetPr>
  <dimension ref="A1:K117"/>
  <sheetViews>
    <sheetView workbookViewId="0"/>
  </sheetViews>
  <sheetFormatPr defaultColWidth="9.140625" defaultRowHeight="12.75" x14ac:dyDescent="0.2"/>
  <cols>
    <col min="1" max="1" width="9.42578125" style="38" bestFit="1" customWidth="1"/>
    <col min="2" max="2" width="27.140625" style="38" bestFit="1" customWidth="1"/>
    <col min="3" max="3" width="25.85546875" style="38" bestFit="1" customWidth="1"/>
    <col min="4" max="4" width="18.42578125" style="38" bestFit="1" customWidth="1"/>
    <col min="5" max="5" width="20.42578125" style="38" bestFit="1" customWidth="1"/>
    <col min="6" max="6" width="15.42578125" style="38" bestFit="1" customWidth="1"/>
    <col min="7" max="7" width="18.5703125" style="38" bestFit="1" customWidth="1"/>
    <col min="8" max="8" width="18.5703125" style="38" customWidth="1"/>
    <col min="9" max="10" width="18.5703125" style="38" bestFit="1" customWidth="1"/>
    <col min="11" max="11" width="15.28515625" style="38" bestFit="1" customWidth="1"/>
    <col min="12" max="16384" width="9.140625" style="38"/>
  </cols>
  <sheetData>
    <row r="1" spans="1:10" x14ac:dyDescent="0.2">
      <c r="A1" s="158" t="s">
        <v>792</v>
      </c>
    </row>
    <row r="2" spans="1:10" x14ac:dyDescent="0.2">
      <c r="A2" s="158"/>
    </row>
    <row r="3" spans="1:10" x14ac:dyDescent="0.2">
      <c r="A3" s="158"/>
      <c r="B3" s="38" t="s">
        <v>803</v>
      </c>
      <c r="C3" s="189" t="s">
        <v>883</v>
      </c>
    </row>
    <row r="4" spans="1:10" x14ac:dyDescent="0.2">
      <c r="A4" s="158"/>
      <c r="B4" s="38" t="s">
        <v>804</v>
      </c>
      <c r="C4" s="189" t="s">
        <v>540</v>
      </c>
    </row>
    <row r="5" spans="1:10" x14ac:dyDescent="0.2">
      <c r="G5" s="113"/>
      <c r="H5" s="113"/>
    </row>
    <row r="6" spans="1:10" x14ac:dyDescent="0.2">
      <c r="A6" s="158" t="s">
        <v>793</v>
      </c>
      <c r="B6" s="158" t="s">
        <v>794</v>
      </c>
      <c r="C6" s="158"/>
      <c r="G6" s="158" t="s">
        <v>795</v>
      </c>
      <c r="H6" s="113" t="s">
        <v>451</v>
      </c>
      <c r="I6" s="113" t="s">
        <v>452</v>
      </c>
    </row>
    <row r="7" spans="1:10" x14ac:dyDescent="0.2">
      <c r="A7" s="24" t="s">
        <v>453</v>
      </c>
      <c r="B7" s="180" t="s">
        <v>454</v>
      </c>
      <c r="C7" s="180" t="s">
        <v>879</v>
      </c>
      <c r="D7" s="180" t="s">
        <v>882</v>
      </c>
      <c r="E7" s="180" t="s">
        <v>456</v>
      </c>
      <c r="F7" s="180" t="s">
        <v>808</v>
      </c>
      <c r="G7" s="120" t="s">
        <v>192</v>
      </c>
      <c r="H7" s="120" t="s">
        <v>193</v>
      </c>
      <c r="I7" s="120" t="s">
        <v>193</v>
      </c>
      <c r="J7" s="120" t="s">
        <v>194</v>
      </c>
    </row>
    <row r="8" spans="1:10" x14ac:dyDescent="0.2">
      <c r="A8" s="24">
        <v>121</v>
      </c>
      <c r="B8" s="197" t="s">
        <v>459</v>
      </c>
      <c r="C8" s="197" t="s">
        <v>455</v>
      </c>
      <c r="D8" s="197"/>
      <c r="E8" s="155" t="s">
        <v>383</v>
      </c>
      <c r="F8" s="155"/>
      <c r="G8" s="141" t="s">
        <v>457</v>
      </c>
      <c r="H8" s="141" t="s">
        <v>458</v>
      </c>
      <c r="I8" s="120"/>
      <c r="J8" s="141" t="s">
        <v>103</v>
      </c>
    </row>
    <row r="9" spans="1:10" x14ac:dyDescent="0.2">
      <c r="A9" s="24">
        <v>122</v>
      </c>
      <c r="B9" s="197" t="s">
        <v>459</v>
      </c>
      <c r="C9" s="197" t="s">
        <v>459</v>
      </c>
      <c r="D9" s="197"/>
      <c r="E9" s="155" t="s">
        <v>383</v>
      </c>
      <c r="F9" s="155"/>
      <c r="G9" s="141" t="s">
        <v>457</v>
      </c>
      <c r="H9" s="141" t="s">
        <v>460</v>
      </c>
      <c r="I9" s="120"/>
      <c r="J9" s="141" t="s">
        <v>103</v>
      </c>
    </row>
    <row r="10" spans="1:10" x14ac:dyDescent="0.2">
      <c r="A10" s="24">
        <v>123</v>
      </c>
      <c r="B10" s="197" t="s">
        <v>459</v>
      </c>
      <c r="C10" s="197" t="s">
        <v>461</v>
      </c>
      <c r="D10" s="197"/>
      <c r="E10" s="155" t="s">
        <v>383</v>
      </c>
      <c r="F10" s="155"/>
      <c r="G10" s="141" t="s">
        <v>457</v>
      </c>
      <c r="H10" s="141" t="s">
        <v>460</v>
      </c>
      <c r="I10" s="120"/>
      <c r="J10" s="120" t="s">
        <v>462</v>
      </c>
    </row>
    <row r="11" spans="1:10" x14ac:dyDescent="0.2">
      <c r="A11" s="24">
        <v>301</v>
      </c>
      <c r="B11" s="155" t="s">
        <v>463</v>
      </c>
      <c r="C11" s="155"/>
      <c r="D11" s="155" t="s">
        <v>464</v>
      </c>
      <c r="E11" s="155" t="s">
        <v>459</v>
      </c>
      <c r="F11" s="155"/>
      <c r="G11" s="141" t="s">
        <v>457</v>
      </c>
      <c r="H11" s="141" t="s">
        <v>460</v>
      </c>
      <c r="I11" s="141"/>
      <c r="J11" s="141" t="s">
        <v>103</v>
      </c>
    </row>
    <row r="12" spans="1:10" x14ac:dyDescent="0.2">
      <c r="A12" s="24">
        <v>302</v>
      </c>
      <c r="B12" s="155" t="s">
        <v>463</v>
      </c>
      <c r="C12" s="155"/>
      <c r="D12" s="155" t="s">
        <v>391</v>
      </c>
      <c r="E12" s="155" t="s">
        <v>465</v>
      </c>
      <c r="F12" s="155"/>
      <c r="G12" s="141" t="s">
        <v>457</v>
      </c>
      <c r="H12" s="141" t="s">
        <v>460</v>
      </c>
      <c r="I12" s="141"/>
      <c r="J12" s="141" t="s">
        <v>103</v>
      </c>
    </row>
    <row r="13" spans="1:10" x14ac:dyDescent="0.2">
      <c r="A13" s="24">
        <v>401</v>
      </c>
      <c r="B13" s="155" t="s">
        <v>466</v>
      </c>
      <c r="C13" s="155"/>
      <c r="D13" s="155" t="s">
        <v>464</v>
      </c>
      <c r="E13" s="155" t="s">
        <v>459</v>
      </c>
      <c r="F13" s="155" t="s">
        <v>799</v>
      </c>
      <c r="G13" s="141" t="s">
        <v>457</v>
      </c>
      <c r="H13" s="141" t="s">
        <v>460</v>
      </c>
      <c r="I13" s="141"/>
      <c r="J13" s="141" t="s">
        <v>103</v>
      </c>
    </row>
    <row r="14" spans="1:10" x14ac:dyDescent="0.2">
      <c r="A14" s="24">
        <v>402</v>
      </c>
      <c r="B14" s="155" t="s">
        <v>466</v>
      </c>
      <c r="C14" s="155"/>
      <c r="D14" s="155" t="s">
        <v>391</v>
      </c>
      <c r="E14" s="155" t="s">
        <v>465</v>
      </c>
      <c r="F14" s="155" t="s">
        <v>799</v>
      </c>
      <c r="G14" s="141" t="s">
        <v>457</v>
      </c>
      <c r="H14" s="141" t="s">
        <v>460</v>
      </c>
      <c r="I14" s="141"/>
      <c r="J14" s="141" t="s">
        <v>103</v>
      </c>
    </row>
    <row r="15" spans="1:10" x14ac:dyDescent="0.2">
      <c r="A15" s="24">
        <v>311</v>
      </c>
      <c r="B15" s="155" t="s">
        <v>463</v>
      </c>
      <c r="C15" s="155"/>
      <c r="D15" s="155" t="s">
        <v>464</v>
      </c>
      <c r="E15" s="155" t="s">
        <v>776</v>
      </c>
      <c r="F15" s="155"/>
      <c r="G15" s="376" t="s">
        <v>467</v>
      </c>
      <c r="H15" s="376"/>
      <c r="I15" s="376"/>
      <c r="J15" s="376"/>
    </row>
    <row r="16" spans="1:10" x14ac:dyDescent="0.2">
      <c r="A16" s="24">
        <v>312</v>
      </c>
      <c r="B16" s="155" t="s">
        <v>463</v>
      </c>
      <c r="C16" s="155"/>
      <c r="D16" s="155" t="s">
        <v>391</v>
      </c>
      <c r="E16" s="155" t="s">
        <v>777</v>
      </c>
      <c r="F16" s="155"/>
      <c r="G16" s="376"/>
      <c r="H16" s="376"/>
      <c r="I16" s="376"/>
      <c r="J16" s="376"/>
    </row>
    <row r="17" spans="1:10" x14ac:dyDescent="0.2">
      <c r="A17" s="24">
        <v>411</v>
      </c>
      <c r="B17" s="155" t="s">
        <v>466</v>
      </c>
      <c r="C17" s="155"/>
      <c r="D17" s="155" t="s">
        <v>464</v>
      </c>
      <c r="E17" s="155" t="s">
        <v>776</v>
      </c>
      <c r="F17" s="155" t="s">
        <v>799</v>
      </c>
      <c r="G17" s="376"/>
      <c r="H17" s="376"/>
      <c r="I17" s="376"/>
      <c r="J17" s="376"/>
    </row>
    <row r="18" spans="1:10" x14ac:dyDescent="0.2">
      <c r="A18" s="24">
        <v>412</v>
      </c>
      <c r="B18" s="155" t="s">
        <v>466</v>
      </c>
      <c r="C18" s="155"/>
      <c r="D18" s="155" t="s">
        <v>391</v>
      </c>
      <c r="E18" s="156" t="s">
        <v>782</v>
      </c>
      <c r="F18" s="155" t="s">
        <v>799</v>
      </c>
      <c r="G18" s="376"/>
      <c r="H18" s="376"/>
      <c r="I18" s="376"/>
      <c r="J18" s="376"/>
    </row>
    <row r="19" spans="1:10" x14ac:dyDescent="0.2">
      <c r="A19" s="24">
        <v>511</v>
      </c>
      <c r="B19" s="156" t="s">
        <v>468</v>
      </c>
      <c r="C19" s="156"/>
      <c r="D19" s="156" t="s">
        <v>464</v>
      </c>
      <c r="E19" s="156" t="s">
        <v>776</v>
      </c>
      <c r="F19" s="155" t="s">
        <v>799</v>
      </c>
      <c r="G19" s="376"/>
      <c r="H19" s="376"/>
      <c r="I19" s="376"/>
      <c r="J19" s="376"/>
    </row>
    <row r="20" spans="1:10" x14ac:dyDescent="0.2">
      <c r="A20" s="24">
        <v>512</v>
      </c>
      <c r="B20" s="156" t="s">
        <v>468</v>
      </c>
      <c r="C20" s="156"/>
      <c r="D20" s="156" t="s">
        <v>391</v>
      </c>
      <c r="E20" s="156" t="s">
        <v>782</v>
      </c>
      <c r="F20" s="155" t="s">
        <v>799</v>
      </c>
      <c r="G20" s="376"/>
      <c r="H20" s="376"/>
      <c r="I20" s="376"/>
      <c r="J20" s="376"/>
    </row>
    <row r="21" spans="1:10" x14ac:dyDescent="0.2">
      <c r="A21" s="24" t="s">
        <v>394</v>
      </c>
      <c r="B21" s="155" t="s">
        <v>466</v>
      </c>
      <c r="C21" s="155"/>
      <c r="D21" s="155" t="s">
        <v>464</v>
      </c>
      <c r="E21" s="155" t="s">
        <v>459</v>
      </c>
      <c r="F21" s="156" t="s">
        <v>785</v>
      </c>
      <c r="G21" s="141" t="s">
        <v>457</v>
      </c>
      <c r="H21" s="141" t="s">
        <v>460</v>
      </c>
      <c r="I21" s="141"/>
      <c r="J21" s="141" t="s">
        <v>103</v>
      </c>
    </row>
    <row r="22" spans="1:10" x14ac:dyDescent="0.2">
      <c r="A22" s="24" t="s">
        <v>395</v>
      </c>
      <c r="B22" s="155" t="s">
        <v>466</v>
      </c>
      <c r="C22" s="155"/>
      <c r="D22" s="155" t="s">
        <v>391</v>
      </c>
      <c r="E22" s="155" t="s">
        <v>465</v>
      </c>
      <c r="F22" s="156" t="s">
        <v>785</v>
      </c>
      <c r="G22" s="141" t="s">
        <v>457</v>
      </c>
      <c r="H22" s="141" t="s">
        <v>460</v>
      </c>
      <c r="I22" s="141"/>
      <c r="J22" s="141" t="s">
        <v>103</v>
      </c>
    </row>
    <row r="23" spans="1:10" x14ac:dyDescent="0.2">
      <c r="A23" s="24" t="s">
        <v>177</v>
      </c>
      <c r="B23" s="155" t="s">
        <v>466</v>
      </c>
      <c r="C23" s="155"/>
      <c r="D23" s="155" t="s">
        <v>464</v>
      </c>
      <c r="E23" s="155" t="s">
        <v>776</v>
      </c>
      <c r="F23" s="156" t="s">
        <v>785</v>
      </c>
      <c r="G23" s="374" t="s">
        <v>469</v>
      </c>
      <c r="H23" s="376" t="s">
        <v>467</v>
      </c>
      <c r="I23" s="376"/>
      <c r="J23" s="376"/>
    </row>
    <row r="24" spans="1:10" x14ac:dyDescent="0.2">
      <c r="A24" s="24" t="s">
        <v>179</v>
      </c>
      <c r="B24" s="155" t="s">
        <v>466</v>
      </c>
      <c r="C24" s="155"/>
      <c r="D24" s="155" t="s">
        <v>391</v>
      </c>
      <c r="E24" s="156" t="s">
        <v>782</v>
      </c>
      <c r="F24" s="156" t="s">
        <v>785</v>
      </c>
      <c r="G24" s="374"/>
      <c r="H24" s="376"/>
      <c r="I24" s="376"/>
      <c r="J24" s="376"/>
    </row>
    <row r="25" spans="1:10" x14ac:dyDescent="0.2">
      <c r="A25" s="24" t="s">
        <v>182</v>
      </c>
      <c r="B25" s="156" t="s">
        <v>468</v>
      </c>
      <c r="C25" s="156"/>
      <c r="D25" s="156" t="s">
        <v>464</v>
      </c>
      <c r="E25" s="156" t="s">
        <v>776</v>
      </c>
      <c r="F25" s="156" t="s">
        <v>785</v>
      </c>
      <c r="G25" s="374"/>
      <c r="H25" s="376"/>
      <c r="I25" s="376"/>
      <c r="J25" s="376"/>
    </row>
    <row r="26" spans="1:10" x14ac:dyDescent="0.2">
      <c r="A26" s="24" t="s">
        <v>470</v>
      </c>
      <c r="B26" s="156" t="s">
        <v>468</v>
      </c>
      <c r="C26" s="156"/>
      <c r="D26" s="156" t="s">
        <v>391</v>
      </c>
      <c r="E26" s="156" t="s">
        <v>782</v>
      </c>
      <c r="F26" s="156" t="s">
        <v>785</v>
      </c>
      <c r="G26" s="374"/>
      <c r="H26" s="376"/>
      <c r="I26" s="376"/>
      <c r="J26" s="376"/>
    </row>
    <row r="27" spans="1:10" x14ac:dyDescent="0.2">
      <c r="A27" s="24" t="s">
        <v>471</v>
      </c>
      <c r="B27" s="157" t="s">
        <v>472</v>
      </c>
      <c r="C27" s="157"/>
      <c r="D27" s="157" t="s">
        <v>464</v>
      </c>
      <c r="E27" s="157" t="s">
        <v>459</v>
      </c>
      <c r="F27" s="155"/>
      <c r="G27" s="141" t="s">
        <v>473</v>
      </c>
      <c r="H27" s="141" t="s">
        <v>458</v>
      </c>
      <c r="I27" s="141" t="s">
        <v>460</v>
      </c>
      <c r="J27" s="141" t="s">
        <v>103</v>
      </c>
    </row>
    <row r="28" spans="1:10" x14ac:dyDescent="0.2">
      <c r="A28" s="24" t="s">
        <v>474</v>
      </c>
      <c r="B28" s="157" t="s">
        <v>475</v>
      </c>
      <c r="C28" s="157"/>
      <c r="D28" s="157" t="s">
        <v>464</v>
      </c>
      <c r="E28" s="157" t="s">
        <v>776</v>
      </c>
      <c r="F28" s="155"/>
      <c r="G28" s="376"/>
      <c r="H28" s="376"/>
      <c r="I28" s="376"/>
      <c r="J28" s="376"/>
    </row>
    <row r="29" spans="1:10" x14ac:dyDescent="0.2">
      <c r="A29" s="24" t="s">
        <v>476</v>
      </c>
      <c r="B29" s="156" t="s">
        <v>477</v>
      </c>
      <c r="C29" s="156"/>
      <c r="D29" s="156" t="s">
        <v>464</v>
      </c>
      <c r="E29" s="156" t="s">
        <v>459</v>
      </c>
      <c r="F29" s="155" t="s">
        <v>799</v>
      </c>
      <c r="G29" s="141" t="s">
        <v>473</v>
      </c>
      <c r="H29" s="141" t="s">
        <v>458</v>
      </c>
      <c r="I29" s="141" t="s">
        <v>460</v>
      </c>
      <c r="J29" s="141" t="s">
        <v>103</v>
      </c>
    </row>
    <row r="30" spans="1:10" x14ac:dyDescent="0.2">
      <c r="A30" s="24" t="s">
        <v>478</v>
      </c>
      <c r="B30" s="156" t="s">
        <v>477</v>
      </c>
      <c r="C30" s="156"/>
      <c r="D30" s="156" t="s">
        <v>391</v>
      </c>
      <c r="E30" s="156" t="s">
        <v>465</v>
      </c>
      <c r="F30" s="155" t="s">
        <v>799</v>
      </c>
      <c r="G30" s="141" t="s">
        <v>473</v>
      </c>
      <c r="H30" s="141" t="s">
        <v>458</v>
      </c>
      <c r="I30" s="141" t="s">
        <v>460</v>
      </c>
      <c r="J30" s="141" t="s">
        <v>103</v>
      </c>
    </row>
    <row r="31" spans="1:10" x14ac:dyDescent="0.2">
      <c r="A31" s="24" t="s">
        <v>479</v>
      </c>
      <c r="B31" s="156" t="s">
        <v>480</v>
      </c>
      <c r="C31" s="156"/>
      <c r="D31" s="156" t="s">
        <v>464</v>
      </c>
      <c r="E31" s="156" t="s">
        <v>459</v>
      </c>
      <c r="F31" s="155" t="s">
        <v>799</v>
      </c>
      <c r="G31" s="141" t="s">
        <v>481</v>
      </c>
      <c r="H31" s="141" t="s">
        <v>458</v>
      </c>
      <c r="I31" s="141" t="s">
        <v>460</v>
      </c>
      <c r="J31" s="141" t="s">
        <v>103</v>
      </c>
    </row>
    <row r="32" spans="1:10" x14ac:dyDescent="0.2">
      <c r="A32" s="24" t="s">
        <v>482</v>
      </c>
      <c r="B32" s="156" t="s">
        <v>480</v>
      </c>
      <c r="C32" s="156"/>
      <c r="D32" s="156" t="s">
        <v>391</v>
      </c>
      <c r="E32" s="156" t="s">
        <v>465</v>
      </c>
      <c r="F32" s="155" t="s">
        <v>799</v>
      </c>
      <c r="G32" s="141" t="s">
        <v>481</v>
      </c>
      <c r="H32" s="141" t="s">
        <v>458</v>
      </c>
      <c r="I32" s="141" t="s">
        <v>460</v>
      </c>
      <c r="J32" s="141" t="s">
        <v>103</v>
      </c>
    </row>
    <row r="33" spans="1:11" x14ac:dyDescent="0.2">
      <c r="A33" s="24" t="s">
        <v>483</v>
      </c>
      <c r="B33" s="156" t="s">
        <v>480</v>
      </c>
      <c r="C33" s="156"/>
      <c r="D33" s="156" t="s">
        <v>464</v>
      </c>
      <c r="E33" s="156" t="s">
        <v>776</v>
      </c>
      <c r="F33" s="155" t="s">
        <v>799</v>
      </c>
      <c r="G33" s="376" t="s">
        <v>467</v>
      </c>
      <c r="H33" s="376"/>
      <c r="I33" s="376"/>
      <c r="J33" s="376"/>
    </row>
    <row r="34" spans="1:11" x14ac:dyDescent="0.2">
      <c r="A34" s="24" t="s">
        <v>484</v>
      </c>
      <c r="B34" s="156" t="s">
        <v>480</v>
      </c>
      <c r="C34" s="156"/>
      <c r="D34" s="156" t="s">
        <v>391</v>
      </c>
      <c r="E34" s="156" t="s">
        <v>782</v>
      </c>
      <c r="F34" s="155" t="s">
        <v>799</v>
      </c>
      <c r="G34" s="376"/>
      <c r="H34" s="376"/>
      <c r="I34" s="376"/>
      <c r="J34" s="376"/>
    </row>
    <row r="35" spans="1:11" x14ac:dyDescent="0.2">
      <c r="A35" s="24" t="s">
        <v>485</v>
      </c>
      <c r="B35" s="156" t="s">
        <v>486</v>
      </c>
      <c r="C35" s="156"/>
      <c r="D35" s="156" t="s">
        <v>464</v>
      </c>
      <c r="E35" s="156" t="s">
        <v>776</v>
      </c>
      <c r="F35" s="155" t="s">
        <v>799</v>
      </c>
      <c r="G35" s="376"/>
      <c r="H35" s="376"/>
      <c r="I35" s="376"/>
      <c r="J35" s="376"/>
    </row>
    <row r="36" spans="1:11" x14ac:dyDescent="0.2">
      <c r="A36" s="24" t="s">
        <v>487</v>
      </c>
      <c r="B36" s="156" t="s">
        <v>486</v>
      </c>
      <c r="C36" s="156"/>
      <c r="D36" s="156" t="s">
        <v>391</v>
      </c>
      <c r="E36" s="156" t="s">
        <v>782</v>
      </c>
      <c r="F36" s="155" t="s">
        <v>799</v>
      </c>
      <c r="G36" s="376"/>
      <c r="H36" s="376"/>
      <c r="I36" s="376"/>
      <c r="J36" s="376"/>
    </row>
    <row r="37" spans="1:11" x14ac:dyDescent="0.2">
      <c r="A37" s="24" t="s">
        <v>488</v>
      </c>
      <c r="B37" s="156" t="s">
        <v>477</v>
      </c>
      <c r="C37" s="156"/>
      <c r="D37" s="156" t="s">
        <v>464</v>
      </c>
      <c r="E37" s="156" t="s">
        <v>459</v>
      </c>
      <c r="F37" s="156" t="s">
        <v>785</v>
      </c>
      <c r="G37" s="141" t="s">
        <v>473</v>
      </c>
      <c r="H37" s="141" t="s">
        <v>458</v>
      </c>
      <c r="I37" s="141" t="s">
        <v>460</v>
      </c>
      <c r="J37" s="141" t="s">
        <v>103</v>
      </c>
    </row>
    <row r="38" spans="1:11" x14ac:dyDescent="0.2">
      <c r="A38" s="24" t="s">
        <v>489</v>
      </c>
      <c r="B38" s="156" t="s">
        <v>477</v>
      </c>
      <c r="C38" s="156"/>
      <c r="D38" s="156" t="s">
        <v>391</v>
      </c>
      <c r="E38" s="156" t="s">
        <v>465</v>
      </c>
      <c r="F38" s="156" t="s">
        <v>785</v>
      </c>
      <c r="G38" s="141" t="s">
        <v>473</v>
      </c>
      <c r="H38" s="141" t="s">
        <v>458</v>
      </c>
      <c r="I38" s="141" t="s">
        <v>460</v>
      </c>
      <c r="J38" s="141" t="s">
        <v>103</v>
      </c>
    </row>
    <row r="39" spans="1:11" x14ac:dyDescent="0.2">
      <c r="A39" s="24" t="s">
        <v>490</v>
      </c>
      <c r="B39" s="156" t="s">
        <v>480</v>
      </c>
      <c r="C39" s="156"/>
      <c r="D39" s="156" t="s">
        <v>464</v>
      </c>
      <c r="E39" s="156" t="s">
        <v>459</v>
      </c>
      <c r="F39" s="156" t="s">
        <v>785</v>
      </c>
      <c r="G39" s="141" t="s">
        <v>481</v>
      </c>
      <c r="H39" s="141" t="s">
        <v>458</v>
      </c>
      <c r="I39" s="141" t="s">
        <v>460</v>
      </c>
      <c r="J39" s="141" t="s">
        <v>103</v>
      </c>
    </row>
    <row r="40" spans="1:11" x14ac:dyDescent="0.2">
      <c r="A40" s="24" t="s">
        <v>491</v>
      </c>
      <c r="B40" s="156" t="s">
        <v>480</v>
      </c>
      <c r="C40" s="156"/>
      <c r="D40" s="156" t="s">
        <v>391</v>
      </c>
      <c r="E40" s="156" t="s">
        <v>465</v>
      </c>
      <c r="F40" s="156" t="s">
        <v>785</v>
      </c>
      <c r="G40" s="141" t="s">
        <v>481</v>
      </c>
      <c r="H40" s="141" t="s">
        <v>458</v>
      </c>
      <c r="I40" s="141" t="s">
        <v>460</v>
      </c>
      <c r="J40" s="141" t="s">
        <v>103</v>
      </c>
    </row>
    <row r="41" spans="1:11" x14ac:dyDescent="0.2">
      <c r="A41" s="24" t="s">
        <v>492</v>
      </c>
      <c r="B41" s="156" t="s">
        <v>480</v>
      </c>
      <c r="C41" s="156"/>
      <c r="D41" s="156" t="s">
        <v>464</v>
      </c>
      <c r="E41" s="156" t="s">
        <v>776</v>
      </c>
      <c r="F41" s="156" t="s">
        <v>785</v>
      </c>
      <c r="G41" s="374" t="s">
        <v>469</v>
      </c>
      <c r="H41" s="375" t="s">
        <v>467</v>
      </c>
      <c r="I41" s="358"/>
      <c r="J41" s="358"/>
    </row>
    <row r="42" spans="1:11" x14ac:dyDescent="0.2">
      <c r="A42" s="24" t="s">
        <v>493</v>
      </c>
      <c r="B42" s="156" t="s">
        <v>480</v>
      </c>
      <c r="C42" s="156"/>
      <c r="D42" s="156" t="s">
        <v>391</v>
      </c>
      <c r="E42" s="156" t="s">
        <v>782</v>
      </c>
      <c r="F42" s="156" t="s">
        <v>785</v>
      </c>
      <c r="G42" s="374"/>
      <c r="H42" s="358"/>
      <c r="I42" s="358"/>
      <c r="J42" s="358"/>
    </row>
    <row r="43" spans="1:11" x14ac:dyDescent="0.2">
      <c r="A43" s="24" t="s">
        <v>494</v>
      </c>
      <c r="B43" s="156" t="s">
        <v>486</v>
      </c>
      <c r="C43" s="156"/>
      <c r="D43" s="156" t="s">
        <v>464</v>
      </c>
      <c r="E43" s="156" t="s">
        <v>776</v>
      </c>
      <c r="F43" s="156" t="s">
        <v>785</v>
      </c>
      <c r="G43" s="374"/>
      <c r="H43" s="358"/>
      <c r="I43" s="358"/>
      <c r="J43" s="358"/>
    </row>
    <row r="44" spans="1:11" x14ac:dyDescent="0.2">
      <c r="A44" s="24" t="s">
        <v>495</v>
      </c>
      <c r="B44" s="156" t="s">
        <v>486</v>
      </c>
      <c r="C44" s="156"/>
      <c r="D44" s="156" t="s">
        <v>391</v>
      </c>
      <c r="E44" s="156" t="s">
        <v>782</v>
      </c>
      <c r="F44" s="156" t="s">
        <v>785</v>
      </c>
      <c r="G44" s="374"/>
      <c r="H44" s="358"/>
      <c r="I44" s="358"/>
      <c r="J44" s="358"/>
    </row>
    <row r="45" spans="1:11" ht="15" x14ac:dyDescent="0.25">
      <c r="A45" s="24"/>
      <c r="B45"/>
      <c r="C45"/>
      <c r="D45"/>
      <c r="E45"/>
      <c r="F45" s="153"/>
      <c r="G45" s="152"/>
      <c r="H45" s="152"/>
      <c r="I45" s="152"/>
    </row>
    <row r="46" spans="1:11" ht="15" x14ac:dyDescent="0.25">
      <c r="B46"/>
      <c r="C46"/>
      <c r="D46"/>
      <c r="E46"/>
    </row>
    <row r="47" spans="1:11" x14ac:dyDescent="0.2">
      <c r="A47" s="158" t="s">
        <v>793</v>
      </c>
      <c r="B47" s="158" t="s">
        <v>794</v>
      </c>
      <c r="D47" s="158" t="s">
        <v>795</v>
      </c>
      <c r="G47" s="33" t="s">
        <v>496</v>
      </c>
      <c r="H47" s="33"/>
      <c r="I47" s="33"/>
      <c r="J47" s="33"/>
      <c r="K47" s="33"/>
    </row>
    <row r="48" spans="1:11" x14ac:dyDescent="0.2">
      <c r="A48" s="159" t="s">
        <v>497</v>
      </c>
      <c r="B48" s="181" t="s">
        <v>809</v>
      </c>
      <c r="C48" s="181" t="s">
        <v>810</v>
      </c>
      <c r="D48" s="120" t="s">
        <v>37</v>
      </c>
      <c r="E48" s="120" t="s">
        <v>191</v>
      </c>
      <c r="F48" s="120" t="s">
        <v>192</v>
      </c>
      <c r="G48" s="120" t="s">
        <v>193</v>
      </c>
      <c r="H48" s="120" t="s">
        <v>194</v>
      </c>
    </row>
    <row r="49" spans="1:9" x14ac:dyDescent="0.2">
      <c r="A49" s="161" t="s">
        <v>241</v>
      </c>
      <c r="B49" s="162" t="s">
        <v>787</v>
      </c>
      <c r="C49" s="162"/>
      <c r="D49" s="121" t="s">
        <v>242</v>
      </c>
    </row>
    <row r="50" spans="1:9" x14ac:dyDescent="0.2">
      <c r="A50" s="159" t="s">
        <v>498</v>
      </c>
      <c r="B50" s="160" t="s">
        <v>778</v>
      </c>
      <c r="C50" s="160" t="s">
        <v>386</v>
      </c>
      <c r="D50" s="121" t="s">
        <v>499</v>
      </c>
      <c r="E50" s="122">
        <v>24</v>
      </c>
      <c r="F50" s="122" t="s">
        <v>500</v>
      </c>
      <c r="G50" s="122" t="s">
        <v>501</v>
      </c>
      <c r="H50" s="122" t="s">
        <v>199</v>
      </c>
      <c r="I50" s="114"/>
    </row>
    <row r="51" spans="1:9" x14ac:dyDescent="0.2">
      <c r="A51" s="159" t="s">
        <v>502</v>
      </c>
      <c r="B51" s="160" t="s">
        <v>778</v>
      </c>
      <c r="C51" s="160" t="s">
        <v>396</v>
      </c>
      <c r="D51" s="121" t="s">
        <v>503</v>
      </c>
      <c r="E51" s="122">
        <v>63</v>
      </c>
      <c r="F51" s="122" t="s">
        <v>504</v>
      </c>
      <c r="G51" s="122" t="s">
        <v>501</v>
      </c>
      <c r="H51" s="122" t="s">
        <v>199</v>
      </c>
      <c r="I51" s="114"/>
    </row>
    <row r="52" spans="1:9" x14ac:dyDescent="0.2">
      <c r="A52" s="159" t="s">
        <v>505</v>
      </c>
      <c r="B52" s="160" t="s">
        <v>778</v>
      </c>
      <c r="C52" s="160" t="s">
        <v>402</v>
      </c>
      <c r="D52" s="121" t="s">
        <v>506</v>
      </c>
      <c r="E52" s="122">
        <v>124</v>
      </c>
      <c r="F52" s="122" t="s">
        <v>507</v>
      </c>
      <c r="G52" s="122" t="s">
        <v>501</v>
      </c>
      <c r="H52" s="122" t="s">
        <v>199</v>
      </c>
      <c r="I52" s="114"/>
    </row>
    <row r="53" spans="1:9" x14ac:dyDescent="0.2">
      <c r="A53" s="159" t="s">
        <v>508</v>
      </c>
      <c r="B53" s="160" t="s">
        <v>778</v>
      </c>
      <c r="C53" s="160" t="s">
        <v>509</v>
      </c>
      <c r="D53" s="121" t="s">
        <v>510</v>
      </c>
      <c r="E53" s="122">
        <v>300</v>
      </c>
      <c r="F53" s="122" t="s">
        <v>511</v>
      </c>
      <c r="G53" s="122" t="s">
        <v>501</v>
      </c>
      <c r="H53" s="122" t="s">
        <v>199</v>
      </c>
      <c r="I53" s="114"/>
    </row>
    <row r="54" spans="1:9" x14ac:dyDescent="0.2">
      <c r="A54" s="159" t="s">
        <v>512</v>
      </c>
      <c r="B54" s="160" t="s">
        <v>778</v>
      </c>
      <c r="C54" s="160" t="s">
        <v>387</v>
      </c>
      <c r="D54" s="121" t="s">
        <v>513</v>
      </c>
      <c r="E54" s="122">
        <v>300</v>
      </c>
      <c r="F54" s="122" t="s">
        <v>511</v>
      </c>
      <c r="G54" s="122" t="s">
        <v>501</v>
      </c>
      <c r="H54" s="122" t="s">
        <v>199</v>
      </c>
      <c r="I54" s="114"/>
    </row>
    <row r="55" spans="1:9" x14ac:dyDescent="0.2">
      <c r="A55" s="159" t="s">
        <v>514</v>
      </c>
      <c r="B55" s="160" t="s">
        <v>778</v>
      </c>
      <c r="C55" s="160" t="s">
        <v>515</v>
      </c>
      <c r="D55" s="121" t="s">
        <v>516</v>
      </c>
      <c r="E55" s="122">
        <v>300</v>
      </c>
      <c r="F55" s="122" t="s">
        <v>511</v>
      </c>
      <c r="G55" s="122" t="s">
        <v>501</v>
      </c>
      <c r="H55" s="122" t="s">
        <v>199</v>
      </c>
    </row>
    <row r="56" spans="1:9" x14ac:dyDescent="0.2">
      <c r="A56" s="159" t="s">
        <v>517</v>
      </c>
      <c r="B56" s="160" t="s">
        <v>779</v>
      </c>
      <c r="C56" s="160" t="s">
        <v>386</v>
      </c>
      <c r="D56" s="121" t="s">
        <v>198</v>
      </c>
      <c r="E56" s="122">
        <v>24</v>
      </c>
      <c r="F56" s="122" t="s">
        <v>500</v>
      </c>
      <c r="G56" s="122" t="s">
        <v>501</v>
      </c>
      <c r="H56" s="122" t="s">
        <v>199</v>
      </c>
    </row>
    <row r="57" spans="1:9" x14ac:dyDescent="0.2">
      <c r="A57" s="159" t="s">
        <v>518</v>
      </c>
      <c r="B57" s="160" t="s">
        <v>779</v>
      </c>
      <c r="C57" s="160" t="s">
        <v>396</v>
      </c>
      <c r="D57" s="121" t="s">
        <v>519</v>
      </c>
      <c r="E57" s="122">
        <v>63</v>
      </c>
      <c r="F57" s="122" t="s">
        <v>504</v>
      </c>
      <c r="G57" s="122" t="s">
        <v>501</v>
      </c>
      <c r="H57" s="122" t="s">
        <v>199</v>
      </c>
    </row>
    <row r="58" spans="1:9" x14ac:dyDescent="0.2">
      <c r="A58" s="159" t="s">
        <v>520</v>
      </c>
      <c r="B58" s="160" t="s">
        <v>779</v>
      </c>
      <c r="C58" s="160" t="s">
        <v>402</v>
      </c>
      <c r="D58" s="121" t="s">
        <v>521</v>
      </c>
      <c r="E58" s="122">
        <v>124</v>
      </c>
      <c r="F58" s="122" t="s">
        <v>507</v>
      </c>
      <c r="G58" s="122" t="s">
        <v>501</v>
      </c>
      <c r="H58" s="122" t="s">
        <v>199</v>
      </c>
    </row>
    <row r="59" spans="1:9" x14ac:dyDescent="0.2">
      <c r="A59" s="159" t="s">
        <v>522</v>
      </c>
      <c r="B59" s="160" t="s">
        <v>779</v>
      </c>
      <c r="C59" s="160" t="s">
        <v>509</v>
      </c>
      <c r="D59" s="121" t="s">
        <v>523</v>
      </c>
      <c r="E59" s="122">
        <v>300</v>
      </c>
      <c r="F59" s="122" t="s">
        <v>511</v>
      </c>
      <c r="G59" s="122" t="s">
        <v>501</v>
      </c>
      <c r="H59" s="122" t="s">
        <v>199</v>
      </c>
    </row>
    <row r="60" spans="1:9" x14ac:dyDescent="0.2">
      <c r="A60" s="159" t="s">
        <v>524</v>
      </c>
      <c r="B60" s="160" t="s">
        <v>779</v>
      </c>
      <c r="C60" s="160" t="s">
        <v>387</v>
      </c>
      <c r="D60" s="121" t="s">
        <v>525</v>
      </c>
      <c r="E60" s="122">
        <v>300</v>
      </c>
      <c r="F60" s="122" t="s">
        <v>511</v>
      </c>
      <c r="G60" s="122" t="s">
        <v>501</v>
      </c>
      <c r="H60" s="122" t="s">
        <v>199</v>
      </c>
    </row>
    <row r="61" spans="1:9" x14ac:dyDescent="0.2">
      <c r="A61" s="159" t="s">
        <v>526</v>
      </c>
      <c r="B61" s="160" t="s">
        <v>779</v>
      </c>
      <c r="C61" s="160" t="s">
        <v>515</v>
      </c>
      <c r="D61" s="121" t="s">
        <v>527</v>
      </c>
      <c r="E61" s="122">
        <v>300</v>
      </c>
      <c r="F61" s="122" t="s">
        <v>511</v>
      </c>
      <c r="G61" s="122" t="s">
        <v>501</v>
      </c>
      <c r="H61" s="122" t="s">
        <v>199</v>
      </c>
    </row>
    <row r="62" spans="1:9" x14ac:dyDescent="0.2">
      <c r="A62" s="159" t="s">
        <v>528</v>
      </c>
      <c r="B62" s="160" t="s">
        <v>780</v>
      </c>
      <c r="C62" s="160" t="s">
        <v>386</v>
      </c>
      <c r="D62" s="121" t="s">
        <v>202</v>
      </c>
      <c r="E62" s="122">
        <v>24</v>
      </c>
      <c r="F62" s="122" t="s">
        <v>500</v>
      </c>
      <c r="G62" s="122" t="s">
        <v>501</v>
      </c>
      <c r="H62" s="122" t="s">
        <v>199</v>
      </c>
    </row>
    <row r="63" spans="1:9" x14ac:dyDescent="0.2">
      <c r="A63" s="159" t="s">
        <v>529</v>
      </c>
      <c r="B63" s="160" t="s">
        <v>780</v>
      </c>
      <c r="C63" s="160" t="s">
        <v>396</v>
      </c>
      <c r="D63" s="121" t="s">
        <v>530</v>
      </c>
      <c r="E63" s="122">
        <v>63</v>
      </c>
      <c r="F63" s="122" t="s">
        <v>504</v>
      </c>
      <c r="G63" s="122" t="s">
        <v>501</v>
      </c>
      <c r="H63" s="122" t="s">
        <v>199</v>
      </c>
    </row>
    <row r="64" spans="1:9" x14ac:dyDescent="0.2">
      <c r="A64" s="159" t="s">
        <v>531</v>
      </c>
      <c r="B64" s="160" t="s">
        <v>780</v>
      </c>
      <c r="C64" s="160" t="s">
        <v>402</v>
      </c>
      <c r="D64" s="121" t="s">
        <v>532</v>
      </c>
      <c r="E64" s="122">
        <v>124</v>
      </c>
      <c r="F64" s="122" t="s">
        <v>507</v>
      </c>
      <c r="G64" s="122" t="s">
        <v>501</v>
      </c>
      <c r="H64" s="122" t="s">
        <v>199</v>
      </c>
    </row>
    <row r="65" spans="1:8" x14ac:dyDescent="0.2">
      <c r="A65" s="159" t="s">
        <v>533</v>
      </c>
      <c r="B65" s="160" t="s">
        <v>780</v>
      </c>
      <c r="C65" s="160" t="s">
        <v>509</v>
      </c>
      <c r="D65" s="121" t="s">
        <v>534</v>
      </c>
      <c r="E65" s="122">
        <v>300</v>
      </c>
      <c r="F65" s="122" t="s">
        <v>511</v>
      </c>
      <c r="G65" s="122" t="s">
        <v>501</v>
      </c>
      <c r="H65" s="122" t="s">
        <v>199</v>
      </c>
    </row>
    <row r="66" spans="1:8" x14ac:dyDescent="0.2">
      <c r="A66" s="159" t="s">
        <v>535</v>
      </c>
      <c r="B66" s="160" t="s">
        <v>780</v>
      </c>
      <c r="C66" s="160" t="s">
        <v>387</v>
      </c>
      <c r="D66" s="121" t="s">
        <v>536</v>
      </c>
      <c r="E66" s="122">
        <v>300</v>
      </c>
      <c r="F66" s="122" t="s">
        <v>511</v>
      </c>
      <c r="G66" s="122" t="s">
        <v>501</v>
      </c>
      <c r="H66" s="122" t="s">
        <v>199</v>
      </c>
    </row>
    <row r="67" spans="1:8" x14ac:dyDescent="0.2">
      <c r="A67" s="159" t="s">
        <v>537</v>
      </c>
      <c r="B67" s="160" t="s">
        <v>780</v>
      </c>
      <c r="C67" s="160" t="s">
        <v>515</v>
      </c>
      <c r="D67" s="121" t="s">
        <v>538</v>
      </c>
      <c r="E67" s="122">
        <v>300</v>
      </c>
      <c r="F67" s="122" t="s">
        <v>511</v>
      </c>
      <c r="G67" s="122" t="s">
        <v>501</v>
      </c>
      <c r="H67" s="122" t="s">
        <v>199</v>
      </c>
    </row>
    <row r="68" spans="1:8" x14ac:dyDescent="0.2">
      <c r="A68" s="159" t="s">
        <v>539</v>
      </c>
      <c r="B68" s="160" t="s">
        <v>781</v>
      </c>
      <c r="C68" s="160" t="s">
        <v>386</v>
      </c>
      <c r="D68" s="121" t="s">
        <v>204</v>
      </c>
      <c r="E68" s="122">
        <v>24</v>
      </c>
      <c r="F68" s="122" t="s">
        <v>500</v>
      </c>
      <c r="G68" s="122" t="s">
        <v>501</v>
      </c>
      <c r="H68" s="122" t="s">
        <v>199</v>
      </c>
    </row>
    <row r="69" spans="1:8" x14ac:dyDescent="0.2">
      <c r="A69" s="159" t="s">
        <v>540</v>
      </c>
      <c r="B69" s="160" t="s">
        <v>781</v>
      </c>
      <c r="C69" s="160" t="s">
        <v>396</v>
      </c>
      <c r="D69" s="121" t="s">
        <v>541</v>
      </c>
      <c r="E69" s="122">
        <v>63</v>
      </c>
      <c r="F69" s="122" t="s">
        <v>504</v>
      </c>
      <c r="G69" s="122" t="s">
        <v>501</v>
      </c>
      <c r="H69" s="122" t="s">
        <v>199</v>
      </c>
    </row>
    <row r="70" spans="1:8" x14ac:dyDescent="0.2">
      <c r="A70" s="159" t="s">
        <v>542</v>
      </c>
      <c r="B70" s="160" t="s">
        <v>781</v>
      </c>
      <c r="C70" s="160" t="s">
        <v>402</v>
      </c>
      <c r="D70" s="121" t="s">
        <v>543</v>
      </c>
      <c r="E70" s="122">
        <v>124</v>
      </c>
      <c r="F70" s="122" t="s">
        <v>507</v>
      </c>
      <c r="G70" s="122" t="s">
        <v>501</v>
      </c>
      <c r="H70" s="122" t="s">
        <v>199</v>
      </c>
    </row>
    <row r="71" spans="1:8" x14ac:dyDescent="0.2">
      <c r="A71" s="159" t="s">
        <v>544</v>
      </c>
      <c r="B71" s="160" t="s">
        <v>781</v>
      </c>
      <c r="C71" s="160" t="s">
        <v>509</v>
      </c>
      <c r="D71" s="121" t="s">
        <v>545</v>
      </c>
      <c r="E71" s="122">
        <v>300</v>
      </c>
      <c r="F71" s="122" t="s">
        <v>511</v>
      </c>
      <c r="G71" s="122" t="s">
        <v>501</v>
      </c>
      <c r="H71" s="122" t="s">
        <v>199</v>
      </c>
    </row>
    <row r="72" spans="1:8" x14ac:dyDescent="0.2">
      <c r="A72" s="159" t="s">
        <v>546</v>
      </c>
      <c r="B72" s="160" t="s">
        <v>781</v>
      </c>
      <c r="C72" s="160" t="s">
        <v>387</v>
      </c>
      <c r="D72" s="121" t="s">
        <v>547</v>
      </c>
      <c r="E72" s="122">
        <v>300</v>
      </c>
      <c r="F72" s="122" t="s">
        <v>511</v>
      </c>
      <c r="G72" s="122" t="s">
        <v>501</v>
      </c>
      <c r="H72" s="122" t="s">
        <v>199</v>
      </c>
    </row>
    <row r="73" spans="1:8" x14ac:dyDescent="0.2">
      <c r="A73" s="159" t="s">
        <v>548</v>
      </c>
      <c r="B73" s="160" t="s">
        <v>781</v>
      </c>
      <c r="C73" s="160" t="s">
        <v>515</v>
      </c>
      <c r="D73" s="121" t="s">
        <v>549</v>
      </c>
      <c r="E73" s="122">
        <v>300</v>
      </c>
      <c r="F73" s="122" t="s">
        <v>511</v>
      </c>
      <c r="G73" s="122" t="s">
        <v>501</v>
      </c>
      <c r="H73" s="122" t="s">
        <v>199</v>
      </c>
    </row>
    <row r="74" spans="1:8" x14ac:dyDescent="0.2">
      <c r="A74" s="159" t="s">
        <v>550</v>
      </c>
      <c r="B74" s="160" t="s">
        <v>783</v>
      </c>
      <c r="C74" s="160" t="s">
        <v>386</v>
      </c>
      <c r="D74" s="121" t="s">
        <v>206</v>
      </c>
      <c r="E74" s="122">
        <v>24</v>
      </c>
      <c r="F74" s="122" t="s">
        <v>500</v>
      </c>
      <c r="G74" s="122" t="s">
        <v>501</v>
      </c>
      <c r="H74" s="122" t="s">
        <v>199</v>
      </c>
    </row>
    <row r="75" spans="1:8" x14ac:dyDescent="0.2">
      <c r="A75" s="159" t="s">
        <v>551</v>
      </c>
      <c r="B75" s="160" t="s">
        <v>783</v>
      </c>
      <c r="C75" s="160" t="s">
        <v>396</v>
      </c>
      <c r="D75" s="121" t="s">
        <v>552</v>
      </c>
      <c r="E75" s="122">
        <v>63</v>
      </c>
      <c r="F75" s="122" t="s">
        <v>504</v>
      </c>
      <c r="G75" s="122" t="s">
        <v>501</v>
      </c>
      <c r="H75" s="122" t="s">
        <v>199</v>
      </c>
    </row>
    <row r="76" spans="1:8" x14ac:dyDescent="0.2">
      <c r="A76" s="159" t="s">
        <v>928</v>
      </c>
      <c r="B76" s="160" t="s">
        <v>783</v>
      </c>
      <c r="C76" s="160" t="s">
        <v>402</v>
      </c>
      <c r="D76" s="121" t="s">
        <v>926</v>
      </c>
      <c r="E76" s="122">
        <v>124</v>
      </c>
      <c r="F76" s="122" t="s">
        <v>507</v>
      </c>
      <c r="G76" s="122" t="s">
        <v>501</v>
      </c>
      <c r="H76" s="122" t="s">
        <v>199</v>
      </c>
    </row>
    <row r="77" spans="1:8" x14ac:dyDescent="0.2">
      <c r="A77" s="159" t="s">
        <v>929</v>
      </c>
      <c r="B77" s="160" t="s">
        <v>783</v>
      </c>
      <c r="C77" s="160" t="s">
        <v>509</v>
      </c>
      <c r="D77" s="121" t="s">
        <v>927</v>
      </c>
      <c r="E77" s="122">
        <v>300</v>
      </c>
      <c r="F77" s="122" t="s">
        <v>511</v>
      </c>
      <c r="G77" s="122" t="s">
        <v>501</v>
      </c>
      <c r="H77" s="122" t="s">
        <v>199</v>
      </c>
    </row>
    <row r="78" spans="1:8" x14ac:dyDescent="0.2">
      <c r="A78" s="159" t="s">
        <v>930</v>
      </c>
      <c r="B78" s="160" t="s">
        <v>783</v>
      </c>
      <c r="C78" s="160" t="s">
        <v>387</v>
      </c>
      <c r="D78" s="121" t="s">
        <v>932</v>
      </c>
      <c r="E78" s="122">
        <v>300</v>
      </c>
      <c r="F78" s="122" t="s">
        <v>511</v>
      </c>
      <c r="G78" s="122" t="s">
        <v>501</v>
      </c>
      <c r="H78" s="122" t="s">
        <v>199</v>
      </c>
    </row>
    <row r="79" spans="1:8" x14ac:dyDescent="0.2">
      <c r="A79" s="159" t="s">
        <v>931</v>
      </c>
      <c r="B79" s="160" t="s">
        <v>783</v>
      </c>
      <c r="C79" s="160" t="s">
        <v>515</v>
      </c>
      <c r="D79" s="121" t="s">
        <v>933</v>
      </c>
      <c r="E79" s="122">
        <v>300</v>
      </c>
      <c r="F79" s="122" t="s">
        <v>511</v>
      </c>
      <c r="G79" s="122" t="s">
        <v>501</v>
      </c>
      <c r="H79" s="122" t="s">
        <v>199</v>
      </c>
    </row>
    <row r="80" spans="1:8" x14ac:dyDescent="0.2">
      <c r="A80" s="159" t="s">
        <v>553</v>
      </c>
      <c r="B80" s="160" t="s">
        <v>784</v>
      </c>
      <c r="C80" s="160" t="s">
        <v>386</v>
      </c>
      <c r="D80" s="121" t="s">
        <v>208</v>
      </c>
      <c r="E80" s="122">
        <v>24</v>
      </c>
      <c r="F80" s="122" t="s">
        <v>500</v>
      </c>
      <c r="G80" s="122" t="s">
        <v>501</v>
      </c>
      <c r="H80" s="122" t="s">
        <v>199</v>
      </c>
    </row>
    <row r="81" spans="1:8" x14ac:dyDescent="0.2">
      <c r="A81" s="159" t="s">
        <v>554</v>
      </c>
      <c r="B81" s="160" t="s">
        <v>784</v>
      </c>
      <c r="C81" s="160" t="s">
        <v>396</v>
      </c>
      <c r="D81" s="121" t="s">
        <v>555</v>
      </c>
      <c r="E81" s="122">
        <v>63</v>
      </c>
      <c r="F81" s="122" t="s">
        <v>504</v>
      </c>
      <c r="G81" s="122" t="s">
        <v>501</v>
      </c>
      <c r="H81" s="122" t="s">
        <v>199</v>
      </c>
    </row>
    <row r="82" spans="1:8" x14ac:dyDescent="0.2">
      <c r="A82" s="159" t="s">
        <v>938</v>
      </c>
      <c r="B82" s="160" t="s">
        <v>783</v>
      </c>
      <c r="C82" s="160" t="s">
        <v>402</v>
      </c>
      <c r="D82" s="121" t="s">
        <v>934</v>
      </c>
      <c r="E82" s="122">
        <v>124</v>
      </c>
      <c r="F82" s="122" t="s">
        <v>507</v>
      </c>
      <c r="G82" s="122" t="s">
        <v>501</v>
      </c>
      <c r="H82" s="122" t="s">
        <v>199</v>
      </c>
    </row>
    <row r="83" spans="1:8" x14ac:dyDescent="0.2">
      <c r="A83" s="159" t="s">
        <v>939</v>
      </c>
      <c r="B83" s="160" t="s">
        <v>783</v>
      </c>
      <c r="C83" s="160" t="s">
        <v>509</v>
      </c>
      <c r="D83" s="121" t="s">
        <v>935</v>
      </c>
      <c r="E83" s="122">
        <v>300</v>
      </c>
      <c r="F83" s="122" t="s">
        <v>511</v>
      </c>
      <c r="G83" s="122" t="s">
        <v>501</v>
      </c>
      <c r="H83" s="122" t="s">
        <v>199</v>
      </c>
    </row>
    <row r="84" spans="1:8" x14ac:dyDescent="0.2">
      <c r="A84" s="159" t="s">
        <v>940</v>
      </c>
      <c r="B84" s="160" t="s">
        <v>783</v>
      </c>
      <c r="C84" s="160" t="s">
        <v>387</v>
      </c>
      <c r="D84" s="121" t="s">
        <v>936</v>
      </c>
      <c r="E84" s="122">
        <v>300</v>
      </c>
      <c r="F84" s="122" t="s">
        <v>511</v>
      </c>
      <c r="G84" s="122" t="s">
        <v>501</v>
      </c>
      <c r="H84" s="122" t="s">
        <v>199</v>
      </c>
    </row>
    <row r="85" spans="1:8" x14ac:dyDescent="0.2">
      <c r="A85" s="159" t="s">
        <v>941</v>
      </c>
      <c r="B85" s="160" t="s">
        <v>783</v>
      </c>
      <c r="C85" s="160" t="s">
        <v>515</v>
      </c>
      <c r="D85" s="121" t="s">
        <v>937</v>
      </c>
      <c r="E85" s="122">
        <v>300</v>
      </c>
      <c r="F85" s="122" t="s">
        <v>511</v>
      </c>
      <c r="G85" s="122" t="s">
        <v>501</v>
      </c>
      <c r="H85" s="122" t="s">
        <v>199</v>
      </c>
    </row>
    <row r="86" spans="1:8" x14ac:dyDescent="0.2">
      <c r="A86" s="159" t="s">
        <v>556</v>
      </c>
      <c r="B86" s="160" t="s">
        <v>788</v>
      </c>
      <c r="C86" s="160" t="s">
        <v>397</v>
      </c>
      <c r="D86" s="121" t="s">
        <v>557</v>
      </c>
      <c r="E86" s="122">
        <v>15</v>
      </c>
      <c r="F86" s="122" t="s">
        <v>558</v>
      </c>
      <c r="G86" s="122" t="s">
        <v>210</v>
      </c>
      <c r="H86" s="123" t="s">
        <v>211</v>
      </c>
    </row>
    <row r="87" spans="1:8" x14ac:dyDescent="0.2">
      <c r="A87" s="159" t="s">
        <v>559</v>
      </c>
      <c r="B87" s="160" t="s">
        <v>788</v>
      </c>
      <c r="C87" s="160" t="s">
        <v>388</v>
      </c>
      <c r="D87" s="121" t="s">
        <v>560</v>
      </c>
      <c r="E87" s="122">
        <v>24</v>
      </c>
      <c r="F87" s="122" t="s">
        <v>561</v>
      </c>
      <c r="G87" s="122" t="s">
        <v>210</v>
      </c>
      <c r="H87" s="123" t="s">
        <v>211</v>
      </c>
    </row>
    <row r="88" spans="1:8" x14ac:dyDescent="0.2">
      <c r="A88" s="159" t="s">
        <v>562</v>
      </c>
      <c r="B88" s="160" t="s">
        <v>788</v>
      </c>
      <c r="C88" s="160" t="s">
        <v>398</v>
      </c>
      <c r="D88" s="121" t="s">
        <v>563</v>
      </c>
      <c r="E88" s="122">
        <v>38</v>
      </c>
      <c r="F88" s="122" t="s">
        <v>564</v>
      </c>
      <c r="G88" s="122" t="s">
        <v>210</v>
      </c>
      <c r="H88" s="140" t="s">
        <v>211</v>
      </c>
    </row>
    <row r="89" spans="1:8" x14ac:dyDescent="0.2">
      <c r="A89" s="159" t="s">
        <v>565</v>
      </c>
      <c r="B89" s="160" t="s">
        <v>788</v>
      </c>
      <c r="C89" s="160" t="s">
        <v>401</v>
      </c>
      <c r="D89" s="121" t="s">
        <v>566</v>
      </c>
      <c r="E89" s="122">
        <v>60</v>
      </c>
      <c r="F89" s="122" t="s">
        <v>567</v>
      </c>
      <c r="G89" s="122" t="s">
        <v>210</v>
      </c>
      <c r="H89" s="140" t="s">
        <v>211</v>
      </c>
    </row>
    <row r="90" spans="1:8" x14ac:dyDescent="0.2">
      <c r="A90" s="159" t="s">
        <v>568</v>
      </c>
      <c r="B90" s="160" t="s">
        <v>788</v>
      </c>
      <c r="C90" s="160" t="s">
        <v>389</v>
      </c>
      <c r="D90" s="121" t="s">
        <v>569</v>
      </c>
      <c r="E90" s="122">
        <v>96</v>
      </c>
      <c r="F90" s="122" t="s">
        <v>570</v>
      </c>
      <c r="G90" s="122" t="s">
        <v>210</v>
      </c>
      <c r="H90" s="140" t="s">
        <v>211</v>
      </c>
    </row>
    <row r="91" spans="1:8" x14ac:dyDescent="0.2">
      <c r="A91" s="159" t="s">
        <v>571</v>
      </c>
      <c r="B91" s="160" t="s">
        <v>788</v>
      </c>
      <c r="C91" s="160" t="s">
        <v>403</v>
      </c>
      <c r="D91" s="121" t="s">
        <v>572</v>
      </c>
      <c r="E91" s="122">
        <v>150</v>
      </c>
      <c r="F91" s="122" t="s">
        <v>573</v>
      </c>
      <c r="G91" s="122" t="s">
        <v>210</v>
      </c>
      <c r="H91" s="123" t="s">
        <v>211</v>
      </c>
    </row>
    <row r="92" spans="1:8" x14ac:dyDescent="0.2">
      <c r="A92" s="159" t="s">
        <v>574</v>
      </c>
      <c r="B92" s="160" t="s">
        <v>788</v>
      </c>
      <c r="C92" s="160" t="s">
        <v>575</v>
      </c>
      <c r="D92" s="121" t="s">
        <v>576</v>
      </c>
      <c r="E92" s="122">
        <v>240</v>
      </c>
      <c r="F92" s="122" t="s">
        <v>577</v>
      </c>
      <c r="G92" s="122" t="s">
        <v>210</v>
      </c>
      <c r="H92" s="123" t="s">
        <v>211</v>
      </c>
    </row>
    <row r="93" spans="1:8" x14ac:dyDescent="0.2">
      <c r="A93" s="159" t="s">
        <v>578</v>
      </c>
      <c r="B93" s="160" t="s">
        <v>788</v>
      </c>
      <c r="C93" s="160" t="s">
        <v>390</v>
      </c>
      <c r="D93" s="121" t="s">
        <v>922</v>
      </c>
      <c r="E93" s="122">
        <v>390</v>
      </c>
      <c r="F93" s="122" t="s">
        <v>580</v>
      </c>
      <c r="G93" s="122" t="s">
        <v>210</v>
      </c>
      <c r="H93" s="140" t="s">
        <v>211</v>
      </c>
    </row>
    <row r="94" spans="1:8" x14ac:dyDescent="0.2">
      <c r="A94" s="159" t="s">
        <v>581</v>
      </c>
      <c r="B94" s="160" t="s">
        <v>789</v>
      </c>
      <c r="C94" s="160" t="s">
        <v>397</v>
      </c>
      <c r="D94" s="121" t="s">
        <v>582</v>
      </c>
      <c r="E94" s="122">
        <v>15</v>
      </c>
      <c r="F94" s="122" t="s">
        <v>558</v>
      </c>
      <c r="G94" s="122" t="s">
        <v>210</v>
      </c>
      <c r="H94" s="140" t="s">
        <v>211</v>
      </c>
    </row>
    <row r="95" spans="1:8" x14ac:dyDescent="0.2">
      <c r="A95" s="159" t="s">
        <v>583</v>
      </c>
      <c r="B95" s="160" t="s">
        <v>789</v>
      </c>
      <c r="C95" s="160" t="s">
        <v>388</v>
      </c>
      <c r="D95" s="121" t="s">
        <v>584</v>
      </c>
      <c r="E95" s="122">
        <v>24</v>
      </c>
      <c r="F95" s="122" t="s">
        <v>561</v>
      </c>
      <c r="G95" s="122" t="s">
        <v>210</v>
      </c>
      <c r="H95" s="140" t="s">
        <v>211</v>
      </c>
    </row>
    <row r="96" spans="1:8" x14ac:dyDescent="0.2">
      <c r="A96" s="159" t="s">
        <v>585</v>
      </c>
      <c r="B96" s="160" t="s">
        <v>789</v>
      </c>
      <c r="C96" s="160" t="s">
        <v>398</v>
      </c>
      <c r="D96" s="121" t="s">
        <v>586</v>
      </c>
      <c r="E96" s="122">
        <v>38</v>
      </c>
      <c r="F96" s="122" t="s">
        <v>564</v>
      </c>
      <c r="G96" s="122" t="s">
        <v>210</v>
      </c>
      <c r="H96" s="123" t="s">
        <v>211</v>
      </c>
    </row>
    <row r="97" spans="1:8" x14ac:dyDescent="0.2">
      <c r="A97" s="159" t="s">
        <v>587</v>
      </c>
      <c r="B97" s="160" t="s">
        <v>789</v>
      </c>
      <c r="C97" s="160" t="s">
        <v>401</v>
      </c>
      <c r="D97" s="121" t="s">
        <v>588</v>
      </c>
      <c r="E97" s="122">
        <v>60</v>
      </c>
      <c r="F97" s="122" t="s">
        <v>567</v>
      </c>
      <c r="G97" s="122" t="s">
        <v>210</v>
      </c>
      <c r="H97" s="123" t="s">
        <v>211</v>
      </c>
    </row>
    <row r="98" spans="1:8" x14ac:dyDescent="0.2">
      <c r="A98" s="159" t="s">
        <v>589</v>
      </c>
      <c r="B98" s="160" t="s">
        <v>789</v>
      </c>
      <c r="C98" s="160" t="s">
        <v>389</v>
      </c>
      <c r="D98" s="121" t="s">
        <v>590</v>
      </c>
      <c r="E98" s="122">
        <v>96</v>
      </c>
      <c r="F98" s="122" t="s">
        <v>570</v>
      </c>
      <c r="G98" s="122" t="s">
        <v>210</v>
      </c>
      <c r="H98" s="140" t="s">
        <v>211</v>
      </c>
    </row>
    <row r="99" spans="1:8" x14ac:dyDescent="0.2">
      <c r="A99" s="159" t="s">
        <v>591</v>
      </c>
      <c r="B99" s="160" t="s">
        <v>789</v>
      </c>
      <c r="C99" s="160" t="s">
        <v>403</v>
      </c>
      <c r="D99" s="121" t="s">
        <v>592</v>
      </c>
      <c r="E99" s="122">
        <v>150</v>
      </c>
      <c r="F99" s="122" t="s">
        <v>573</v>
      </c>
      <c r="G99" s="122" t="s">
        <v>210</v>
      </c>
      <c r="H99" s="140" t="s">
        <v>211</v>
      </c>
    </row>
    <row r="100" spans="1:8" x14ac:dyDescent="0.2">
      <c r="A100" s="159" t="s">
        <v>593</v>
      </c>
      <c r="B100" s="160" t="s">
        <v>789</v>
      </c>
      <c r="C100" s="160" t="s">
        <v>575</v>
      </c>
      <c r="D100" s="121" t="s">
        <v>594</v>
      </c>
      <c r="E100" s="122">
        <v>240</v>
      </c>
      <c r="F100" s="122" t="s">
        <v>577</v>
      </c>
      <c r="G100" s="122" t="s">
        <v>210</v>
      </c>
      <c r="H100" s="140" t="s">
        <v>211</v>
      </c>
    </row>
    <row r="101" spans="1:8" x14ac:dyDescent="0.2">
      <c r="A101" s="159" t="s">
        <v>595</v>
      </c>
      <c r="B101" s="160" t="s">
        <v>789</v>
      </c>
      <c r="C101" s="160" t="s">
        <v>390</v>
      </c>
      <c r="D101" s="121" t="s">
        <v>923</v>
      </c>
      <c r="E101" s="122">
        <v>390</v>
      </c>
      <c r="F101" s="122" t="s">
        <v>580</v>
      </c>
      <c r="G101" s="122" t="s">
        <v>210</v>
      </c>
      <c r="H101" s="123" t="s">
        <v>211</v>
      </c>
    </row>
    <row r="102" spans="1:8" x14ac:dyDescent="0.2">
      <c r="A102" s="159" t="s">
        <v>597</v>
      </c>
      <c r="B102" s="160" t="s">
        <v>790</v>
      </c>
      <c r="C102" s="160" t="s">
        <v>397</v>
      </c>
      <c r="D102" s="121" t="s">
        <v>598</v>
      </c>
      <c r="E102" s="122">
        <v>15</v>
      </c>
      <c r="F102" s="122" t="s">
        <v>558</v>
      </c>
      <c r="G102" s="122" t="s">
        <v>210</v>
      </c>
      <c r="H102" s="123" t="s">
        <v>211</v>
      </c>
    </row>
    <row r="103" spans="1:8" x14ac:dyDescent="0.2">
      <c r="A103" s="159" t="s">
        <v>599</v>
      </c>
      <c r="B103" s="160" t="s">
        <v>790</v>
      </c>
      <c r="C103" s="160" t="s">
        <v>388</v>
      </c>
      <c r="D103" s="121" t="s">
        <v>600</v>
      </c>
      <c r="E103" s="122">
        <v>24</v>
      </c>
      <c r="F103" s="122" t="s">
        <v>561</v>
      </c>
      <c r="G103" s="122" t="s">
        <v>210</v>
      </c>
      <c r="H103" s="140" t="s">
        <v>211</v>
      </c>
    </row>
    <row r="104" spans="1:8" x14ac:dyDescent="0.2">
      <c r="A104" s="159" t="s">
        <v>601</v>
      </c>
      <c r="B104" s="160" t="s">
        <v>790</v>
      </c>
      <c r="C104" s="160" t="s">
        <v>398</v>
      </c>
      <c r="D104" s="121" t="s">
        <v>602</v>
      </c>
      <c r="E104" s="122">
        <v>38</v>
      </c>
      <c r="F104" s="122" t="s">
        <v>564</v>
      </c>
      <c r="G104" s="122" t="s">
        <v>210</v>
      </c>
      <c r="H104" s="140" t="s">
        <v>211</v>
      </c>
    </row>
    <row r="105" spans="1:8" x14ac:dyDescent="0.2">
      <c r="A105" s="159" t="s">
        <v>603</v>
      </c>
      <c r="B105" s="160" t="s">
        <v>790</v>
      </c>
      <c r="C105" s="160" t="s">
        <v>401</v>
      </c>
      <c r="D105" s="121" t="s">
        <v>604</v>
      </c>
      <c r="E105" s="122">
        <v>60</v>
      </c>
      <c r="F105" s="122" t="s">
        <v>567</v>
      </c>
      <c r="G105" s="122" t="s">
        <v>210</v>
      </c>
      <c r="H105" s="140" t="s">
        <v>211</v>
      </c>
    </row>
    <row r="106" spans="1:8" x14ac:dyDescent="0.2">
      <c r="A106" s="159" t="s">
        <v>605</v>
      </c>
      <c r="B106" s="160" t="s">
        <v>790</v>
      </c>
      <c r="C106" s="160" t="s">
        <v>389</v>
      </c>
      <c r="D106" s="121" t="s">
        <v>606</v>
      </c>
      <c r="E106" s="122">
        <v>96</v>
      </c>
      <c r="F106" s="122" t="s">
        <v>570</v>
      </c>
      <c r="G106" s="122" t="s">
        <v>210</v>
      </c>
      <c r="H106" s="123" t="s">
        <v>211</v>
      </c>
    </row>
    <row r="107" spans="1:8" x14ac:dyDescent="0.2">
      <c r="A107" s="159" t="s">
        <v>607</v>
      </c>
      <c r="B107" s="160" t="s">
        <v>790</v>
      </c>
      <c r="C107" s="160" t="s">
        <v>403</v>
      </c>
      <c r="D107" s="121" t="s">
        <v>608</v>
      </c>
      <c r="E107" s="122">
        <v>150</v>
      </c>
      <c r="F107" s="122" t="s">
        <v>573</v>
      </c>
      <c r="G107" s="122" t="s">
        <v>210</v>
      </c>
      <c r="H107" s="123" t="s">
        <v>211</v>
      </c>
    </row>
    <row r="108" spans="1:8" x14ac:dyDescent="0.2">
      <c r="A108" s="159" t="s">
        <v>609</v>
      </c>
      <c r="B108" s="160" t="s">
        <v>790</v>
      </c>
      <c r="C108" s="160" t="s">
        <v>575</v>
      </c>
      <c r="D108" s="121" t="s">
        <v>610</v>
      </c>
      <c r="E108" s="122">
        <v>240</v>
      </c>
      <c r="F108" s="122" t="s">
        <v>577</v>
      </c>
      <c r="G108" s="122" t="s">
        <v>210</v>
      </c>
      <c r="H108" s="140" t="s">
        <v>211</v>
      </c>
    </row>
    <row r="109" spans="1:8" x14ac:dyDescent="0.2">
      <c r="A109" s="159" t="s">
        <v>611</v>
      </c>
      <c r="B109" s="160" t="s">
        <v>790</v>
      </c>
      <c r="C109" s="160" t="s">
        <v>390</v>
      </c>
      <c r="D109" s="121" t="s">
        <v>924</v>
      </c>
      <c r="E109" s="122">
        <v>390</v>
      </c>
      <c r="F109" s="122" t="s">
        <v>580</v>
      </c>
      <c r="G109" s="122" t="s">
        <v>210</v>
      </c>
      <c r="H109" s="140" t="s">
        <v>211</v>
      </c>
    </row>
    <row r="110" spans="1:8" x14ac:dyDescent="0.2">
      <c r="A110" s="159" t="s">
        <v>613</v>
      </c>
      <c r="B110" s="160" t="s">
        <v>791</v>
      </c>
      <c r="C110" s="160" t="s">
        <v>397</v>
      </c>
      <c r="D110" s="121" t="s">
        <v>614</v>
      </c>
      <c r="E110" s="122">
        <v>15</v>
      </c>
      <c r="F110" s="122" t="s">
        <v>558</v>
      </c>
      <c r="G110" s="122" t="s">
        <v>210</v>
      </c>
      <c r="H110" s="140" t="s">
        <v>211</v>
      </c>
    </row>
    <row r="111" spans="1:8" x14ac:dyDescent="0.2">
      <c r="A111" s="159" t="s">
        <v>615</v>
      </c>
      <c r="B111" s="160" t="s">
        <v>791</v>
      </c>
      <c r="C111" s="160" t="s">
        <v>388</v>
      </c>
      <c r="D111" s="121" t="s">
        <v>616</v>
      </c>
      <c r="E111" s="122">
        <v>24</v>
      </c>
      <c r="F111" s="122" t="s">
        <v>561</v>
      </c>
      <c r="G111" s="122" t="s">
        <v>210</v>
      </c>
      <c r="H111" s="123" t="s">
        <v>211</v>
      </c>
    </row>
    <row r="112" spans="1:8" x14ac:dyDescent="0.2">
      <c r="A112" s="159" t="s">
        <v>617</v>
      </c>
      <c r="B112" s="160" t="s">
        <v>791</v>
      </c>
      <c r="C112" s="160" t="s">
        <v>398</v>
      </c>
      <c r="D112" s="121" t="s">
        <v>618</v>
      </c>
      <c r="E112" s="122">
        <v>38</v>
      </c>
      <c r="F112" s="122" t="s">
        <v>564</v>
      </c>
      <c r="G112" s="122" t="s">
        <v>210</v>
      </c>
      <c r="H112" s="123" t="s">
        <v>211</v>
      </c>
    </row>
    <row r="113" spans="1:8" x14ac:dyDescent="0.2">
      <c r="A113" s="159" t="s">
        <v>619</v>
      </c>
      <c r="B113" s="160" t="s">
        <v>791</v>
      </c>
      <c r="C113" s="160" t="s">
        <v>401</v>
      </c>
      <c r="D113" s="121" t="s">
        <v>620</v>
      </c>
      <c r="E113" s="122">
        <v>60</v>
      </c>
      <c r="F113" s="122" t="s">
        <v>567</v>
      </c>
      <c r="G113" s="122" t="s">
        <v>210</v>
      </c>
      <c r="H113" s="140" t="s">
        <v>211</v>
      </c>
    </row>
    <row r="114" spans="1:8" x14ac:dyDescent="0.2">
      <c r="A114" s="159" t="s">
        <v>621</v>
      </c>
      <c r="B114" s="160" t="s">
        <v>791</v>
      </c>
      <c r="C114" s="160" t="s">
        <v>389</v>
      </c>
      <c r="D114" s="121" t="s">
        <v>622</v>
      </c>
      <c r="E114" s="122">
        <v>96</v>
      </c>
      <c r="F114" s="122" t="s">
        <v>570</v>
      </c>
      <c r="G114" s="122" t="s">
        <v>210</v>
      </c>
      <c r="H114" s="140" t="s">
        <v>211</v>
      </c>
    </row>
    <row r="115" spans="1:8" x14ac:dyDescent="0.2">
      <c r="A115" s="159" t="s">
        <v>623</v>
      </c>
      <c r="B115" s="160" t="s">
        <v>791</v>
      </c>
      <c r="C115" s="160" t="s">
        <v>403</v>
      </c>
      <c r="D115" s="121" t="s">
        <v>624</v>
      </c>
      <c r="E115" s="122">
        <v>150</v>
      </c>
      <c r="F115" s="122" t="s">
        <v>573</v>
      </c>
      <c r="G115" s="122" t="s">
        <v>210</v>
      </c>
      <c r="H115" s="140" t="s">
        <v>211</v>
      </c>
    </row>
    <row r="116" spans="1:8" x14ac:dyDescent="0.2">
      <c r="A116" s="159" t="s">
        <v>625</v>
      </c>
      <c r="B116" s="160" t="s">
        <v>791</v>
      </c>
      <c r="C116" s="160" t="s">
        <v>575</v>
      </c>
      <c r="D116" s="121" t="s">
        <v>626</v>
      </c>
      <c r="E116" s="122">
        <v>240</v>
      </c>
      <c r="F116" s="122" t="s">
        <v>577</v>
      </c>
      <c r="G116" s="122" t="s">
        <v>210</v>
      </c>
      <c r="H116" s="123" t="s">
        <v>211</v>
      </c>
    </row>
    <row r="117" spans="1:8" x14ac:dyDescent="0.2">
      <c r="A117" s="159" t="s">
        <v>627</v>
      </c>
      <c r="B117" s="160" t="s">
        <v>791</v>
      </c>
      <c r="C117" s="160" t="s">
        <v>390</v>
      </c>
      <c r="D117" s="121" t="s">
        <v>925</v>
      </c>
      <c r="E117" s="122">
        <v>390</v>
      </c>
      <c r="F117" s="122" t="s">
        <v>580</v>
      </c>
      <c r="G117" s="122" t="s">
        <v>210</v>
      </c>
      <c r="H117" s="123" t="s">
        <v>211</v>
      </c>
    </row>
  </sheetData>
  <mergeCells count="7">
    <mergeCell ref="G41:G44"/>
    <mergeCell ref="H41:J44"/>
    <mergeCell ref="G15:J20"/>
    <mergeCell ref="G23:G26"/>
    <mergeCell ref="H23:J26"/>
    <mergeCell ref="G28:J28"/>
    <mergeCell ref="G33:J36"/>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theme="9" tint="-0.249977111117893"/>
  </sheetPr>
  <dimension ref="A1:M139"/>
  <sheetViews>
    <sheetView workbookViewId="0">
      <selection activeCell="B31" sqref="B31"/>
    </sheetView>
  </sheetViews>
  <sheetFormatPr defaultColWidth="9.140625" defaultRowHeight="12.75" x14ac:dyDescent="0.2"/>
  <cols>
    <col min="1" max="1" width="26.28515625" style="36" customWidth="1"/>
    <col min="2" max="2" width="18.140625" style="36" bestFit="1" customWidth="1"/>
    <col min="3" max="3" width="25.85546875" style="36" bestFit="1" customWidth="1"/>
    <col min="4" max="4" width="20.85546875" style="36" customWidth="1"/>
    <col min="5" max="11" width="13.28515625" style="36" customWidth="1"/>
    <col min="12" max="12" width="15.42578125" style="36" bestFit="1" customWidth="1"/>
    <col min="13" max="13" width="18.5703125" style="36" bestFit="1" customWidth="1"/>
    <col min="14" max="14" width="13.28515625" style="36" customWidth="1"/>
    <col min="15" max="16384" width="9.140625" style="36"/>
  </cols>
  <sheetData>
    <row r="1" spans="1:10" ht="15" x14ac:dyDescent="0.25">
      <c r="A1" s="179" t="s">
        <v>802</v>
      </c>
    </row>
    <row r="3" spans="1:10" x14ac:dyDescent="0.2">
      <c r="A3" s="124" t="s">
        <v>145</v>
      </c>
      <c r="B3" s="23" t="s">
        <v>57</v>
      </c>
      <c r="C3" s="23" t="s">
        <v>59</v>
      </c>
      <c r="D3" s="23" t="s">
        <v>61</v>
      </c>
      <c r="E3" s="23" t="s">
        <v>62</v>
      </c>
      <c r="F3" s="23" t="s">
        <v>63</v>
      </c>
      <c r="G3" s="23" t="s">
        <v>64</v>
      </c>
      <c r="H3" s="23" t="s">
        <v>65</v>
      </c>
      <c r="I3" s="31" t="s">
        <v>66</v>
      </c>
      <c r="J3" s="24"/>
    </row>
    <row r="4" spans="1:10" x14ac:dyDescent="0.2">
      <c r="A4" s="29" t="s">
        <v>147</v>
      </c>
      <c r="B4" s="33">
        <v>0.13500000000000001</v>
      </c>
      <c r="C4" s="33">
        <v>0.32</v>
      </c>
      <c r="D4" s="33">
        <v>0.68</v>
      </c>
      <c r="E4" s="33">
        <v>0.86499999999999999</v>
      </c>
      <c r="F4" s="24">
        <v>0</v>
      </c>
      <c r="G4" s="24">
        <v>0</v>
      </c>
      <c r="H4" s="24">
        <v>0</v>
      </c>
      <c r="I4" s="28">
        <v>0</v>
      </c>
      <c r="J4" s="24"/>
    </row>
    <row r="5" spans="1:10" x14ac:dyDescent="0.2">
      <c r="A5" s="29" t="s">
        <v>149</v>
      </c>
      <c r="B5" s="24">
        <v>3.2000000000000001E-2</v>
      </c>
      <c r="C5" s="24">
        <v>0.13500000000000001</v>
      </c>
      <c r="D5" s="24">
        <v>0.32</v>
      </c>
      <c r="E5" s="24">
        <v>0.68</v>
      </c>
      <c r="F5" s="24">
        <v>0.86499999999999999</v>
      </c>
      <c r="G5" s="24">
        <v>0.96799999999999997</v>
      </c>
      <c r="H5" s="24">
        <v>0</v>
      </c>
      <c r="I5" s="28">
        <v>0</v>
      </c>
      <c r="J5" s="24"/>
    </row>
    <row r="6" spans="1:10" x14ac:dyDescent="0.2">
      <c r="A6" s="29" t="s">
        <v>151</v>
      </c>
      <c r="B6" s="24">
        <v>3.4000000000000002E-2</v>
      </c>
      <c r="C6" s="24">
        <v>9.1999999999999998E-2</v>
      </c>
      <c r="D6" s="24">
        <v>0.25</v>
      </c>
      <c r="E6" s="24">
        <v>0.36749999999999999</v>
      </c>
      <c r="F6" s="24">
        <v>0.63249999999999995</v>
      </c>
      <c r="G6" s="24">
        <v>0.75</v>
      </c>
      <c r="H6" s="24">
        <v>0.90800000000000003</v>
      </c>
      <c r="I6" s="28">
        <v>0.96599999999999997</v>
      </c>
      <c r="J6" s="24"/>
    </row>
    <row r="7" spans="1:10" x14ac:dyDescent="0.2">
      <c r="A7" s="29"/>
      <c r="B7" s="24"/>
      <c r="C7" s="24"/>
      <c r="D7" s="24"/>
      <c r="E7" s="24"/>
      <c r="F7" s="24"/>
      <c r="G7" s="24"/>
      <c r="H7" s="24"/>
      <c r="I7" s="28"/>
      <c r="J7" s="25"/>
    </row>
    <row r="8" spans="1:10" x14ac:dyDescent="0.2">
      <c r="A8" s="29" t="s">
        <v>67</v>
      </c>
      <c r="B8" s="24" t="s">
        <v>57</v>
      </c>
      <c r="C8" s="24" t="s">
        <v>59</v>
      </c>
      <c r="D8" s="24" t="s">
        <v>61</v>
      </c>
      <c r="E8" s="24" t="s">
        <v>62</v>
      </c>
      <c r="F8" s="24" t="s">
        <v>63</v>
      </c>
      <c r="G8" s="24" t="s">
        <v>64</v>
      </c>
      <c r="H8" s="24" t="s">
        <v>65</v>
      </c>
      <c r="I8" s="28" t="s">
        <v>66</v>
      </c>
      <c r="J8" s="25"/>
    </row>
    <row r="9" spans="1:10" x14ac:dyDescent="0.2">
      <c r="A9" s="125">
        <v>0.5</v>
      </c>
      <c r="B9" s="116">
        <f>VLOOKUP('TB MIS Sheet'!$E$15,$A$4:$I$6,2,0)</f>
        <v>3.4000000000000002E-2</v>
      </c>
      <c r="C9" s="116">
        <f>VLOOKUP('TB MIS Sheet'!$E$15,$A$4:$I$6,3,0)</f>
        <v>9.1999999999999998E-2</v>
      </c>
      <c r="D9" s="116">
        <f>VLOOKUP('TB MIS Sheet'!$E$15,$A$4:$I$6,4,0)</f>
        <v>0.25</v>
      </c>
      <c r="E9" s="116">
        <f>VLOOKUP('TB MIS Sheet'!$E$15,$A$4:$I$6,5,0)</f>
        <v>0.36749999999999999</v>
      </c>
      <c r="F9" s="116">
        <f>VLOOKUP('TB MIS Sheet'!$E$15,$A$4:$I$6,6,0)</f>
        <v>0.63249999999999995</v>
      </c>
      <c r="G9" s="116">
        <f>VLOOKUP('TB MIS Sheet'!$E$15,$A$4:$I$6,7,0)</f>
        <v>0.75</v>
      </c>
      <c r="H9" s="116">
        <f>VLOOKUP('TB MIS Sheet'!$E$15,$A$4:$I$6,8,0)</f>
        <v>0.90800000000000003</v>
      </c>
      <c r="I9" s="126">
        <f>VLOOKUP('TB MIS Sheet'!$E$15,$A$4:$I$6,9,0)</f>
        <v>0.96599999999999997</v>
      </c>
      <c r="J9" s="25"/>
    </row>
    <row r="10" spans="1:10" x14ac:dyDescent="0.2">
      <c r="A10" s="24"/>
      <c r="B10" s="24"/>
      <c r="C10" s="24"/>
      <c r="D10" s="24"/>
      <c r="E10" s="24"/>
      <c r="F10" s="24"/>
      <c r="G10" s="24"/>
      <c r="H10" s="24"/>
      <c r="I10" s="24"/>
      <c r="J10" s="24"/>
    </row>
    <row r="11" spans="1:10" x14ac:dyDescent="0.2">
      <c r="A11" s="24"/>
      <c r="B11" s="24"/>
      <c r="C11" s="24"/>
      <c r="D11" s="24"/>
      <c r="E11" s="24"/>
      <c r="F11" s="24"/>
      <c r="G11" s="24"/>
      <c r="H11" s="24"/>
      <c r="I11" s="24"/>
      <c r="J11" s="24"/>
    </row>
    <row r="12" spans="1:10" x14ac:dyDescent="0.2">
      <c r="A12" s="24"/>
      <c r="B12" s="24"/>
      <c r="C12" s="24"/>
      <c r="D12" s="24"/>
      <c r="E12" s="24"/>
      <c r="F12" s="24"/>
      <c r="G12" s="24"/>
      <c r="H12" s="24"/>
      <c r="I12" s="24"/>
      <c r="J12" s="24"/>
    </row>
    <row r="13" spans="1:10" x14ac:dyDescent="0.2">
      <c r="A13" s="124" t="s">
        <v>453</v>
      </c>
      <c r="B13" s="23" t="s">
        <v>34</v>
      </c>
      <c r="C13" s="23" t="s">
        <v>36</v>
      </c>
      <c r="D13" s="23" t="s">
        <v>157</v>
      </c>
      <c r="E13" s="23" t="s">
        <v>629</v>
      </c>
      <c r="F13" s="108" t="s">
        <v>435</v>
      </c>
      <c r="G13" s="108" t="s">
        <v>630</v>
      </c>
      <c r="H13" s="108" t="s">
        <v>631</v>
      </c>
      <c r="I13" s="194" t="s">
        <v>848</v>
      </c>
    </row>
    <row r="14" spans="1:10" x14ac:dyDescent="0.2">
      <c r="A14" s="29">
        <v>301</v>
      </c>
      <c r="B14" s="24">
        <v>100</v>
      </c>
      <c r="C14" s="24">
        <v>1.5</v>
      </c>
      <c r="D14" s="24">
        <v>0</v>
      </c>
      <c r="E14" s="38"/>
      <c r="F14" s="38"/>
      <c r="G14" s="38"/>
      <c r="H14" s="38"/>
      <c r="I14" s="195">
        <f>B14+TB_WALLT+TB_PIPEID-C14</f>
        <v>1304.5</v>
      </c>
    </row>
    <row r="15" spans="1:10" x14ac:dyDescent="0.2">
      <c r="A15" s="29">
        <v>302</v>
      </c>
      <c r="B15" s="24">
        <v>100</v>
      </c>
      <c r="C15" s="24">
        <v>1.5</v>
      </c>
      <c r="D15" s="33">
        <v>15</v>
      </c>
      <c r="E15" s="38"/>
      <c r="F15" s="38"/>
      <c r="G15" s="38"/>
      <c r="H15" s="38"/>
      <c r="I15" s="195">
        <f>B15+TB_WALLT+TB_PIPEID+TB_WALLT+D15-C15</f>
        <v>1325.5</v>
      </c>
    </row>
    <row r="16" spans="1:10" x14ac:dyDescent="0.2">
      <c r="A16" s="29">
        <v>401</v>
      </c>
      <c r="B16" s="24">
        <v>150</v>
      </c>
      <c r="C16" s="24">
        <v>1.5</v>
      </c>
      <c r="D16" s="24">
        <v>0</v>
      </c>
      <c r="E16" s="38"/>
      <c r="F16" s="38"/>
      <c r="G16" s="38"/>
      <c r="H16" s="38"/>
      <c r="I16" s="195">
        <f>B16+TB_WALLT+TB_PIPEID-C16</f>
        <v>1354.5</v>
      </c>
    </row>
    <row r="17" spans="1:9" x14ac:dyDescent="0.2">
      <c r="A17" s="29">
        <v>402</v>
      </c>
      <c r="B17" s="24">
        <v>150</v>
      </c>
      <c r="C17" s="24">
        <v>1.5</v>
      </c>
      <c r="D17" s="33">
        <v>20</v>
      </c>
      <c r="E17" s="38"/>
      <c r="F17" s="38"/>
      <c r="G17" s="38"/>
      <c r="H17" s="38"/>
      <c r="I17" s="195">
        <f>B17+TB_WALLT+TB_PIPEID+TB_WALLT+D17-C17</f>
        <v>1380.5</v>
      </c>
    </row>
    <row r="18" spans="1:9" x14ac:dyDescent="0.2">
      <c r="A18" s="29">
        <v>311</v>
      </c>
      <c r="B18" s="24">
        <v>120</v>
      </c>
      <c r="C18" s="24">
        <v>1.5</v>
      </c>
      <c r="D18" s="33">
        <v>0</v>
      </c>
      <c r="E18" s="38"/>
      <c r="F18" s="38"/>
      <c r="G18" s="38"/>
      <c r="H18" s="38"/>
      <c r="I18" s="195">
        <f>B18+TB_GT+TB_FS+TB_WALLT+TB_PIPEID-C18</f>
        <v>1421</v>
      </c>
    </row>
    <row r="19" spans="1:9" x14ac:dyDescent="0.2">
      <c r="A19" s="29">
        <v>312</v>
      </c>
      <c r="B19" s="24">
        <v>120</v>
      </c>
      <c r="C19" s="24">
        <v>1.5</v>
      </c>
      <c r="D19" s="33">
        <v>20</v>
      </c>
      <c r="E19" s="38"/>
      <c r="F19" s="38"/>
      <c r="G19" s="38"/>
      <c r="H19" s="38"/>
      <c r="I19" s="195">
        <f>B19+TB_GT+TB_FS+TB_WALLT+TB_PIPEID+TB_WALLT+D19-C19</f>
        <v>1447</v>
      </c>
    </row>
    <row r="20" spans="1:9" x14ac:dyDescent="0.2">
      <c r="A20" s="29">
        <v>411</v>
      </c>
      <c r="B20" s="24">
        <v>120</v>
      </c>
      <c r="C20" s="24">
        <v>1.5</v>
      </c>
      <c r="D20" s="33">
        <v>0</v>
      </c>
      <c r="E20" s="38"/>
      <c r="F20" s="38"/>
      <c r="G20" s="38"/>
      <c r="H20" s="38"/>
      <c r="I20" s="195">
        <f>B20+TB_GT+TB_FS+TB_WALLT+TB_PIPEID-C20</f>
        <v>1421</v>
      </c>
    </row>
    <row r="21" spans="1:9" x14ac:dyDescent="0.2">
      <c r="A21" s="29">
        <v>412</v>
      </c>
      <c r="B21" s="24">
        <v>120</v>
      </c>
      <c r="C21" s="24">
        <v>1.5</v>
      </c>
      <c r="D21" s="33">
        <v>40</v>
      </c>
      <c r="E21" s="38"/>
      <c r="F21" s="38"/>
      <c r="G21" s="38"/>
      <c r="H21" s="38"/>
      <c r="I21" s="195">
        <f>B21+TB_GT+TB_FS+TB_WALLT+TB_PIPEID+TB_WALLT+D21-C21</f>
        <v>1467</v>
      </c>
    </row>
    <row r="22" spans="1:9" x14ac:dyDescent="0.2">
      <c r="A22" s="29">
        <v>511</v>
      </c>
      <c r="B22" s="24">
        <v>120</v>
      </c>
      <c r="C22" s="24">
        <v>3</v>
      </c>
      <c r="D22" s="33">
        <v>0</v>
      </c>
      <c r="E22" s="38"/>
      <c r="F22" s="38"/>
      <c r="G22" s="38"/>
      <c r="H22" s="38"/>
      <c r="I22" s="195"/>
    </row>
    <row r="23" spans="1:9" x14ac:dyDescent="0.2">
      <c r="A23" s="29">
        <v>512</v>
      </c>
      <c r="B23" s="24">
        <v>120</v>
      </c>
      <c r="C23" s="24">
        <v>3</v>
      </c>
      <c r="D23" s="33">
        <v>60</v>
      </c>
      <c r="E23" s="38"/>
      <c r="F23" s="38"/>
      <c r="G23" s="38"/>
      <c r="H23" s="38"/>
      <c r="I23" s="195"/>
    </row>
    <row r="24" spans="1:9" x14ac:dyDescent="0.2">
      <c r="A24" s="29" t="s">
        <v>394</v>
      </c>
      <c r="B24" s="24">
        <v>340</v>
      </c>
      <c r="C24" s="24">
        <v>1.5</v>
      </c>
      <c r="D24" s="24">
        <v>0</v>
      </c>
      <c r="E24" s="38"/>
      <c r="F24" s="38"/>
      <c r="G24" s="38"/>
      <c r="H24" s="38"/>
      <c r="I24" s="195"/>
    </row>
    <row r="25" spans="1:9" x14ac:dyDescent="0.2">
      <c r="A25" s="29" t="s">
        <v>395</v>
      </c>
      <c r="B25" s="24">
        <v>340</v>
      </c>
      <c r="C25" s="24">
        <v>1.5</v>
      </c>
      <c r="D25" s="33">
        <v>20</v>
      </c>
      <c r="E25" s="38"/>
      <c r="F25" s="38"/>
      <c r="G25" s="38"/>
      <c r="H25" s="38"/>
      <c r="I25" s="195"/>
    </row>
    <row r="26" spans="1:9" x14ac:dyDescent="0.2">
      <c r="A26" s="29" t="s">
        <v>177</v>
      </c>
      <c r="B26" s="24">
        <v>280</v>
      </c>
      <c r="C26" s="24">
        <v>1.5</v>
      </c>
      <c r="D26" s="33">
        <v>0</v>
      </c>
      <c r="E26" s="38"/>
      <c r="F26" s="38"/>
      <c r="G26" s="38"/>
      <c r="H26" s="38"/>
      <c r="I26" s="195"/>
    </row>
    <row r="27" spans="1:9" x14ac:dyDescent="0.2">
      <c r="A27" s="29" t="s">
        <v>179</v>
      </c>
      <c r="B27" s="24">
        <v>280</v>
      </c>
      <c r="C27" s="24">
        <v>1.5</v>
      </c>
      <c r="D27" s="33">
        <v>40</v>
      </c>
      <c r="E27" s="38"/>
      <c r="F27" s="38"/>
      <c r="G27" s="38"/>
      <c r="H27" s="38"/>
      <c r="I27" s="195"/>
    </row>
    <row r="28" spans="1:9" x14ac:dyDescent="0.2">
      <c r="A28" s="29" t="s">
        <v>182</v>
      </c>
      <c r="B28" s="24">
        <v>280</v>
      </c>
      <c r="C28" s="24">
        <v>3</v>
      </c>
      <c r="D28" s="33">
        <v>0</v>
      </c>
      <c r="E28" s="38"/>
      <c r="F28" s="38"/>
      <c r="G28" s="38"/>
      <c r="H28" s="38"/>
      <c r="I28" s="195"/>
    </row>
    <row r="29" spans="1:9" x14ac:dyDescent="0.2">
      <c r="A29" s="29" t="s">
        <v>470</v>
      </c>
      <c r="B29" s="24">
        <v>280</v>
      </c>
      <c r="C29" s="24">
        <v>3</v>
      </c>
      <c r="D29" s="33">
        <v>60</v>
      </c>
      <c r="E29" s="38"/>
      <c r="F29" s="38"/>
      <c r="G29" s="38"/>
      <c r="H29" s="38"/>
      <c r="I29" s="195"/>
    </row>
    <row r="30" spans="1:9" x14ac:dyDescent="0.2">
      <c r="A30" s="29" t="s">
        <v>471</v>
      </c>
      <c r="B30" s="24">
        <v>190</v>
      </c>
      <c r="C30" s="24">
        <v>1.5</v>
      </c>
      <c r="D30" s="24">
        <v>0</v>
      </c>
      <c r="E30" s="24">
        <v>10</v>
      </c>
      <c r="F30" s="24">
        <f>(TB_PIPEID+250)/2</f>
        <v>725</v>
      </c>
      <c r="G30" s="24" t="s">
        <v>103</v>
      </c>
      <c r="H30" s="24" t="s">
        <v>103</v>
      </c>
      <c r="I30" s="195"/>
    </row>
    <row r="31" spans="1:9" x14ac:dyDescent="0.2">
      <c r="A31" s="29" t="s">
        <v>474</v>
      </c>
      <c r="B31" s="127">
        <v>100</v>
      </c>
      <c r="C31" s="24">
        <v>1.5</v>
      </c>
      <c r="D31" s="24">
        <v>0</v>
      </c>
      <c r="E31" s="24">
        <v>100</v>
      </c>
      <c r="F31" s="24" t="s">
        <v>103</v>
      </c>
      <c r="G31" s="24" t="e">
        <f>TB_PC+85</f>
        <v>#VALUE!</v>
      </c>
      <c r="H31" s="24" t="e">
        <f>IF('TB MIS Sheet'!$B$22="Yes",TB_PC-80.7,TB_PC-66.5)</f>
        <v>#VALUE!</v>
      </c>
      <c r="I31" s="195"/>
    </row>
    <row r="32" spans="1:9" x14ac:dyDescent="0.2">
      <c r="A32" s="29" t="s">
        <v>476</v>
      </c>
      <c r="B32" s="127">
        <v>288</v>
      </c>
      <c r="C32" s="24">
        <v>1.5</v>
      </c>
      <c r="D32" s="24">
        <v>0</v>
      </c>
      <c r="E32" s="24">
        <v>10</v>
      </c>
      <c r="F32" s="24">
        <f>(TB_PIPEID+405)/2</f>
        <v>802.5</v>
      </c>
      <c r="G32" s="24" t="s">
        <v>103</v>
      </c>
      <c r="H32" s="24" t="s">
        <v>103</v>
      </c>
      <c r="I32" s="195"/>
    </row>
    <row r="33" spans="1:13" x14ac:dyDescent="0.2">
      <c r="A33" s="29" t="s">
        <v>478</v>
      </c>
      <c r="B33" s="127">
        <v>288</v>
      </c>
      <c r="C33" s="24">
        <v>1.5</v>
      </c>
      <c r="D33" s="24">
        <v>20</v>
      </c>
      <c r="E33" s="24">
        <v>10</v>
      </c>
      <c r="F33" s="24">
        <f>(TB_PIPEID+405+TB_ES_LENGTH+TB_WALLT)/2</f>
        <v>805.5</v>
      </c>
      <c r="G33" s="24" t="s">
        <v>103</v>
      </c>
      <c r="H33" s="24" t="s">
        <v>103</v>
      </c>
      <c r="I33" s="195"/>
    </row>
    <row r="34" spans="1:13" x14ac:dyDescent="0.2">
      <c r="A34" s="29" t="s">
        <v>479</v>
      </c>
      <c r="B34" s="128">
        <v>100</v>
      </c>
      <c r="C34" s="24">
        <v>1.5</v>
      </c>
      <c r="D34" s="24">
        <v>0</v>
      </c>
      <c r="E34" s="24">
        <v>90</v>
      </c>
      <c r="F34" s="24" t="s">
        <v>103</v>
      </c>
      <c r="G34" s="24">
        <f>TB_PIPEID+TB_WALLT+TB_ISOVALVE+125</f>
        <v>1331</v>
      </c>
      <c r="H34" s="24" t="e">
        <f>IF('TB MIS Sheet'!$B$22="Yes",TB_PC-80.7,TB_PC-66.5)</f>
        <v>#VALUE!</v>
      </c>
      <c r="I34" s="195"/>
    </row>
    <row r="35" spans="1:13" x14ac:dyDescent="0.2">
      <c r="A35" s="29" t="s">
        <v>482</v>
      </c>
      <c r="B35" s="128">
        <v>100</v>
      </c>
      <c r="C35" s="24">
        <v>1.5</v>
      </c>
      <c r="D35" s="127">
        <v>40</v>
      </c>
      <c r="E35" s="24">
        <v>90</v>
      </c>
      <c r="F35" s="24" t="s">
        <v>103</v>
      </c>
      <c r="G35" s="24">
        <f>TB_PIPEID+TB_WALLT+TB_ISOVALVE+TB_WALLT+TB_ES_LENGTH+125</f>
        <v>1337</v>
      </c>
      <c r="H35" s="24" t="e">
        <f>IF('TB MIS Sheet'!$B$22="Yes",TB_PC-80.7,TB_PC-66.5)</f>
        <v>#VALUE!</v>
      </c>
      <c r="I35" s="195"/>
    </row>
    <row r="36" spans="1:13" x14ac:dyDescent="0.2">
      <c r="A36" s="29" t="s">
        <v>483</v>
      </c>
      <c r="B36" s="127">
        <v>100</v>
      </c>
      <c r="C36" s="24">
        <v>1.5</v>
      </c>
      <c r="D36" s="24">
        <v>0</v>
      </c>
      <c r="E36" s="24">
        <v>90</v>
      </c>
      <c r="F36" s="24" t="s">
        <v>103</v>
      </c>
      <c r="G36" s="24" t="e">
        <f>TB_PC+95</f>
        <v>#VALUE!</v>
      </c>
      <c r="H36" s="24" t="e">
        <f>IF('TB MIS Sheet'!$B$22="Yes",TB_PC-80.7,TB_PC-66.5)</f>
        <v>#VALUE!</v>
      </c>
      <c r="I36" s="195"/>
    </row>
    <row r="37" spans="1:13" x14ac:dyDescent="0.2">
      <c r="A37" s="29" t="s">
        <v>484</v>
      </c>
      <c r="B37" s="127">
        <v>100</v>
      </c>
      <c r="C37" s="24">
        <v>1.5</v>
      </c>
      <c r="D37" s="24">
        <v>40</v>
      </c>
      <c r="E37" s="24">
        <v>90</v>
      </c>
      <c r="F37" s="24" t="s">
        <v>103</v>
      </c>
      <c r="G37" s="24" t="e">
        <f>TB_PC+95</f>
        <v>#VALUE!</v>
      </c>
      <c r="H37" s="24" t="e">
        <f>IF('TB MIS Sheet'!$B$22="Yes",TB_PC-80.7,TB_PC-66.5)</f>
        <v>#VALUE!</v>
      </c>
      <c r="I37" s="195"/>
    </row>
    <row r="38" spans="1:13" x14ac:dyDescent="0.2">
      <c r="A38" s="29" t="s">
        <v>485</v>
      </c>
      <c r="B38" s="127">
        <v>80</v>
      </c>
      <c r="C38" s="24">
        <v>3</v>
      </c>
      <c r="D38" s="24">
        <v>0</v>
      </c>
      <c r="E38" s="24">
        <v>116</v>
      </c>
      <c r="F38" s="24" t="s">
        <v>103</v>
      </c>
      <c r="G38" s="24" t="e">
        <f>TB_PC+95</f>
        <v>#VALUE!</v>
      </c>
      <c r="H38" s="24" t="e">
        <f>IF('TB MIS Sheet'!$B$22="Yes",TB_PC-98.25,TB_PC-72.9)</f>
        <v>#VALUE!</v>
      </c>
      <c r="I38" s="195"/>
    </row>
    <row r="39" spans="1:13" x14ac:dyDescent="0.2">
      <c r="A39" s="29" t="s">
        <v>487</v>
      </c>
      <c r="B39" s="127">
        <v>80</v>
      </c>
      <c r="C39" s="24">
        <v>3</v>
      </c>
      <c r="D39" s="24">
        <v>60</v>
      </c>
      <c r="E39" s="24">
        <v>116</v>
      </c>
      <c r="F39" s="24" t="s">
        <v>103</v>
      </c>
      <c r="G39" s="24" t="e">
        <f>TB_PC+95</f>
        <v>#VALUE!</v>
      </c>
      <c r="H39" s="24" t="e">
        <f>IF('TB MIS Sheet'!$B$22="Yes",TB_PC-98.25,TB_PC-72.9)</f>
        <v>#VALUE!</v>
      </c>
      <c r="I39" s="195"/>
    </row>
    <row r="40" spans="1:13" x14ac:dyDescent="0.2">
      <c r="A40" s="29" t="s">
        <v>488</v>
      </c>
      <c r="B40" s="24">
        <v>587</v>
      </c>
      <c r="C40" s="24">
        <v>1.5</v>
      </c>
      <c r="D40" s="24">
        <v>0</v>
      </c>
      <c r="E40" s="24">
        <v>10</v>
      </c>
      <c r="F40" s="24">
        <f>(TB_PIPEID+405)/2</f>
        <v>802.5</v>
      </c>
      <c r="G40" s="24" t="s">
        <v>103</v>
      </c>
      <c r="H40" s="24" t="s">
        <v>103</v>
      </c>
      <c r="I40" s="195"/>
    </row>
    <row r="41" spans="1:13" x14ac:dyDescent="0.2">
      <c r="A41" s="29" t="s">
        <v>489</v>
      </c>
      <c r="B41" s="24">
        <v>587</v>
      </c>
      <c r="C41" s="24">
        <v>1.5</v>
      </c>
      <c r="D41" s="24">
        <v>20</v>
      </c>
      <c r="E41" s="24">
        <v>10</v>
      </c>
      <c r="F41" s="24">
        <f>(TB_PIPEID+405+TB_ES_LENGTH+TB_WALLT)/2</f>
        <v>805.5</v>
      </c>
      <c r="G41" s="24" t="s">
        <v>103</v>
      </c>
      <c r="H41" s="24" t="s">
        <v>103</v>
      </c>
      <c r="I41" s="195"/>
    </row>
    <row r="42" spans="1:13" x14ac:dyDescent="0.2">
      <c r="A42" s="29" t="s">
        <v>490</v>
      </c>
      <c r="B42" s="128">
        <v>255</v>
      </c>
      <c r="C42" s="24">
        <v>1.5</v>
      </c>
      <c r="D42" s="24">
        <v>0</v>
      </c>
      <c r="E42" s="24">
        <v>90</v>
      </c>
      <c r="F42" s="24" t="s">
        <v>103</v>
      </c>
      <c r="G42" s="24">
        <f>TB_PIPEID+TB_WALLT+TB_ISOVALVE+125</f>
        <v>1331</v>
      </c>
      <c r="H42" s="24" t="e">
        <f>IF('TB MIS Sheet'!$B$22="Yes",TB_PC-80.7,TB_PC-66.5)</f>
        <v>#VALUE!</v>
      </c>
      <c r="I42" s="195"/>
    </row>
    <row r="43" spans="1:13" x14ac:dyDescent="0.2">
      <c r="A43" s="29" t="s">
        <v>491</v>
      </c>
      <c r="B43" s="128">
        <v>255</v>
      </c>
      <c r="C43" s="24">
        <v>1.5</v>
      </c>
      <c r="D43" s="127">
        <v>40</v>
      </c>
      <c r="E43" s="24">
        <v>90</v>
      </c>
      <c r="F43" s="24" t="s">
        <v>103</v>
      </c>
      <c r="G43" s="24">
        <f>TB_PIPEID+TB_WALLT+TB_ISOVALVE+TB_WALLT+TB_ES_LENGTH+125</f>
        <v>1337</v>
      </c>
      <c r="H43" s="24" t="e">
        <f>IF('TB MIS Sheet'!$B$22="Yes",TB_PC-80.7,TB_PC-66.5)</f>
        <v>#VALUE!</v>
      </c>
      <c r="I43" s="195"/>
    </row>
    <row r="44" spans="1:13" x14ac:dyDescent="0.2">
      <c r="A44" s="29" t="s">
        <v>492</v>
      </c>
      <c r="B44" s="127">
        <v>255</v>
      </c>
      <c r="C44" s="24">
        <v>1.5</v>
      </c>
      <c r="D44" s="24">
        <v>0</v>
      </c>
      <c r="E44" s="24">
        <v>100</v>
      </c>
      <c r="F44" s="24" t="s">
        <v>103</v>
      </c>
      <c r="G44" s="24" t="e">
        <f>TB_PC+95</f>
        <v>#VALUE!</v>
      </c>
      <c r="H44" s="24" t="e">
        <f>IF('TB MIS Sheet'!$B$22="Yes",TB_PC-80.7,TB_PC-66.5)</f>
        <v>#VALUE!</v>
      </c>
      <c r="I44" s="195"/>
    </row>
    <row r="45" spans="1:13" x14ac:dyDescent="0.2">
      <c r="A45" s="29" t="s">
        <v>493</v>
      </c>
      <c r="B45" s="127">
        <v>255</v>
      </c>
      <c r="C45" s="24">
        <v>1.5</v>
      </c>
      <c r="D45" s="24">
        <v>40</v>
      </c>
      <c r="E45" s="24">
        <v>100</v>
      </c>
      <c r="F45" s="24" t="s">
        <v>103</v>
      </c>
      <c r="G45" s="24" t="e">
        <f>TB_PC+95</f>
        <v>#VALUE!</v>
      </c>
      <c r="H45" s="24" t="e">
        <f>IF('TB MIS Sheet'!$B$22="Yes",TB_PC-80.7,TB_PC-66.5)</f>
        <v>#VALUE!</v>
      </c>
      <c r="I45" s="195"/>
    </row>
    <row r="46" spans="1:13" x14ac:dyDescent="0.2">
      <c r="A46" s="29" t="s">
        <v>494</v>
      </c>
      <c r="B46" s="127">
        <v>255</v>
      </c>
      <c r="C46" s="24">
        <v>3</v>
      </c>
      <c r="D46" s="24">
        <v>0</v>
      </c>
      <c r="E46" s="24">
        <v>116</v>
      </c>
      <c r="F46" s="24" t="s">
        <v>103</v>
      </c>
      <c r="G46" s="24" t="e">
        <f>TB_PC+95</f>
        <v>#VALUE!</v>
      </c>
      <c r="H46" s="24" t="e">
        <f>IF('TB MIS Sheet'!$B$22="Yes",TB_PC-98.25,TB_PC-72.9)</f>
        <v>#VALUE!</v>
      </c>
      <c r="I46" s="195"/>
    </row>
    <row r="47" spans="1:13" x14ac:dyDescent="0.2">
      <c r="A47" s="125" t="s">
        <v>495</v>
      </c>
      <c r="B47" s="143">
        <v>255</v>
      </c>
      <c r="C47" s="116">
        <v>3</v>
      </c>
      <c r="D47" s="116">
        <v>60</v>
      </c>
      <c r="E47" s="116">
        <v>116</v>
      </c>
      <c r="F47" s="116" t="s">
        <v>103</v>
      </c>
      <c r="G47" s="116" t="e">
        <f>TB_PC+95</f>
        <v>#VALUE!</v>
      </c>
      <c r="H47" s="116" t="e">
        <f>IF('TB MIS Sheet'!$B$22="Yes",TB_PC-98.25,TB_PC-72.9)</f>
        <v>#VALUE!</v>
      </c>
      <c r="I47" s="196"/>
    </row>
    <row r="48" spans="1:13" x14ac:dyDescent="0.2">
      <c r="A48" s="24"/>
      <c r="B48" s="24"/>
      <c r="C48" s="24"/>
      <c r="D48" s="24"/>
      <c r="E48" s="24"/>
      <c r="F48" s="24"/>
      <c r="G48" s="24"/>
      <c r="H48" s="24"/>
      <c r="I48" s="24"/>
      <c r="J48" s="24"/>
      <c r="K48" s="24"/>
      <c r="L48" s="24"/>
      <c r="M48" s="24"/>
    </row>
    <row r="49" spans="1:13" x14ac:dyDescent="0.2">
      <c r="A49" s="124" t="s">
        <v>453</v>
      </c>
      <c r="B49" s="23" t="s">
        <v>158</v>
      </c>
      <c r="C49" s="23" t="s">
        <v>392</v>
      </c>
      <c r="D49" s="23" t="s">
        <v>157</v>
      </c>
      <c r="E49" s="23" t="s">
        <v>159</v>
      </c>
      <c r="F49" s="108" t="s">
        <v>632</v>
      </c>
      <c r="G49" s="109" t="s">
        <v>633</v>
      </c>
      <c r="H49" s="24"/>
      <c r="I49" s="24"/>
      <c r="J49" s="24"/>
      <c r="K49" s="24"/>
      <c r="L49" s="24"/>
      <c r="M49" s="24"/>
    </row>
    <row r="50" spans="1:13" x14ac:dyDescent="0.2">
      <c r="A50" s="29">
        <v>301</v>
      </c>
      <c r="B50" s="24" t="s">
        <v>65</v>
      </c>
      <c r="C50" s="141" t="s">
        <v>65</v>
      </c>
      <c r="D50" s="24" t="s">
        <v>65</v>
      </c>
      <c r="E50" s="24">
        <v>3</v>
      </c>
      <c r="F50" s="24">
        <v>75</v>
      </c>
      <c r="G50" s="110" t="s">
        <v>65</v>
      </c>
      <c r="H50" s="24"/>
      <c r="I50" s="24"/>
      <c r="J50" s="24"/>
      <c r="K50" s="24"/>
      <c r="L50" s="24"/>
      <c r="M50" s="24"/>
    </row>
    <row r="51" spans="1:13" x14ac:dyDescent="0.2">
      <c r="A51" s="29">
        <v>302</v>
      </c>
      <c r="B51" s="24" t="s">
        <v>65</v>
      </c>
      <c r="C51" s="141" t="s">
        <v>65</v>
      </c>
      <c r="D51" s="33" t="s">
        <v>166</v>
      </c>
      <c r="E51" s="24">
        <v>3</v>
      </c>
      <c r="F51" s="24">
        <v>75</v>
      </c>
      <c r="G51" s="110" t="s">
        <v>65</v>
      </c>
      <c r="H51" s="24"/>
      <c r="I51" s="24"/>
      <c r="J51" s="24"/>
      <c r="K51" s="24"/>
      <c r="L51" s="24"/>
      <c r="M51" s="24"/>
    </row>
    <row r="52" spans="1:13" x14ac:dyDescent="0.2">
      <c r="A52" s="29">
        <v>401</v>
      </c>
      <c r="B52" s="24" t="s">
        <v>65</v>
      </c>
      <c r="C52" s="141" t="s">
        <v>65</v>
      </c>
      <c r="D52" s="24" t="s">
        <v>65</v>
      </c>
      <c r="E52" s="24">
        <v>4</v>
      </c>
      <c r="F52" s="24">
        <v>75</v>
      </c>
      <c r="G52" s="110" t="s">
        <v>65</v>
      </c>
      <c r="H52" s="24"/>
      <c r="I52" s="24"/>
      <c r="J52" s="24"/>
      <c r="K52" s="24"/>
      <c r="L52" s="24"/>
      <c r="M52" s="24"/>
    </row>
    <row r="53" spans="1:13" x14ac:dyDescent="0.2">
      <c r="A53" s="29">
        <v>402</v>
      </c>
      <c r="B53" s="24" t="s">
        <v>65</v>
      </c>
      <c r="C53" s="141" t="s">
        <v>65</v>
      </c>
      <c r="D53" s="33" t="s">
        <v>166</v>
      </c>
      <c r="E53" s="24">
        <v>4</v>
      </c>
      <c r="F53" s="24">
        <v>75</v>
      </c>
      <c r="G53" s="110" t="s">
        <v>65</v>
      </c>
      <c r="H53" s="24"/>
      <c r="I53" s="24"/>
      <c r="J53" s="24"/>
      <c r="K53" s="24"/>
      <c r="L53" s="24"/>
      <c r="M53" s="24"/>
    </row>
    <row r="54" spans="1:13" x14ac:dyDescent="0.2">
      <c r="A54" s="29">
        <v>311</v>
      </c>
      <c r="B54" s="24" t="s">
        <v>65</v>
      </c>
      <c r="C54" s="141" t="s">
        <v>166</v>
      </c>
      <c r="D54" s="33" t="s">
        <v>65</v>
      </c>
      <c r="E54" s="24">
        <v>3</v>
      </c>
      <c r="F54" s="141" t="s">
        <v>62</v>
      </c>
      <c r="G54" s="110" t="s">
        <v>65</v>
      </c>
      <c r="H54" s="24"/>
      <c r="I54" s="24"/>
      <c r="J54" s="24"/>
      <c r="K54" s="24"/>
      <c r="L54" s="24"/>
      <c r="M54" s="24"/>
    </row>
    <row r="55" spans="1:13" x14ac:dyDescent="0.2">
      <c r="A55" s="29">
        <v>312</v>
      </c>
      <c r="B55" s="24" t="s">
        <v>65</v>
      </c>
      <c r="C55" s="141" t="s">
        <v>166</v>
      </c>
      <c r="D55" s="33" t="s">
        <v>166</v>
      </c>
      <c r="E55" s="24">
        <v>3</v>
      </c>
      <c r="F55" s="141" t="s">
        <v>62</v>
      </c>
      <c r="G55" s="110" t="s">
        <v>65</v>
      </c>
      <c r="H55" s="24"/>
      <c r="I55" s="24"/>
      <c r="J55" s="24"/>
      <c r="K55" s="24"/>
      <c r="L55" s="24"/>
      <c r="M55" s="24"/>
    </row>
    <row r="56" spans="1:13" x14ac:dyDescent="0.2">
      <c r="A56" s="29">
        <v>411</v>
      </c>
      <c r="B56" s="24" t="s">
        <v>65</v>
      </c>
      <c r="C56" s="141" t="s">
        <v>166</v>
      </c>
      <c r="D56" s="33" t="s">
        <v>65</v>
      </c>
      <c r="E56" s="24">
        <v>4</v>
      </c>
      <c r="F56" s="141" t="s">
        <v>62</v>
      </c>
      <c r="G56" s="110" t="s">
        <v>65</v>
      </c>
      <c r="H56" s="24"/>
      <c r="I56" s="24"/>
      <c r="J56" s="24"/>
      <c r="K56" s="24"/>
      <c r="L56" s="24"/>
      <c r="M56" s="24"/>
    </row>
    <row r="57" spans="1:13" x14ac:dyDescent="0.2">
      <c r="A57" s="29">
        <v>412</v>
      </c>
      <c r="B57" s="24" t="s">
        <v>65</v>
      </c>
      <c r="C57" s="141" t="s">
        <v>166</v>
      </c>
      <c r="D57" s="33" t="s">
        <v>166</v>
      </c>
      <c r="E57" s="24">
        <v>4</v>
      </c>
      <c r="F57" s="141" t="s">
        <v>62</v>
      </c>
      <c r="G57" s="110" t="s">
        <v>65</v>
      </c>
      <c r="H57" s="24"/>
      <c r="I57" s="24"/>
      <c r="J57" s="24"/>
      <c r="K57" s="24"/>
      <c r="L57" s="24"/>
      <c r="M57" s="24"/>
    </row>
    <row r="58" spans="1:13" x14ac:dyDescent="0.2">
      <c r="A58" s="29">
        <v>511</v>
      </c>
      <c r="B58" s="24" t="s">
        <v>65</v>
      </c>
      <c r="C58" s="141" t="s">
        <v>166</v>
      </c>
      <c r="D58" s="33" t="s">
        <v>65</v>
      </c>
      <c r="E58" s="24">
        <v>5</v>
      </c>
      <c r="F58" s="141" t="s">
        <v>62</v>
      </c>
      <c r="G58" s="110" t="s">
        <v>65</v>
      </c>
      <c r="H58" s="24"/>
      <c r="I58" s="24"/>
      <c r="J58" s="24"/>
      <c r="K58" s="24"/>
      <c r="L58" s="24"/>
      <c r="M58" s="24"/>
    </row>
    <row r="59" spans="1:13" x14ac:dyDescent="0.2">
      <c r="A59" s="29">
        <v>512</v>
      </c>
      <c r="B59" s="24" t="s">
        <v>65</v>
      </c>
      <c r="C59" s="141" t="s">
        <v>166</v>
      </c>
      <c r="D59" s="33" t="s">
        <v>166</v>
      </c>
      <c r="E59" s="24">
        <v>5</v>
      </c>
      <c r="F59" s="141" t="s">
        <v>62</v>
      </c>
      <c r="G59" s="110" t="s">
        <v>65</v>
      </c>
      <c r="H59" s="24"/>
      <c r="I59" s="24"/>
      <c r="J59" s="24"/>
      <c r="K59" s="24"/>
      <c r="L59" s="24"/>
      <c r="M59" s="24"/>
    </row>
    <row r="60" spans="1:13" x14ac:dyDescent="0.2">
      <c r="A60" s="29" t="s">
        <v>394</v>
      </c>
      <c r="B60" s="24" t="s">
        <v>166</v>
      </c>
      <c r="C60" s="141" t="s">
        <v>65</v>
      </c>
      <c r="D60" s="24" t="s">
        <v>65</v>
      </c>
      <c r="E60" s="24">
        <v>4</v>
      </c>
      <c r="F60" s="24">
        <v>75</v>
      </c>
      <c r="G60" s="110" t="s">
        <v>65</v>
      </c>
      <c r="H60" s="24"/>
      <c r="I60" s="24"/>
      <c r="J60" s="24"/>
      <c r="K60" s="24"/>
      <c r="L60" s="24"/>
      <c r="M60" s="24"/>
    </row>
    <row r="61" spans="1:13" x14ac:dyDescent="0.2">
      <c r="A61" s="29" t="s">
        <v>395</v>
      </c>
      <c r="B61" s="24" t="s">
        <v>166</v>
      </c>
      <c r="C61" s="141" t="s">
        <v>65</v>
      </c>
      <c r="D61" s="33" t="s">
        <v>166</v>
      </c>
      <c r="E61" s="24">
        <v>4</v>
      </c>
      <c r="F61" s="24">
        <v>75</v>
      </c>
      <c r="G61" s="110" t="s">
        <v>65</v>
      </c>
      <c r="H61" s="24"/>
      <c r="I61" s="24"/>
      <c r="J61" s="24"/>
      <c r="K61" s="24"/>
      <c r="L61" s="24"/>
      <c r="M61" s="24"/>
    </row>
    <row r="62" spans="1:13" x14ac:dyDescent="0.2">
      <c r="A62" s="29" t="s">
        <v>177</v>
      </c>
      <c r="B62" s="24" t="s">
        <v>166</v>
      </c>
      <c r="C62" s="141" t="s">
        <v>166</v>
      </c>
      <c r="D62" s="33" t="s">
        <v>65</v>
      </c>
      <c r="E62" s="24">
        <v>4</v>
      </c>
      <c r="F62" s="141" t="s">
        <v>62</v>
      </c>
      <c r="G62" s="110" t="s">
        <v>65</v>
      </c>
      <c r="H62" s="24"/>
      <c r="I62" s="24"/>
      <c r="J62" s="24"/>
      <c r="K62" s="24"/>
      <c r="L62" s="24"/>
      <c r="M62" s="24"/>
    </row>
    <row r="63" spans="1:13" x14ac:dyDescent="0.2">
      <c r="A63" s="29" t="s">
        <v>179</v>
      </c>
      <c r="B63" s="24" t="s">
        <v>166</v>
      </c>
      <c r="C63" s="141" t="s">
        <v>166</v>
      </c>
      <c r="D63" s="33" t="s">
        <v>166</v>
      </c>
      <c r="E63" s="24">
        <v>4</v>
      </c>
      <c r="F63" s="141" t="s">
        <v>62</v>
      </c>
      <c r="G63" s="110" t="s">
        <v>65</v>
      </c>
      <c r="H63" s="24"/>
      <c r="I63" s="24"/>
      <c r="J63" s="24"/>
      <c r="K63" s="24"/>
      <c r="L63" s="24"/>
      <c r="M63" s="24"/>
    </row>
    <row r="64" spans="1:13" x14ac:dyDescent="0.2">
      <c r="A64" s="29" t="s">
        <v>182</v>
      </c>
      <c r="B64" s="24" t="s">
        <v>166</v>
      </c>
      <c r="C64" s="141" t="s">
        <v>166</v>
      </c>
      <c r="D64" s="33" t="s">
        <v>65</v>
      </c>
      <c r="E64" s="24">
        <v>5</v>
      </c>
      <c r="F64" s="141" t="s">
        <v>62</v>
      </c>
      <c r="G64" s="110" t="s">
        <v>65</v>
      </c>
      <c r="H64" s="24"/>
      <c r="I64" s="24"/>
      <c r="J64" s="24"/>
      <c r="K64" s="24"/>
      <c r="L64" s="24"/>
      <c r="M64" s="24"/>
    </row>
    <row r="65" spans="1:13" x14ac:dyDescent="0.2">
      <c r="A65" s="29" t="s">
        <v>470</v>
      </c>
      <c r="B65" s="24" t="s">
        <v>166</v>
      </c>
      <c r="C65" s="141" t="s">
        <v>166</v>
      </c>
      <c r="D65" s="33" t="s">
        <v>166</v>
      </c>
      <c r="E65" s="24">
        <v>5</v>
      </c>
      <c r="F65" s="141" t="s">
        <v>62</v>
      </c>
      <c r="G65" s="110" t="s">
        <v>65</v>
      </c>
      <c r="H65" s="24"/>
      <c r="I65" s="24"/>
      <c r="J65" s="24"/>
      <c r="K65" s="24"/>
      <c r="L65" s="24"/>
      <c r="M65" s="24"/>
    </row>
    <row r="66" spans="1:13" x14ac:dyDescent="0.2">
      <c r="A66" s="29" t="s">
        <v>471</v>
      </c>
      <c r="B66" s="24" t="s">
        <v>65</v>
      </c>
      <c r="C66" s="24" t="s">
        <v>65</v>
      </c>
      <c r="D66" s="24" t="s">
        <v>65</v>
      </c>
      <c r="E66" s="24">
        <v>6</v>
      </c>
      <c r="F66" s="24">
        <v>15</v>
      </c>
      <c r="G66" s="110" t="s">
        <v>634</v>
      </c>
      <c r="H66" s="24"/>
      <c r="I66" s="24"/>
      <c r="J66" s="24"/>
      <c r="K66" s="24"/>
      <c r="L66" s="24"/>
      <c r="M66" s="24"/>
    </row>
    <row r="67" spans="1:13" x14ac:dyDescent="0.2">
      <c r="A67" s="29" t="s">
        <v>474</v>
      </c>
      <c r="B67" s="24" t="s">
        <v>65</v>
      </c>
      <c r="C67" s="24" t="s">
        <v>166</v>
      </c>
      <c r="D67" s="24" t="s">
        <v>65</v>
      </c>
      <c r="E67" s="24">
        <v>6</v>
      </c>
      <c r="F67" s="141" t="s">
        <v>62</v>
      </c>
      <c r="G67" s="110" t="s">
        <v>166</v>
      </c>
      <c r="H67" s="24"/>
      <c r="I67" s="24"/>
      <c r="J67" s="24"/>
      <c r="K67" s="24"/>
      <c r="L67" s="24"/>
      <c r="M67" s="24"/>
    </row>
    <row r="68" spans="1:13" x14ac:dyDescent="0.2">
      <c r="A68" s="29" t="s">
        <v>476</v>
      </c>
      <c r="B68" s="24" t="s">
        <v>65</v>
      </c>
      <c r="C68" s="24" t="s">
        <v>65</v>
      </c>
      <c r="D68" s="24" t="s">
        <v>65</v>
      </c>
      <c r="E68" s="24">
        <v>7</v>
      </c>
      <c r="F68" s="24">
        <v>15</v>
      </c>
      <c r="G68" s="110" t="s">
        <v>634</v>
      </c>
      <c r="H68" s="24"/>
      <c r="I68" s="24"/>
      <c r="J68" s="24"/>
      <c r="K68" s="24"/>
      <c r="L68" s="24"/>
      <c r="M68" s="24"/>
    </row>
    <row r="69" spans="1:13" x14ac:dyDescent="0.2">
      <c r="A69" s="29" t="s">
        <v>478</v>
      </c>
      <c r="B69" s="24" t="s">
        <v>65</v>
      </c>
      <c r="C69" s="24" t="s">
        <v>65</v>
      </c>
      <c r="D69" s="24" t="s">
        <v>166</v>
      </c>
      <c r="E69" s="24">
        <v>7</v>
      </c>
      <c r="F69" s="24">
        <v>15</v>
      </c>
      <c r="G69" s="110" t="s">
        <v>634</v>
      </c>
    </row>
    <row r="70" spans="1:13" x14ac:dyDescent="0.2">
      <c r="A70" s="29" t="s">
        <v>479</v>
      </c>
      <c r="B70" s="24" t="s">
        <v>65</v>
      </c>
      <c r="C70" s="24" t="s">
        <v>65</v>
      </c>
      <c r="D70" s="24" t="s">
        <v>65</v>
      </c>
      <c r="E70" s="24">
        <v>7</v>
      </c>
      <c r="F70" s="24">
        <v>60</v>
      </c>
      <c r="G70" s="110" t="s">
        <v>166</v>
      </c>
    </row>
    <row r="71" spans="1:13" x14ac:dyDescent="0.2">
      <c r="A71" s="29" t="s">
        <v>482</v>
      </c>
      <c r="B71" s="24" t="s">
        <v>65</v>
      </c>
      <c r="C71" s="24" t="s">
        <v>65</v>
      </c>
      <c r="D71" s="24" t="s">
        <v>166</v>
      </c>
      <c r="E71" s="24">
        <v>7</v>
      </c>
      <c r="F71" s="24">
        <v>60</v>
      </c>
      <c r="G71" s="129" t="s">
        <v>166</v>
      </c>
    </row>
    <row r="72" spans="1:13" x14ac:dyDescent="0.2">
      <c r="A72" s="29" t="s">
        <v>483</v>
      </c>
      <c r="B72" s="24" t="s">
        <v>65</v>
      </c>
      <c r="C72" s="24" t="s">
        <v>166</v>
      </c>
      <c r="D72" s="24" t="s">
        <v>65</v>
      </c>
      <c r="E72" s="24">
        <v>7</v>
      </c>
      <c r="F72" s="141" t="s">
        <v>62</v>
      </c>
      <c r="G72" s="110" t="s">
        <v>166</v>
      </c>
    </row>
    <row r="73" spans="1:13" x14ac:dyDescent="0.2">
      <c r="A73" s="29" t="s">
        <v>484</v>
      </c>
      <c r="B73" s="24" t="s">
        <v>65</v>
      </c>
      <c r="C73" s="24" t="s">
        <v>166</v>
      </c>
      <c r="D73" s="24" t="s">
        <v>166</v>
      </c>
      <c r="E73" s="24">
        <v>7</v>
      </c>
      <c r="F73" s="141" t="s">
        <v>62</v>
      </c>
      <c r="G73" s="110" t="s">
        <v>166</v>
      </c>
    </row>
    <row r="74" spans="1:13" x14ac:dyDescent="0.2">
      <c r="A74" s="29" t="s">
        <v>485</v>
      </c>
      <c r="B74" s="24" t="s">
        <v>65</v>
      </c>
      <c r="C74" s="24" t="s">
        <v>166</v>
      </c>
      <c r="D74" s="24" t="s">
        <v>65</v>
      </c>
      <c r="E74" s="24">
        <v>8</v>
      </c>
      <c r="F74" s="141" t="s">
        <v>62</v>
      </c>
      <c r="G74" s="110" t="s">
        <v>166</v>
      </c>
    </row>
    <row r="75" spans="1:13" x14ac:dyDescent="0.2">
      <c r="A75" s="29" t="s">
        <v>487</v>
      </c>
      <c r="B75" s="24" t="s">
        <v>65</v>
      </c>
      <c r="C75" s="24" t="s">
        <v>166</v>
      </c>
      <c r="D75" s="24" t="s">
        <v>166</v>
      </c>
      <c r="E75" s="24">
        <v>8</v>
      </c>
      <c r="F75" s="141" t="s">
        <v>62</v>
      </c>
      <c r="G75" s="110" t="s">
        <v>166</v>
      </c>
    </row>
    <row r="76" spans="1:13" x14ac:dyDescent="0.2">
      <c r="A76" s="29" t="s">
        <v>488</v>
      </c>
      <c r="B76" s="24" t="s">
        <v>166</v>
      </c>
      <c r="C76" s="24" t="s">
        <v>65</v>
      </c>
      <c r="D76" s="24" t="s">
        <v>65</v>
      </c>
      <c r="E76" s="24">
        <v>7</v>
      </c>
      <c r="F76" s="24">
        <v>15</v>
      </c>
      <c r="G76" s="110" t="s">
        <v>634</v>
      </c>
    </row>
    <row r="77" spans="1:13" x14ac:dyDescent="0.2">
      <c r="A77" s="29" t="s">
        <v>489</v>
      </c>
      <c r="B77" s="24" t="s">
        <v>166</v>
      </c>
      <c r="C77" s="24" t="s">
        <v>65</v>
      </c>
      <c r="D77" s="24" t="s">
        <v>166</v>
      </c>
      <c r="E77" s="24">
        <v>7</v>
      </c>
      <c r="F77" s="24">
        <v>15</v>
      </c>
      <c r="G77" s="110" t="s">
        <v>634</v>
      </c>
    </row>
    <row r="78" spans="1:13" x14ac:dyDescent="0.2">
      <c r="A78" s="29" t="s">
        <v>490</v>
      </c>
      <c r="B78" s="24" t="s">
        <v>166</v>
      </c>
      <c r="C78" s="24" t="s">
        <v>65</v>
      </c>
      <c r="D78" s="24" t="s">
        <v>65</v>
      </c>
      <c r="E78" s="24">
        <v>7</v>
      </c>
      <c r="F78" s="24">
        <v>60</v>
      </c>
      <c r="G78" s="110" t="s">
        <v>166</v>
      </c>
    </row>
    <row r="79" spans="1:13" x14ac:dyDescent="0.2">
      <c r="A79" s="29" t="s">
        <v>491</v>
      </c>
      <c r="B79" s="24" t="s">
        <v>166</v>
      </c>
      <c r="C79" s="24" t="s">
        <v>65</v>
      </c>
      <c r="D79" s="24" t="s">
        <v>166</v>
      </c>
      <c r="E79" s="24">
        <v>7</v>
      </c>
      <c r="F79" s="24">
        <v>60</v>
      </c>
      <c r="G79" s="110" t="s">
        <v>166</v>
      </c>
    </row>
    <row r="80" spans="1:13" x14ac:dyDescent="0.2">
      <c r="A80" s="29" t="s">
        <v>492</v>
      </c>
      <c r="B80" s="24" t="s">
        <v>166</v>
      </c>
      <c r="C80" s="24" t="s">
        <v>166</v>
      </c>
      <c r="D80" s="24" t="s">
        <v>65</v>
      </c>
      <c r="E80" s="24">
        <v>7</v>
      </c>
      <c r="F80" s="141" t="s">
        <v>62</v>
      </c>
      <c r="G80" s="110" t="s">
        <v>166</v>
      </c>
    </row>
    <row r="81" spans="1:7" x14ac:dyDescent="0.2">
      <c r="A81" s="29" t="s">
        <v>493</v>
      </c>
      <c r="B81" s="24" t="s">
        <v>166</v>
      </c>
      <c r="C81" s="24" t="s">
        <v>166</v>
      </c>
      <c r="D81" s="24" t="s">
        <v>166</v>
      </c>
      <c r="E81" s="24">
        <v>7</v>
      </c>
      <c r="F81" s="141" t="s">
        <v>62</v>
      </c>
      <c r="G81" s="110" t="s">
        <v>166</v>
      </c>
    </row>
    <row r="82" spans="1:7" x14ac:dyDescent="0.2">
      <c r="A82" s="29" t="s">
        <v>494</v>
      </c>
      <c r="B82" s="24" t="s">
        <v>166</v>
      </c>
      <c r="C82" s="24" t="s">
        <v>166</v>
      </c>
      <c r="D82" s="24" t="s">
        <v>65</v>
      </c>
      <c r="E82" s="24">
        <v>8</v>
      </c>
      <c r="F82" s="141" t="s">
        <v>62</v>
      </c>
      <c r="G82" s="110" t="s">
        <v>166</v>
      </c>
    </row>
    <row r="83" spans="1:7" x14ac:dyDescent="0.2">
      <c r="A83" s="125" t="s">
        <v>495</v>
      </c>
      <c r="B83" s="116" t="s">
        <v>166</v>
      </c>
      <c r="C83" s="116" t="s">
        <v>166</v>
      </c>
      <c r="D83" s="116" t="s">
        <v>166</v>
      </c>
      <c r="E83" s="116">
        <v>8</v>
      </c>
      <c r="F83" s="111" t="s">
        <v>62</v>
      </c>
      <c r="G83" s="112" t="s">
        <v>166</v>
      </c>
    </row>
    <row r="84" spans="1:7" x14ac:dyDescent="0.2">
      <c r="B84" s="144" t="str">
        <f>VLOOKUP('TB MIS Sheet'!$B$15,'TB Model Data'!$A$50:$G$83,2,0)</f>
        <v>N</v>
      </c>
      <c r="C84" s="144" t="str">
        <f>VLOOKUP('TB MIS Sheet'!$B$15,'TB Model Data'!$A$50:$G$83,3,0)</f>
        <v>Y</v>
      </c>
      <c r="D84" s="144" t="str">
        <f>VLOOKUP('TB MIS Sheet'!$B$15,'TB Model Data'!$A$50:$G$83,4,0)</f>
        <v>N</v>
      </c>
      <c r="E84" s="144">
        <f>VLOOKUP('TB MIS Sheet'!$B$15,'TB Model Data'!$A$50:$G$83,5,0)</f>
        <v>4</v>
      </c>
      <c r="F84" s="144" t="str">
        <f>VLOOKUP('TB MIS Sheet'!$B$15,'TB Model Data'!$A$50:$G$83,6,0)</f>
        <v>F</v>
      </c>
      <c r="G84" s="144" t="str">
        <f>VLOOKUP('TB MIS Sheet'!$B$15,'TB Model Data'!$A$50:$G$83,7,0)</f>
        <v>N</v>
      </c>
    </row>
    <row r="88" spans="1:7" x14ac:dyDescent="0.2">
      <c r="A88" s="103" t="s">
        <v>775</v>
      </c>
      <c r="B88" s="36" t="s">
        <v>635</v>
      </c>
    </row>
    <row r="89" spans="1:7" ht="15" x14ac:dyDescent="0.25">
      <c r="A89" s="160" t="s">
        <v>636</v>
      </c>
      <c r="B89" s="36" t="s">
        <v>637</v>
      </c>
      <c r="E89"/>
      <c r="F89"/>
    </row>
    <row r="90" spans="1:7" ht="15" x14ac:dyDescent="0.25">
      <c r="A90" s="160" t="s">
        <v>638</v>
      </c>
      <c r="B90" s="36" t="s">
        <v>639</v>
      </c>
      <c r="E90"/>
      <c r="F90"/>
    </row>
    <row r="91" spans="1:7" ht="15" x14ac:dyDescent="0.25">
      <c r="A91" s="160" t="s">
        <v>229</v>
      </c>
      <c r="B91" s="36" t="s">
        <v>230</v>
      </c>
      <c r="E91"/>
      <c r="F91"/>
    </row>
    <row r="92" spans="1:7" ht="15" x14ac:dyDescent="0.25">
      <c r="A92" s="160" t="s">
        <v>475</v>
      </c>
      <c r="B92" s="36" t="s">
        <v>919</v>
      </c>
      <c r="E92"/>
      <c r="F92"/>
    </row>
    <row r="93" spans="1:7" ht="15" x14ac:dyDescent="0.25">
      <c r="A93" s="160" t="s">
        <v>404</v>
      </c>
      <c r="B93" s="36" t="s">
        <v>640</v>
      </c>
      <c r="E93"/>
      <c r="F93"/>
    </row>
    <row r="94" spans="1:7" ht="15" x14ac:dyDescent="0.25">
      <c r="A94" s="160" t="s">
        <v>641</v>
      </c>
      <c r="B94" s="36" t="s">
        <v>642</v>
      </c>
      <c r="E94"/>
      <c r="F94"/>
    </row>
    <row r="95" spans="1:7" ht="15" x14ac:dyDescent="0.25">
      <c r="A95" s="160" t="s">
        <v>397</v>
      </c>
      <c r="B95" s="36" t="s">
        <v>643</v>
      </c>
      <c r="E95"/>
      <c r="F95"/>
    </row>
    <row r="96" spans="1:7" ht="15" x14ac:dyDescent="0.25">
      <c r="A96" s="160" t="s">
        <v>164</v>
      </c>
      <c r="B96" s="36" t="s">
        <v>918</v>
      </c>
      <c r="E96"/>
      <c r="F96"/>
    </row>
    <row r="97" spans="1:6" ht="15" x14ac:dyDescent="0.25">
      <c r="A97" s="160" t="s">
        <v>644</v>
      </c>
      <c r="B97" s="36" t="s">
        <v>645</v>
      </c>
      <c r="E97"/>
      <c r="F97"/>
    </row>
    <row r="98" spans="1:6" ht="15" x14ac:dyDescent="0.25">
      <c r="A98" s="160" t="s">
        <v>231</v>
      </c>
      <c r="B98" s="36" t="s">
        <v>232</v>
      </c>
      <c r="E98"/>
      <c r="F98"/>
    </row>
    <row r="99" spans="1:6" ht="15" x14ac:dyDescent="0.25">
      <c r="A99" s="160" t="s">
        <v>646</v>
      </c>
      <c r="B99" s="36" t="s">
        <v>647</v>
      </c>
      <c r="E99"/>
      <c r="F99"/>
    </row>
    <row r="100" spans="1:6" ht="15" x14ac:dyDescent="0.25">
      <c r="A100" s="160" t="s">
        <v>648</v>
      </c>
      <c r="B100" s="36" t="s">
        <v>649</v>
      </c>
      <c r="E100"/>
      <c r="F100"/>
    </row>
    <row r="101" spans="1:6" ht="15" x14ac:dyDescent="0.25">
      <c r="A101" s="160" t="s">
        <v>398</v>
      </c>
      <c r="B101" s="36" t="s">
        <v>650</v>
      </c>
      <c r="E101"/>
      <c r="F101"/>
    </row>
    <row r="102" spans="1:6" ht="15" x14ac:dyDescent="0.25">
      <c r="A102" s="160" t="s">
        <v>227</v>
      </c>
      <c r="B102" s="36" t="s">
        <v>228</v>
      </c>
      <c r="E102"/>
      <c r="F102"/>
    </row>
    <row r="103" spans="1:6" ht="15" x14ac:dyDescent="0.25">
      <c r="A103" s="160" t="s">
        <v>872</v>
      </c>
      <c r="B103" s="36" t="s">
        <v>878</v>
      </c>
      <c r="E103"/>
      <c r="F103"/>
    </row>
    <row r="104" spans="1:6" ht="15" x14ac:dyDescent="0.25">
      <c r="A104" s="160" t="s">
        <v>233</v>
      </c>
      <c r="B104" s="36" t="s">
        <v>651</v>
      </c>
      <c r="E104"/>
      <c r="F104"/>
    </row>
    <row r="108" spans="1:6" x14ac:dyDescent="0.2">
      <c r="A108" s="199" t="s">
        <v>864</v>
      </c>
      <c r="B108" s="199" t="s">
        <v>863</v>
      </c>
      <c r="C108" s="199" t="s">
        <v>865</v>
      </c>
    </row>
    <row r="109" spans="1:6" x14ac:dyDescent="0.2">
      <c r="A109" s="202" t="s">
        <v>870</v>
      </c>
      <c r="B109" s="202"/>
      <c r="C109" s="199"/>
    </row>
    <row r="110" spans="1:6" ht="15" customHeight="1" x14ac:dyDescent="0.2">
      <c r="A110" s="200" t="s">
        <v>638</v>
      </c>
      <c r="B110" s="200" t="s">
        <v>894</v>
      </c>
      <c r="C110" s="201" t="s">
        <v>866</v>
      </c>
      <c r="D110" s="365" t="s">
        <v>868</v>
      </c>
    </row>
    <row r="111" spans="1:6" x14ac:dyDescent="0.2">
      <c r="A111" s="200" t="s">
        <v>872</v>
      </c>
      <c r="B111" s="200" t="s">
        <v>895</v>
      </c>
      <c r="C111" s="201" t="s">
        <v>866</v>
      </c>
      <c r="D111" s="365"/>
    </row>
    <row r="112" spans="1:6" x14ac:dyDescent="0.2">
      <c r="A112" s="200" t="s">
        <v>227</v>
      </c>
      <c r="B112" s="200" t="s">
        <v>896</v>
      </c>
      <c r="C112" s="201" t="s">
        <v>866</v>
      </c>
      <c r="D112" s="365"/>
    </row>
    <row r="113" spans="1:4" x14ac:dyDescent="0.2">
      <c r="A113" s="200" t="s">
        <v>475</v>
      </c>
      <c r="B113" s="200" t="s">
        <v>897</v>
      </c>
      <c r="C113" s="201" t="s">
        <v>866</v>
      </c>
      <c r="D113" s="365"/>
    </row>
    <row r="114" spans="1:4" x14ac:dyDescent="0.2">
      <c r="A114" s="200" t="s">
        <v>636</v>
      </c>
      <c r="B114" s="200" t="s">
        <v>898</v>
      </c>
      <c r="C114" s="201" t="s">
        <v>866</v>
      </c>
      <c r="D114" s="365"/>
    </row>
    <row r="115" spans="1:4" x14ac:dyDescent="0.2">
      <c r="A115" s="200" t="s">
        <v>229</v>
      </c>
      <c r="B115" s="200" t="s">
        <v>920</v>
      </c>
      <c r="C115" s="201" t="s">
        <v>866</v>
      </c>
      <c r="D115" s="365"/>
    </row>
    <row r="116" spans="1:4" x14ac:dyDescent="0.2">
      <c r="A116" s="200" t="s">
        <v>404</v>
      </c>
      <c r="B116" s="200" t="s">
        <v>899</v>
      </c>
      <c r="C116" s="201" t="s">
        <v>866</v>
      </c>
      <c r="D116" s="365"/>
    </row>
    <row r="117" spans="1:4" x14ac:dyDescent="0.2">
      <c r="A117" s="200" t="s">
        <v>648</v>
      </c>
      <c r="B117" s="200" t="s">
        <v>900</v>
      </c>
      <c r="C117" s="201" t="s">
        <v>866</v>
      </c>
      <c r="D117" s="365"/>
    </row>
    <row r="118" spans="1:4" x14ac:dyDescent="0.2">
      <c r="A118" s="200" t="s">
        <v>231</v>
      </c>
      <c r="B118" s="200" t="s">
        <v>901</v>
      </c>
      <c r="C118" s="201" t="s">
        <v>866</v>
      </c>
      <c r="D118" s="365"/>
    </row>
    <row r="119" spans="1:4" x14ac:dyDescent="0.2">
      <c r="A119" s="200" t="s">
        <v>644</v>
      </c>
      <c r="B119" s="200" t="s">
        <v>902</v>
      </c>
      <c r="C119" s="201" t="s">
        <v>866</v>
      </c>
      <c r="D119" s="365"/>
    </row>
    <row r="120" spans="1:4" x14ac:dyDescent="0.2">
      <c r="A120" s="200" t="s">
        <v>397</v>
      </c>
      <c r="B120" s="200" t="s">
        <v>903</v>
      </c>
      <c r="C120" s="201" t="s">
        <v>866</v>
      </c>
      <c r="D120" s="365"/>
    </row>
    <row r="121" spans="1:4" x14ac:dyDescent="0.2">
      <c r="A121" s="200" t="s">
        <v>398</v>
      </c>
      <c r="B121" s="200" t="s">
        <v>904</v>
      </c>
      <c r="C121" s="201" t="s">
        <v>866</v>
      </c>
      <c r="D121" s="365"/>
    </row>
    <row r="122" spans="1:4" x14ac:dyDescent="0.2">
      <c r="A122" s="200" t="s">
        <v>233</v>
      </c>
      <c r="B122" s="200" t="s">
        <v>884</v>
      </c>
      <c r="C122" s="201" t="s">
        <v>866</v>
      </c>
      <c r="D122" s="365"/>
    </row>
    <row r="123" spans="1:4" x14ac:dyDescent="0.2">
      <c r="A123" s="200" t="s">
        <v>871</v>
      </c>
      <c r="B123" s="200"/>
      <c r="C123" s="201"/>
      <c r="D123" s="29"/>
    </row>
    <row r="124" spans="1:4" x14ac:dyDescent="0.2">
      <c r="A124" s="200" t="s">
        <v>638</v>
      </c>
      <c r="B124" s="200" t="s">
        <v>905</v>
      </c>
      <c r="C124" s="201" t="s">
        <v>867</v>
      </c>
      <c r="D124" s="365" t="s">
        <v>869</v>
      </c>
    </row>
    <row r="125" spans="1:4" x14ac:dyDescent="0.2">
      <c r="A125" s="200" t="s">
        <v>872</v>
      </c>
      <c r="B125" s="200" t="s">
        <v>906</v>
      </c>
      <c r="C125" s="201" t="s">
        <v>867</v>
      </c>
      <c r="D125" s="365"/>
    </row>
    <row r="126" spans="1:4" x14ac:dyDescent="0.2">
      <c r="A126" s="200" t="s">
        <v>227</v>
      </c>
      <c r="B126" s="200" t="s">
        <v>907</v>
      </c>
      <c r="C126" s="201" t="s">
        <v>867</v>
      </c>
      <c r="D126" s="365"/>
    </row>
    <row r="127" spans="1:4" x14ac:dyDescent="0.2">
      <c r="A127" s="200" t="s">
        <v>475</v>
      </c>
      <c r="B127" s="200" t="s">
        <v>908</v>
      </c>
      <c r="C127" s="201" t="s">
        <v>867</v>
      </c>
      <c r="D127" s="365"/>
    </row>
    <row r="128" spans="1:4" x14ac:dyDescent="0.2">
      <c r="A128" s="200" t="s">
        <v>636</v>
      </c>
      <c r="B128" s="200" t="s">
        <v>909</v>
      </c>
      <c r="C128" s="201" t="s">
        <v>867</v>
      </c>
      <c r="D128" s="365"/>
    </row>
    <row r="129" spans="1:4" x14ac:dyDescent="0.2">
      <c r="A129" s="200" t="s">
        <v>229</v>
      </c>
      <c r="B129" s="200" t="s">
        <v>921</v>
      </c>
      <c r="C129" s="201" t="s">
        <v>867</v>
      </c>
      <c r="D129" s="365"/>
    </row>
    <row r="130" spans="1:4" x14ac:dyDescent="0.2">
      <c r="A130" s="200" t="s">
        <v>404</v>
      </c>
      <c r="B130" s="200" t="s">
        <v>910</v>
      </c>
      <c r="C130" s="201" t="s">
        <v>867</v>
      </c>
      <c r="D130" s="365"/>
    </row>
    <row r="131" spans="1:4" x14ac:dyDescent="0.2">
      <c r="A131" s="200" t="s">
        <v>648</v>
      </c>
      <c r="B131" s="200" t="s">
        <v>911</v>
      </c>
      <c r="C131" s="201" t="s">
        <v>867</v>
      </c>
      <c r="D131" s="365"/>
    </row>
    <row r="132" spans="1:4" x14ac:dyDescent="0.2">
      <c r="A132" s="200" t="s">
        <v>231</v>
      </c>
      <c r="B132" s="200" t="s">
        <v>912</v>
      </c>
      <c r="C132" s="201" t="s">
        <v>867</v>
      </c>
      <c r="D132" s="365"/>
    </row>
    <row r="133" spans="1:4" x14ac:dyDescent="0.2">
      <c r="A133" s="200" t="s">
        <v>644</v>
      </c>
      <c r="B133" s="200" t="s">
        <v>913</v>
      </c>
      <c r="C133" s="201" t="s">
        <v>867</v>
      </c>
      <c r="D133" s="365"/>
    </row>
    <row r="134" spans="1:4" x14ac:dyDescent="0.2">
      <c r="A134" s="200" t="s">
        <v>397</v>
      </c>
      <c r="B134" s="200" t="s">
        <v>914</v>
      </c>
      <c r="C134" s="201" t="s">
        <v>867</v>
      </c>
      <c r="D134" s="365"/>
    </row>
    <row r="135" spans="1:4" x14ac:dyDescent="0.2">
      <c r="A135" s="200" t="s">
        <v>398</v>
      </c>
      <c r="B135" s="200" t="s">
        <v>915</v>
      </c>
      <c r="C135" s="201" t="s">
        <v>867</v>
      </c>
      <c r="D135" s="365"/>
    </row>
    <row r="136" spans="1:4" x14ac:dyDescent="0.2">
      <c r="A136" s="200" t="s">
        <v>641</v>
      </c>
      <c r="B136" s="200" t="s">
        <v>916</v>
      </c>
      <c r="C136" s="201" t="s">
        <v>867</v>
      </c>
      <c r="D136" s="365"/>
    </row>
    <row r="137" spans="1:4" x14ac:dyDescent="0.2">
      <c r="A137" s="200" t="s">
        <v>646</v>
      </c>
      <c r="B137" s="200" t="s">
        <v>916</v>
      </c>
      <c r="C137" s="201" t="s">
        <v>867</v>
      </c>
      <c r="D137" s="365"/>
    </row>
    <row r="138" spans="1:4" x14ac:dyDescent="0.2">
      <c r="A138" s="200" t="s">
        <v>164</v>
      </c>
      <c r="B138" s="200" t="s">
        <v>917</v>
      </c>
      <c r="C138" s="201" t="s">
        <v>867</v>
      </c>
      <c r="D138" s="365"/>
    </row>
    <row r="139" spans="1:4" x14ac:dyDescent="0.2">
      <c r="A139" s="200" t="s">
        <v>233</v>
      </c>
      <c r="B139" s="200" t="s">
        <v>884</v>
      </c>
      <c r="C139" s="201" t="s">
        <v>867</v>
      </c>
      <c r="D139" s="365"/>
    </row>
  </sheetData>
  <mergeCells count="2">
    <mergeCell ref="D110:D122"/>
    <mergeCell ref="D124:D13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9" tint="-0.249977111117893"/>
    <pageSetUpPr fitToPage="1"/>
  </sheetPr>
  <dimension ref="A1:M79"/>
  <sheetViews>
    <sheetView workbookViewId="0"/>
  </sheetViews>
  <sheetFormatPr defaultColWidth="9.140625" defaultRowHeight="12.75" x14ac:dyDescent="0.2"/>
  <cols>
    <col min="1" max="1" width="15.85546875" style="36" bestFit="1" customWidth="1"/>
    <col min="2" max="2" width="27.7109375" style="36" bestFit="1" customWidth="1"/>
    <col min="3" max="3" width="28.28515625" style="36" bestFit="1" customWidth="1"/>
    <col min="4" max="5" width="9.140625" style="36"/>
    <col min="6" max="6" width="10.42578125" style="36" bestFit="1" customWidth="1"/>
    <col min="7" max="16384" width="9.140625" style="36"/>
  </cols>
  <sheetData>
    <row r="1" spans="1:13" ht="15" x14ac:dyDescent="0.25">
      <c r="A1" s="179" t="s">
        <v>801</v>
      </c>
    </row>
    <row r="2" spans="1:13" x14ac:dyDescent="0.2">
      <c r="A2" s="38"/>
      <c r="B2" s="38"/>
      <c r="C2" s="38"/>
    </row>
    <row r="3" spans="1:13" x14ac:dyDescent="0.2">
      <c r="A3" s="24" t="s">
        <v>453</v>
      </c>
      <c r="B3" s="180" t="s">
        <v>879</v>
      </c>
      <c r="C3" s="24"/>
      <c r="D3" s="65" t="s">
        <v>37</v>
      </c>
    </row>
    <row r="4" spans="1:13" x14ac:dyDescent="0.2">
      <c r="A4" s="24">
        <v>121</v>
      </c>
      <c r="B4" s="155" t="s">
        <v>455</v>
      </c>
      <c r="C4" s="24"/>
      <c r="D4" s="65" t="s">
        <v>103</v>
      </c>
    </row>
    <row r="5" spans="1:13" x14ac:dyDescent="0.2">
      <c r="A5" s="24">
        <v>122</v>
      </c>
      <c r="B5" s="155" t="s">
        <v>459</v>
      </c>
      <c r="C5" s="24"/>
      <c r="D5" s="65" t="s">
        <v>103</v>
      </c>
    </row>
    <row r="6" spans="1:13" x14ac:dyDescent="0.2">
      <c r="A6" s="24">
        <v>123</v>
      </c>
      <c r="B6" s="155" t="s">
        <v>461</v>
      </c>
      <c r="C6" s="24"/>
      <c r="D6" s="145" t="s">
        <v>528</v>
      </c>
    </row>
    <row r="7" spans="1:13" x14ac:dyDescent="0.2">
      <c r="A7" s="24"/>
      <c r="B7" s="24"/>
      <c r="C7" s="24"/>
    </row>
    <row r="8" spans="1:13" x14ac:dyDescent="0.2">
      <c r="A8" s="38"/>
      <c r="B8" s="38"/>
      <c r="C8" s="38"/>
      <c r="J8" s="38"/>
    </row>
    <row r="9" spans="1:13" ht="15" x14ac:dyDescent="0.25">
      <c r="A9" s="63" t="s">
        <v>652</v>
      </c>
      <c r="B9" s="182" t="s">
        <v>796</v>
      </c>
      <c r="C9" s="63"/>
      <c r="D9" s="24" t="s">
        <v>653</v>
      </c>
      <c r="E9" s="24" t="s">
        <v>654</v>
      </c>
      <c r="F9" s="24" t="s">
        <v>655</v>
      </c>
      <c r="G9" s="24" t="s">
        <v>656</v>
      </c>
      <c r="H9" s="24" t="s">
        <v>166</v>
      </c>
      <c r="I9" s="24" t="s">
        <v>65</v>
      </c>
      <c r="J9" s="24" t="s">
        <v>657</v>
      </c>
      <c r="K9" s="33" t="s">
        <v>658</v>
      </c>
      <c r="L9" s="33" t="s">
        <v>659</v>
      </c>
      <c r="M9" s="33" t="s">
        <v>660</v>
      </c>
    </row>
    <row r="10" spans="1:13" x14ac:dyDescent="0.2">
      <c r="A10" s="24" t="s">
        <v>661</v>
      </c>
      <c r="B10" s="166" t="s">
        <v>399</v>
      </c>
      <c r="C10" s="24"/>
      <c r="D10" s="24">
        <f>IF(TB_MIS_ModelType_100=$A$6,400,200)</f>
        <v>200</v>
      </c>
      <c r="E10" s="24">
        <f t="shared" ref="E10:E15" si="0">IF(TB_MIS_ConnType_100="Standard",((D10-200)/2)+125,((D10)/2)+17.5)</f>
        <v>125</v>
      </c>
      <c r="F10" s="24">
        <f t="shared" ref="F10:F15" si="1">IF(TB_MIS_ConnType_100="Standard",100,35)</f>
        <v>100</v>
      </c>
      <c r="G10" s="24">
        <v>21.34</v>
      </c>
      <c r="H10" s="24" t="s">
        <v>662</v>
      </c>
      <c r="I10" s="24">
        <v>2</v>
      </c>
      <c r="J10" s="24" t="s">
        <v>663</v>
      </c>
      <c r="K10" s="24">
        <f t="shared" ref="K10:K15" si="2">F74</f>
        <v>28.57</v>
      </c>
      <c r="L10" s="36">
        <f t="shared" ref="L10:L15" si="3">D10-(E10+11)-K10</f>
        <v>35.43</v>
      </c>
      <c r="M10" s="36">
        <f t="shared" ref="M10:M15" si="4">E10-(F10+11)-K10</f>
        <v>-14.57</v>
      </c>
    </row>
    <row r="11" spans="1:13" x14ac:dyDescent="0.2">
      <c r="A11" s="24" t="s">
        <v>664</v>
      </c>
      <c r="B11" s="167" t="s">
        <v>797</v>
      </c>
      <c r="C11" s="24"/>
      <c r="D11" s="24">
        <f>IF(TB_MIS_ModelType_100=$A$6,400,200)</f>
        <v>200</v>
      </c>
      <c r="E11" s="24">
        <f t="shared" si="0"/>
        <v>125</v>
      </c>
      <c r="F11" s="24">
        <f t="shared" si="1"/>
        <v>100</v>
      </c>
      <c r="G11" s="24">
        <v>26.67</v>
      </c>
      <c r="H11" s="24" t="s">
        <v>662</v>
      </c>
      <c r="I11" s="24">
        <v>4</v>
      </c>
      <c r="J11" s="24" t="s">
        <v>663</v>
      </c>
      <c r="K11" s="24">
        <f t="shared" si="2"/>
        <v>31.75</v>
      </c>
      <c r="L11" s="36">
        <f t="shared" si="3"/>
        <v>32.25</v>
      </c>
      <c r="M11" s="36">
        <f t="shared" si="4"/>
        <v>-17.75</v>
      </c>
    </row>
    <row r="12" spans="1:13" x14ac:dyDescent="0.2">
      <c r="A12" s="24" t="s">
        <v>665</v>
      </c>
      <c r="B12" s="167" t="s">
        <v>400</v>
      </c>
      <c r="C12" s="24"/>
      <c r="D12" s="24">
        <f>IF(TB_MIS_ModelType_100=$A$6,425,225)</f>
        <v>225</v>
      </c>
      <c r="E12" s="24">
        <f t="shared" si="0"/>
        <v>137.5</v>
      </c>
      <c r="F12" s="24">
        <f t="shared" si="1"/>
        <v>100</v>
      </c>
      <c r="G12" s="24">
        <v>33.4</v>
      </c>
      <c r="H12" s="24" t="s">
        <v>662</v>
      </c>
      <c r="I12" s="24">
        <v>4</v>
      </c>
      <c r="J12" s="24" t="s">
        <v>663</v>
      </c>
      <c r="K12" s="24">
        <f t="shared" si="2"/>
        <v>34.92</v>
      </c>
      <c r="L12" s="36">
        <f t="shared" si="3"/>
        <v>41.58</v>
      </c>
      <c r="M12" s="36">
        <f t="shared" si="4"/>
        <v>-8.4200000000000017</v>
      </c>
    </row>
    <row r="13" spans="1:13" x14ac:dyDescent="0.2">
      <c r="A13" s="24" t="s">
        <v>439</v>
      </c>
      <c r="B13" s="166" t="s">
        <v>798</v>
      </c>
      <c r="C13" s="24"/>
      <c r="D13" s="24">
        <f>IF(TB_MIS_ModelType_100=$A$6,450,250)</f>
        <v>250</v>
      </c>
      <c r="E13" s="24">
        <f t="shared" si="0"/>
        <v>150</v>
      </c>
      <c r="F13" s="33">
        <f t="shared" si="1"/>
        <v>100</v>
      </c>
      <c r="G13" s="33">
        <v>42.16</v>
      </c>
      <c r="H13" s="33" t="s">
        <v>662</v>
      </c>
      <c r="I13" s="33">
        <v>4</v>
      </c>
      <c r="J13" s="33" t="s">
        <v>663</v>
      </c>
      <c r="K13" s="24">
        <f t="shared" si="2"/>
        <v>38.1</v>
      </c>
      <c r="L13" s="36">
        <f t="shared" si="3"/>
        <v>50.9</v>
      </c>
      <c r="M13" s="36">
        <f t="shared" si="4"/>
        <v>0.89999999999999858</v>
      </c>
    </row>
    <row r="14" spans="1:13" x14ac:dyDescent="0.2">
      <c r="A14" s="24" t="s">
        <v>666</v>
      </c>
      <c r="B14" s="166" t="s">
        <v>196</v>
      </c>
      <c r="C14" s="24"/>
      <c r="D14" s="24">
        <f>IF(TB_MIS_ModelType_100=$A$6,500,300)</f>
        <v>300</v>
      </c>
      <c r="E14" s="24">
        <f t="shared" si="0"/>
        <v>175</v>
      </c>
      <c r="F14" s="24">
        <f t="shared" si="1"/>
        <v>100</v>
      </c>
      <c r="G14" s="24">
        <v>48.26</v>
      </c>
      <c r="H14" s="24" t="s">
        <v>667</v>
      </c>
      <c r="I14" s="24">
        <v>4</v>
      </c>
      <c r="J14" s="24" t="s">
        <v>663</v>
      </c>
      <c r="K14" s="24">
        <f t="shared" si="2"/>
        <v>44.45</v>
      </c>
      <c r="L14" s="36">
        <f t="shared" si="3"/>
        <v>69.55</v>
      </c>
      <c r="M14" s="36">
        <f t="shared" si="4"/>
        <v>19.549999999999997</v>
      </c>
    </row>
    <row r="15" spans="1:13" x14ac:dyDescent="0.2">
      <c r="A15" s="24" t="s">
        <v>668</v>
      </c>
      <c r="B15" s="166" t="s">
        <v>201</v>
      </c>
      <c r="C15" s="24"/>
      <c r="D15" s="24">
        <f>IF(TB_MIS_ModelType_100=$A$6,600,400)</f>
        <v>400</v>
      </c>
      <c r="E15" s="24">
        <f t="shared" si="0"/>
        <v>225</v>
      </c>
      <c r="F15" s="24">
        <f t="shared" si="1"/>
        <v>100</v>
      </c>
      <c r="G15" s="24">
        <v>60.33</v>
      </c>
      <c r="H15" s="24" t="s">
        <v>667</v>
      </c>
      <c r="I15" s="24">
        <v>4</v>
      </c>
      <c r="J15" s="24" t="s">
        <v>663</v>
      </c>
      <c r="K15" s="24">
        <f t="shared" si="2"/>
        <v>0</v>
      </c>
      <c r="L15" s="36">
        <f t="shared" si="3"/>
        <v>164</v>
      </c>
      <c r="M15" s="36">
        <f t="shared" si="4"/>
        <v>114</v>
      </c>
    </row>
    <row r="16" spans="1:13" x14ac:dyDescent="0.2">
      <c r="A16" s="24"/>
      <c r="B16" s="24"/>
      <c r="C16" s="24"/>
      <c r="D16" s="24"/>
      <c r="E16" s="24"/>
      <c r="F16" s="24"/>
      <c r="G16" s="24"/>
      <c r="H16" s="24"/>
      <c r="I16" s="24"/>
    </row>
    <row r="17" spans="1:12" x14ac:dyDescent="0.2">
      <c r="A17" s="38"/>
      <c r="B17" s="38"/>
      <c r="C17" s="38"/>
    </row>
    <row r="18" spans="1:12" ht="15" x14ac:dyDescent="0.25">
      <c r="A18" s="130" t="s">
        <v>440</v>
      </c>
      <c r="B18"/>
      <c r="C18" s="130"/>
    </row>
    <row r="19" spans="1:12" x14ac:dyDescent="0.2">
      <c r="A19" s="32" t="s">
        <v>441</v>
      </c>
      <c r="B19" s="188" t="s">
        <v>811</v>
      </c>
      <c r="C19" s="32"/>
    </row>
    <row r="20" spans="1:12" ht="15" x14ac:dyDescent="0.25">
      <c r="A20" s="32" t="s">
        <v>669</v>
      </c>
      <c r="B20"/>
      <c r="C20" s="32"/>
    </row>
    <row r="21" spans="1:12" x14ac:dyDescent="0.2">
      <c r="A21" s="32"/>
      <c r="B21" s="32"/>
      <c r="C21" s="32"/>
    </row>
    <row r="22" spans="1:12" x14ac:dyDescent="0.2">
      <c r="A22" s="38"/>
      <c r="B22" s="38"/>
      <c r="C22" s="38"/>
      <c r="J22" s="24"/>
    </row>
    <row r="23" spans="1:12" x14ac:dyDescent="0.2">
      <c r="A23" s="141"/>
      <c r="B23" s="154"/>
      <c r="C23" s="154"/>
      <c r="D23" s="65" t="s">
        <v>18</v>
      </c>
      <c r="E23" s="65" t="s">
        <v>670</v>
      </c>
      <c r="F23" s="65" t="s">
        <v>671</v>
      </c>
      <c r="G23" s="65" t="s">
        <v>672</v>
      </c>
      <c r="H23" s="24" t="s">
        <v>654</v>
      </c>
      <c r="I23" s="24" t="s">
        <v>655</v>
      </c>
      <c r="J23" s="65" t="s">
        <v>673</v>
      </c>
      <c r="K23" s="65" t="s">
        <v>674</v>
      </c>
      <c r="L23" s="65" t="s">
        <v>675</v>
      </c>
    </row>
    <row r="24" spans="1:12" x14ac:dyDescent="0.2">
      <c r="A24" s="141" t="s">
        <v>676</v>
      </c>
      <c r="B24" s="154"/>
      <c r="C24" s="154"/>
      <c r="D24" s="24" t="s">
        <v>661</v>
      </c>
      <c r="E24" s="65" t="s">
        <v>677</v>
      </c>
      <c r="F24" s="24">
        <v>11.11</v>
      </c>
      <c r="G24" s="24">
        <v>200</v>
      </c>
      <c r="H24" s="24">
        <f>IF(TB_MIS_ConnType_100="Standard",(G24/2)+50,117.5)</f>
        <v>150</v>
      </c>
      <c r="I24" s="24">
        <f t="shared" ref="I24:I48" si="5">IF(TB_MIS_ConnType_100="Standard",100,35)</f>
        <v>100</v>
      </c>
      <c r="J24" s="36">
        <f t="shared" ref="J24:J48" si="6">G24-(H24+11)-F24</f>
        <v>27.89</v>
      </c>
      <c r="K24" s="36">
        <f t="shared" ref="K24:K48" si="7">H24-(I24+11)-F24</f>
        <v>27.89</v>
      </c>
      <c r="L24" s="131">
        <f>H24/13.87</f>
        <v>10.814708002883922</v>
      </c>
    </row>
    <row r="25" spans="1:12" x14ac:dyDescent="0.2">
      <c r="A25" s="141" t="s">
        <v>678</v>
      </c>
      <c r="B25" s="154"/>
      <c r="C25" s="154"/>
      <c r="D25" s="24" t="s">
        <v>664</v>
      </c>
      <c r="E25" s="65" t="s">
        <v>677</v>
      </c>
      <c r="F25" s="24">
        <v>12.7</v>
      </c>
      <c r="G25" s="24">
        <v>200</v>
      </c>
      <c r="H25" s="24">
        <f>IF(TB_MIS_ConnType_100="Standard",150,117.5)</f>
        <v>150</v>
      </c>
      <c r="I25" s="24">
        <f t="shared" si="5"/>
        <v>100</v>
      </c>
      <c r="J25" s="36">
        <f t="shared" si="6"/>
        <v>26.3</v>
      </c>
      <c r="K25" s="36">
        <f t="shared" si="7"/>
        <v>26.3</v>
      </c>
      <c r="L25" s="131">
        <f>H25/18.85</f>
        <v>7.957559681697612</v>
      </c>
    </row>
    <row r="26" spans="1:12" x14ac:dyDescent="0.2">
      <c r="A26" s="141" t="s">
        <v>499</v>
      </c>
      <c r="B26" s="154"/>
      <c r="C26" s="154"/>
      <c r="D26" s="24" t="s">
        <v>665</v>
      </c>
      <c r="E26" s="65" t="s">
        <v>677</v>
      </c>
      <c r="F26" s="24">
        <v>14.29</v>
      </c>
      <c r="G26" s="24">
        <v>225</v>
      </c>
      <c r="H26" s="24">
        <f>IF(TB_MIS_ConnType_100="Standard",175,130)</f>
        <v>175</v>
      </c>
      <c r="I26" s="24">
        <f t="shared" si="5"/>
        <v>100</v>
      </c>
      <c r="J26" s="36">
        <f t="shared" si="6"/>
        <v>24.71</v>
      </c>
      <c r="K26" s="36">
        <f t="shared" si="7"/>
        <v>49.71</v>
      </c>
      <c r="L26" s="131">
        <f>H26/24.31</f>
        <v>7.1986836692719045</v>
      </c>
    </row>
    <row r="27" spans="1:12" x14ac:dyDescent="0.2">
      <c r="A27" s="141" t="s">
        <v>198</v>
      </c>
      <c r="B27" s="154"/>
      <c r="C27" s="154"/>
      <c r="D27" s="24" t="s">
        <v>666</v>
      </c>
      <c r="E27" s="65" t="s">
        <v>677</v>
      </c>
      <c r="F27" s="24">
        <v>17.46</v>
      </c>
      <c r="G27" s="24">
        <v>300</v>
      </c>
      <c r="H27" s="24">
        <f>IF(TB_MIS_ConnType_100="Standard",250,167.5)</f>
        <v>250</v>
      </c>
      <c r="I27" s="24">
        <f t="shared" si="5"/>
        <v>100</v>
      </c>
      <c r="J27" s="36">
        <f t="shared" si="6"/>
        <v>21.54</v>
      </c>
      <c r="K27" s="36">
        <f t="shared" si="7"/>
        <v>121.53999999999999</v>
      </c>
      <c r="L27" s="131">
        <f>H27/38.1</f>
        <v>6.5616797900262469</v>
      </c>
    </row>
    <row r="28" spans="1:12" x14ac:dyDescent="0.2">
      <c r="A28" s="141" t="s">
        <v>202</v>
      </c>
      <c r="B28" s="154"/>
      <c r="C28" s="154"/>
      <c r="D28" s="24" t="s">
        <v>668</v>
      </c>
      <c r="E28" s="65" t="s">
        <v>677</v>
      </c>
      <c r="F28" s="24">
        <v>19.05</v>
      </c>
      <c r="G28" s="24">
        <v>400</v>
      </c>
      <c r="H28" s="24">
        <f>IF(TB_MIS_ConnType_100="Standard",350,217.5)</f>
        <v>350</v>
      </c>
      <c r="I28" s="24">
        <f t="shared" si="5"/>
        <v>100</v>
      </c>
      <c r="J28" s="36">
        <f t="shared" si="6"/>
        <v>19.95</v>
      </c>
      <c r="K28" s="36">
        <f t="shared" si="7"/>
        <v>219.95</v>
      </c>
      <c r="L28" s="131">
        <f>H28/49.25</f>
        <v>7.1065989847715736</v>
      </c>
    </row>
    <row r="29" spans="1:12" x14ac:dyDescent="0.2">
      <c r="A29" s="141" t="s">
        <v>679</v>
      </c>
      <c r="B29" s="154"/>
      <c r="C29" s="154"/>
      <c r="D29" s="24" t="s">
        <v>661</v>
      </c>
      <c r="E29" s="65" t="s">
        <v>680</v>
      </c>
      <c r="F29" s="24">
        <v>18.260000000000002</v>
      </c>
      <c r="G29" s="24">
        <v>200</v>
      </c>
      <c r="H29" s="24">
        <f>IF(TB_MIS_ConnType_100="Standard",150,117.5)</f>
        <v>150</v>
      </c>
      <c r="I29" s="24">
        <f t="shared" si="5"/>
        <v>100</v>
      </c>
      <c r="J29" s="36">
        <f t="shared" si="6"/>
        <v>20.74</v>
      </c>
      <c r="K29" s="36">
        <f t="shared" si="7"/>
        <v>20.74</v>
      </c>
      <c r="L29" s="131">
        <f>H29/13.87</f>
        <v>10.814708002883922</v>
      </c>
    </row>
    <row r="30" spans="1:12" x14ac:dyDescent="0.2">
      <c r="A30" s="141" t="s">
        <v>681</v>
      </c>
      <c r="B30" s="154"/>
      <c r="C30" s="154"/>
      <c r="D30" s="24" t="s">
        <v>664</v>
      </c>
      <c r="E30" s="65" t="s">
        <v>680</v>
      </c>
      <c r="F30" s="24">
        <v>16.079999999999998</v>
      </c>
      <c r="G30" s="24">
        <v>200</v>
      </c>
      <c r="H30" s="24">
        <f>IF(TB_MIS_ConnType_100="Standard",150,117.5)</f>
        <v>150</v>
      </c>
      <c r="I30" s="24">
        <f t="shared" si="5"/>
        <v>100</v>
      </c>
      <c r="J30" s="36">
        <f t="shared" si="6"/>
        <v>22.92</v>
      </c>
      <c r="K30" s="36">
        <f t="shared" si="7"/>
        <v>22.92</v>
      </c>
      <c r="L30" s="131">
        <f>H30/18.85</f>
        <v>7.957559681697612</v>
      </c>
    </row>
    <row r="31" spans="1:12" x14ac:dyDescent="0.2">
      <c r="A31" s="141" t="s">
        <v>503</v>
      </c>
      <c r="B31" s="154"/>
      <c r="C31" s="154"/>
      <c r="D31" s="24" t="s">
        <v>665</v>
      </c>
      <c r="E31" s="65" t="s">
        <v>680</v>
      </c>
      <c r="F31" s="24">
        <v>17.46</v>
      </c>
      <c r="G31" s="24">
        <v>225</v>
      </c>
      <c r="H31" s="24">
        <f>IF(TB_MIS_ConnType_100="Standard",175,130)</f>
        <v>175</v>
      </c>
      <c r="I31" s="24">
        <f t="shared" si="5"/>
        <v>100</v>
      </c>
      <c r="J31" s="36">
        <f t="shared" si="6"/>
        <v>21.54</v>
      </c>
      <c r="K31" s="36">
        <f t="shared" si="7"/>
        <v>46.54</v>
      </c>
      <c r="L31" s="131">
        <f>H31/24.31</f>
        <v>7.1986836692719045</v>
      </c>
    </row>
    <row r="32" spans="1:12" x14ac:dyDescent="0.2">
      <c r="A32" s="141" t="s">
        <v>519</v>
      </c>
      <c r="B32" s="154"/>
      <c r="C32" s="154"/>
      <c r="D32" s="24" t="s">
        <v>666</v>
      </c>
      <c r="E32" s="65" t="s">
        <v>680</v>
      </c>
      <c r="F32" s="24">
        <v>20.64</v>
      </c>
      <c r="G32" s="24">
        <v>300</v>
      </c>
      <c r="H32" s="24">
        <f>IF(TB_MIS_ConnType_100="Standard",250,167.5)</f>
        <v>250</v>
      </c>
      <c r="I32" s="24">
        <f t="shared" si="5"/>
        <v>100</v>
      </c>
      <c r="J32" s="36">
        <f t="shared" si="6"/>
        <v>18.36</v>
      </c>
      <c r="K32" s="36">
        <f t="shared" si="7"/>
        <v>118.36</v>
      </c>
      <c r="L32" s="131">
        <f>H32/38.1</f>
        <v>6.5616797900262469</v>
      </c>
    </row>
    <row r="33" spans="1:12" x14ac:dyDescent="0.2">
      <c r="A33" s="141" t="s">
        <v>530</v>
      </c>
      <c r="B33" s="154"/>
      <c r="C33" s="154"/>
      <c r="D33" s="24" t="s">
        <v>668</v>
      </c>
      <c r="E33" s="65" t="s">
        <v>680</v>
      </c>
      <c r="F33" s="24">
        <v>22.23</v>
      </c>
      <c r="G33" s="24">
        <v>400</v>
      </c>
      <c r="H33" s="24">
        <f>IF(TB_MIS_ConnType_100="Standard",350,217.5)</f>
        <v>350</v>
      </c>
      <c r="I33" s="24">
        <f t="shared" si="5"/>
        <v>100</v>
      </c>
      <c r="J33" s="36">
        <f t="shared" si="6"/>
        <v>16.77</v>
      </c>
      <c r="K33" s="36">
        <f t="shared" si="7"/>
        <v>216.77</v>
      </c>
      <c r="L33" s="131">
        <f>H33/49.25</f>
        <v>7.1065989847715736</v>
      </c>
    </row>
    <row r="34" spans="1:12" x14ac:dyDescent="0.2">
      <c r="A34" s="141" t="s">
        <v>682</v>
      </c>
      <c r="B34" s="154"/>
      <c r="C34" s="154"/>
      <c r="D34" s="24" t="s">
        <v>661</v>
      </c>
      <c r="E34" s="65" t="s">
        <v>683</v>
      </c>
      <c r="F34" s="24">
        <v>20.64</v>
      </c>
      <c r="G34" s="24">
        <v>200</v>
      </c>
      <c r="H34" s="24">
        <f>IF(TB_MIS_ConnType_100="Standard",150,117.5)</f>
        <v>150</v>
      </c>
      <c r="I34" s="24">
        <f t="shared" si="5"/>
        <v>100</v>
      </c>
      <c r="J34" s="36">
        <f t="shared" si="6"/>
        <v>18.36</v>
      </c>
      <c r="K34" s="36">
        <f t="shared" si="7"/>
        <v>18.36</v>
      </c>
      <c r="L34" s="131">
        <f>H34/13.87</f>
        <v>10.814708002883922</v>
      </c>
    </row>
    <row r="35" spans="1:12" x14ac:dyDescent="0.2">
      <c r="A35" s="141" t="s">
        <v>684</v>
      </c>
      <c r="B35" s="154"/>
      <c r="C35" s="154"/>
      <c r="D35" s="24" t="s">
        <v>664</v>
      </c>
      <c r="E35" s="65" t="s">
        <v>683</v>
      </c>
      <c r="F35" s="24">
        <v>22.22</v>
      </c>
      <c r="G35" s="24">
        <v>200</v>
      </c>
      <c r="H35" s="24">
        <f>IF(TB_MIS_ConnType_100="Standard",150,117.5)</f>
        <v>150</v>
      </c>
      <c r="I35" s="24">
        <f t="shared" si="5"/>
        <v>100</v>
      </c>
      <c r="J35" s="36">
        <f t="shared" si="6"/>
        <v>16.78</v>
      </c>
      <c r="K35" s="36">
        <f t="shared" si="7"/>
        <v>16.78</v>
      </c>
      <c r="L35" s="131">
        <f>H35/18.85</f>
        <v>7.957559681697612</v>
      </c>
    </row>
    <row r="36" spans="1:12" x14ac:dyDescent="0.2">
      <c r="A36" s="141" t="s">
        <v>506</v>
      </c>
      <c r="B36" s="154"/>
      <c r="C36" s="154"/>
      <c r="D36" s="24" t="s">
        <v>665</v>
      </c>
      <c r="E36" s="65" t="s">
        <v>683</v>
      </c>
      <c r="F36" s="24">
        <v>23.81</v>
      </c>
      <c r="G36" s="24">
        <v>225</v>
      </c>
      <c r="H36" s="24">
        <f>IF(TB_MIS_ConnType_100="Standard",175,130)</f>
        <v>175</v>
      </c>
      <c r="I36" s="24">
        <f t="shared" si="5"/>
        <v>100</v>
      </c>
      <c r="J36" s="36">
        <f t="shared" si="6"/>
        <v>15.190000000000001</v>
      </c>
      <c r="K36" s="36">
        <f t="shared" si="7"/>
        <v>40.19</v>
      </c>
      <c r="L36" s="131">
        <f>H36/24.31</f>
        <v>7.1986836692719045</v>
      </c>
    </row>
    <row r="37" spans="1:12" x14ac:dyDescent="0.2">
      <c r="A37" s="141" t="s">
        <v>521</v>
      </c>
      <c r="B37" s="154"/>
      <c r="C37" s="154"/>
      <c r="D37" s="24" t="s">
        <v>666</v>
      </c>
      <c r="E37" s="65" t="s">
        <v>683</v>
      </c>
      <c r="F37" s="24">
        <v>28.57</v>
      </c>
      <c r="G37" s="24">
        <v>300</v>
      </c>
      <c r="H37" s="24">
        <f>IF(TB_MIS_ConnType_100="Standard",250,167.5)</f>
        <v>250</v>
      </c>
      <c r="I37" s="24">
        <f t="shared" si="5"/>
        <v>100</v>
      </c>
      <c r="J37" s="36">
        <f t="shared" si="6"/>
        <v>10.43</v>
      </c>
      <c r="K37" s="36">
        <f t="shared" si="7"/>
        <v>110.43</v>
      </c>
      <c r="L37" s="131">
        <f>H37/38.1</f>
        <v>6.5616797900262469</v>
      </c>
    </row>
    <row r="38" spans="1:12" x14ac:dyDescent="0.2">
      <c r="A38" s="141" t="s">
        <v>532</v>
      </c>
      <c r="B38" s="154"/>
      <c r="C38" s="154"/>
      <c r="D38" s="24" t="s">
        <v>668</v>
      </c>
      <c r="E38" s="65" t="s">
        <v>683</v>
      </c>
      <c r="F38" s="24">
        <v>31.75</v>
      </c>
      <c r="G38" s="24">
        <v>400</v>
      </c>
      <c r="H38" s="24">
        <f>IF(TB_MIS_ConnType_100="Standard",350,217.5)</f>
        <v>350</v>
      </c>
      <c r="I38" s="24">
        <f t="shared" si="5"/>
        <v>100</v>
      </c>
      <c r="J38" s="36">
        <f t="shared" si="6"/>
        <v>7.25</v>
      </c>
      <c r="K38" s="36">
        <f t="shared" si="7"/>
        <v>207.25</v>
      </c>
      <c r="L38" s="131">
        <f>H38/49.25</f>
        <v>7.1065989847715736</v>
      </c>
    </row>
    <row r="39" spans="1:12" x14ac:dyDescent="0.2">
      <c r="A39" s="141" t="s">
        <v>685</v>
      </c>
      <c r="B39" s="154"/>
      <c r="C39" s="154"/>
      <c r="D39" s="24" t="s">
        <v>661</v>
      </c>
      <c r="E39" s="65" t="s">
        <v>686</v>
      </c>
      <c r="F39" s="24">
        <v>28.57</v>
      </c>
      <c r="G39" s="24">
        <v>200</v>
      </c>
      <c r="H39" s="24">
        <f>IF(TB_MIS_ConnType_100="Standard",150,117.5)</f>
        <v>150</v>
      </c>
      <c r="I39" s="24">
        <f t="shared" si="5"/>
        <v>100</v>
      </c>
      <c r="J39" s="36">
        <f t="shared" si="6"/>
        <v>10.43</v>
      </c>
      <c r="K39" s="36">
        <f t="shared" si="7"/>
        <v>10.43</v>
      </c>
      <c r="L39" s="131">
        <f>H39/13.87</f>
        <v>10.814708002883922</v>
      </c>
    </row>
    <row r="40" spans="1:12" x14ac:dyDescent="0.2">
      <c r="A40" s="141" t="s">
        <v>687</v>
      </c>
      <c r="B40" s="154"/>
      <c r="C40" s="154"/>
      <c r="D40" s="24" t="s">
        <v>664</v>
      </c>
      <c r="E40" s="65" t="s">
        <v>686</v>
      </c>
      <c r="F40" s="24">
        <v>31.75</v>
      </c>
      <c r="G40" s="24">
        <v>200</v>
      </c>
      <c r="H40" s="24">
        <f>IF(TB_MIS_ConnType_100="Standard",150,117.5)</f>
        <v>150</v>
      </c>
      <c r="I40" s="24">
        <f t="shared" si="5"/>
        <v>100</v>
      </c>
      <c r="J40" s="36">
        <f t="shared" si="6"/>
        <v>7.25</v>
      </c>
      <c r="K40" s="36">
        <f t="shared" si="7"/>
        <v>7.25</v>
      </c>
      <c r="L40" s="131">
        <f>H40/18.85</f>
        <v>7.957559681697612</v>
      </c>
    </row>
    <row r="41" spans="1:12" x14ac:dyDescent="0.2">
      <c r="A41" s="141" t="s">
        <v>510</v>
      </c>
      <c r="B41" s="154"/>
      <c r="C41" s="154"/>
      <c r="D41" s="24" t="s">
        <v>665</v>
      </c>
      <c r="E41" s="65" t="s">
        <v>686</v>
      </c>
      <c r="F41" s="24">
        <v>34.92</v>
      </c>
      <c r="G41" s="24">
        <v>225</v>
      </c>
      <c r="H41" s="24">
        <f>IF(TB_MIS_ConnType_100="Standard",175,130)</f>
        <v>175</v>
      </c>
      <c r="I41" s="24">
        <f t="shared" si="5"/>
        <v>100</v>
      </c>
      <c r="J41" s="36">
        <f t="shared" si="6"/>
        <v>4.0799999999999983</v>
      </c>
      <c r="K41" s="36">
        <f t="shared" si="7"/>
        <v>29.08</v>
      </c>
      <c r="L41" s="131">
        <f>H41/24.31</f>
        <v>7.1986836692719045</v>
      </c>
    </row>
    <row r="42" spans="1:12" x14ac:dyDescent="0.2">
      <c r="A42" s="141" t="s">
        <v>523</v>
      </c>
      <c r="B42" s="154"/>
      <c r="C42" s="154"/>
      <c r="D42" s="24" t="s">
        <v>666</v>
      </c>
      <c r="E42" s="65" t="s">
        <v>686</v>
      </c>
      <c r="F42" s="24">
        <v>38.1</v>
      </c>
      <c r="G42" s="24">
        <v>300</v>
      </c>
      <c r="H42" s="24">
        <f>IF(TB_MIS_ConnType_100="Standard",250,167.5)</f>
        <v>250</v>
      </c>
      <c r="I42" s="24">
        <f t="shared" si="5"/>
        <v>100</v>
      </c>
      <c r="J42" s="36">
        <f t="shared" si="6"/>
        <v>0.89999999999999858</v>
      </c>
      <c r="K42" s="36">
        <f t="shared" si="7"/>
        <v>100.9</v>
      </c>
      <c r="L42" s="131">
        <f>H42/38.1</f>
        <v>6.5616797900262469</v>
      </c>
    </row>
    <row r="43" spans="1:12" x14ac:dyDescent="0.2">
      <c r="A43" s="141" t="s">
        <v>534</v>
      </c>
      <c r="B43" s="154"/>
      <c r="C43" s="154"/>
      <c r="D43" s="24" t="s">
        <v>668</v>
      </c>
      <c r="E43" s="65" t="s">
        <v>686</v>
      </c>
      <c r="F43" s="24">
        <v>44.45</v>
      </c>
      <c r="G43" s="24">
        <v>400</v>
      </c>
      <c r="H43" s="24">
        <f>IF(TB_MIS_ConnType_100="Standard",350,217.5)</f>
        <v>350</v>
      </c>
      <c r="I43" s="24">
        <f t="shared" si="5"/>
        <v>100</v>
      </c>
      <c r="J43" s="36">
        <f t="shared" si="6"/>
        <v>-5.4500000000000028</v>
      </c>
      <c r="K43" s="36">
        <f t="shared" si="7"/>
        <v>194.55</v>
      </c>
      <c r="L43" s="131">
        <f>H43/49.25</f>
        <v>7.1065989847715736</v>
      </c>
    </row>
    <row r="44" spans="1:12" x14ac:dyDescent="0.2">
      <c r="A44" s="141" t="s">
        <v>688</v>
      </c>
      <c r="B44" s="154"/>
      <c r="C44" s="154"/>
      <c r="D44" s="24" t="s">
        <v>661</v>
      </c>
      <c r="E44" s="65" t="s">
        <v>689</v>
      </c>
      <c r="F44" s="24">
        <v>28.57</v>
      </c>
      <c r="G44" s="24">
        <v>200</v>
      </c>
      <c r="H44" s="24">
        <f>IF(TB_MIS_ConnType_100="Standard",150,117.5)</f>
        <v>150</v>
      </c>
      <c r="I44" s="24">
        <f t="shared" si="5"/>
        <v>100</v>
      </c>
      <c r="J44" s="36">
        <f t="shared" si="6"/>
        <v>10.43</v>
      </c>
      <c r="K44" s="36">
        <f t="shared" si="7"/>
        <v>10.43</v>
      </c>
      <c r="L44" s="131">
        <f>H44/13.87</f>
        <v>10.814708002883922</v>
      </c>
    </row>
    <row r="45" spans="1:12" x14ac:dyDescent="0.2">
      <c r="A45" s="141" t="s">
        <v>690</v>
      </c>
      <c r="B45" s="154"/>
      <c r="C45" s="154"/>
      <c r="D45" s="24" t="s">
        <v>664</v>
      </c>
      <c r="E45" s="65" t="s">
        <v>689</v>
      </c>
      <c r="F45" s="24">
        <v>31.75</v>
      </c>
      <c r="G45" s="24">
        <v>200</v>
      </c>
      <c r="H45" s="24">
        <f>IF(TB_MIS_ConnType_100="Standard",150,117.5)</f>
        <v>150</v>
      </c>
      <c r="I45" s="24">
        <f t="shared" si="5"/>
        <v>100</v>
      </c>
      <c r="J45" s="36">
        <f t="shared" si="6"/>
        <v>7.25</v>
      </c>
      <c r="K45" s="36">
        <f t="shared" si="7"/>
        <v>7.25</v>
      </c>
      <c r="L45" s="131">
        <f>H45/18.85</f>
        <v>7.957559681697612</v>
      </c>
    </row>
    <row r="46" spans="1:12" x14ac:dyDescent="0.2">
      <c r="A46" s="141" t="s">
        <v>513</v>
      </c>
      <c r="B46" s="154"/>
      <c r="C46" s="154"/>
      <c r="D46" s="24" t="s">
        <v>665</v>
      </c>
      <c r="E46" s="65" t="s">
        <v>689</v>
      </c>
      <c r="F46" s="24">
        <v>34.92</v>
      </c>
      <c r="G46" s="24">
        <v>225</v>
      </c>
      <c r="H46" s="24">
        <f>IF(TB_MIS_ConnType_100="Standard",175,130)</f>
        <v>175</v>
      </c>
      <c r="I46" s="24">
        <f t="shared" si="5"/>
        <v>100</v>
      </c>
      <c r="J46" s="36">
        <f t="shared" si="6"/>
        <v>4.0799999999999983</v>
      </c>
      <c r="K46" s="36">
        <f t="shared" si="7"/>
        <v>29.08</v>
      </c>
      <c r="L46" s="131">
        <f>H46/24.31</f>
        <v>7.1986836692719045</v>
      </c>
    </row>
    <row r="47" spans="1:12" x14ac:dyDescent="0.2">
      <c r="A47" s="141" t="s">
        <v>525</v>
      </c>
      <c r="B47" s="154"/>
      <c r="C47" s="154"/>
      <c r="D47" s="24" t="s">
        <v>666</v>
      </c>
      <c r="E47" s="65" t="s">
        <v>689</v>
      </c>
      <c r="F47" s="24">
        <v>38.1</v>
      </c>
      <c r="G47" s="24">
        <v>300</v>
      </c>
      <c r="H47" s="24">
        <f>IF(TB_MIS_ConnType_100="Standard",250,167.5)</f>
        <v>250</v>
      </c>
      <c r="I47" s="24">
        <f t="shared" si="5"/>
        <v>100</v>
      </c>
      <c r="J47" s="36">
        <f t="shared" si="6"/>
        <v>0.89999999999999858</v>
      </c>
      <c r="K47" s="36">
        <f t="shared" si="7"/>
        <v>100.9</v>
      </c>
      <c r="L47" s="131">
        <f>H47/38.1</f>
        <v>6.5616797900262469</v>
      </c>
    </row>
    <row r="48" spans="1:12" x14ac:dyDescent="0.2">
      <c r="A48" s="141" t="s">
        <v>536</v>
      </c>
      <c r="B48" s="154"/>
      <c r="C48" s="154"/>
      <c r="D48" s="24" t="s">
        <v>668</v>
      </c>
      <c r="E48" s="65" t="s">
        <v>689</v>
      </c>
      <c r="F48" s="24">
        <v>44.45</v>
      </c>
      <c r="G48" s="24">
        <v>400</v>
      </c>
      <c r="H48" s="24">
        <f>IF(TB_MIS_ConnType_100="Standard",350,217.5)</f>
        <v>350</v>
      </c>
      <c r="I48" s="24">
        <f t="shared" si="5"/>
        <v>100</v>
      </c>
      <c r="J48" s="36">
        <f t="shared" si="6"/>
        <v>-5.4500000000000028</v>
      </c>
      <c r="K48" s="36">
        <f t="shared" si="7"/>
        <v>194.55</v>
      </c>
      <c r="L48" s="131">
        <f>H48/49.25</f>
        <v>7.1065989847715736</v>
      </c>
    </row>
    <row r="49" spans="1:12" x14ac:dyDescent="0.2">
      <c r="A49" s="36" t="s">
        <v>242</v>
      </c>
      <c r="D49" s="24"/>
      <c r="E49" s="65"/>
      <c r="F49" s="24"/>
    </row>
    <row r="51" spans="1:12" x14ac:dyDescent="0.2">
      <c r="A51" s="32" t="s">
        <v>691</v>
      </c>
      <c r="B51" s="32"/>
      <c r="C51" s="32"/>
      <c r="G51" s="36" t="s">
        <v>692</v>
      </c>
    </row>
    <row r="53" spans="1:12" ht="15" x14ac:dyDescent="0.25">
      <c r="A53" s="141" t="s">
        <v>693</v>
      </c>
      <c r="B53" s="182" t="s">
        <v>796</v>
      </c>
      <c r="C53" s="181" t="s">
        <v>786</v>
      </c>
      <c r="D53" s="65" t="s">
        <v>18</v>
      </c>
      <c r="E53" s="65" t="s">
        <v>670</v>
      </c>
      <c r="F53" s="65" t="s">
        <v>671</v>
      </c>
      <c r="G53" s="65" t="s">
        <v>672</v>
      </c>
      <c r="H53" s="24" t="s">
        <v>654</v>
      </c>
      <c r="I53" s="24" t="s">
        <v>655</v>
      </c>
      <c r="J53" s="65" t="s">
        <v>673</v>
      </c>
      <c r="K53" s="65" t="s">
        <v>674</v>
      </c>
      <c r="L53" s="65" t="s">
        <v>675</v>
      </c>
    </row>
    <row r="54" spans="1:12" x14ac:dyDescent="0.2">
      <c r="A54" s="141" t="s">
        <v>676</v>
      </c>
      <c r="B54" s="169" t="s">
        <v>399</v>
      </c>
      <c r="C54" s="168" t="s">
        <v>386</v>
      </c>
      <c r="D54" s="24" t="s">
        <v>661</v>
      </c>
      <c r="E54" s="65" t="s">
        <v>677</v>
      </c>
      <c r="F54" s="24">
        <v>11.11</v>
      </c>
      <c r="G54" s="24">
        <f t="shared" ref="G54:G78" si="8">IF(TB_MIS_ModelType_100=$A$6,G24+200,G24)</f>
        <v>200</v>
      </c>
      <c r="H54" s="24">
        <f t="shared" ref="H54:H78" si="9">IF(TB_MIS_ConnType_100="Standard",((G54-200)/2)+125,((G54-200)/2)+55)</f>
        <v>125</v>
      </c>
      <c r="I54" s="24">
        <f t="shared" ref="I54:I78" si="10">IF(TB_MIS_ConnType_100="Standard",100,35)</f>
        <v>100</v>
      </c>
      <c r="J54" s="36">
        <f t="shared" ref="J54:J78" si="11">G54-(H54+11)-F54</f>
        <v>52.89</v>
      </c>
      <c r="K54" s="36">
        <f t="shared" ref="K54:K78" si="12">H54-(I54+11)-F54</f>
        <v>2.8900000000000006</v>
      </c>
      <c r="L54" s="36">
        <f>H54/13.87</f>
        <v>9.0122566690699362</v>
      </c>
    </row>
    <row r="55" spans="1:12" x14ac:dyDescent="0.2">
      <c r="A55" s="141" t="s">
        <v>678</v>
      </c>
      <c r="B55" s="168" t="s">
        <v>797</v>
      </c>
      <c r="C55" s="168" t="s">
        <v>386</v>
      </c>
      <c r="D55" s="24" t="s">
        <v>664</v>
      </c>
      <c r="E55" s="65" t="s">
        <v>677</v>
      </c>
      <c r="F55" s="24">
        <v>12.7</v>
      </c>
      <c r="G55" s="24">
        <f t="shared" si="8"/>
        <v>200</v>
      </c>
      <c r="H55" s="24">
        <f t="shared" si="9"/>
        <v>125</v>
      </c>
      <c r="I55" s="24">
        <f t="shared" si="10"/>
        <v>100</v>
      </c>
      <c r="J55" s="36">
        <f t="shared" si="11"/>
        <v>51.3</v>
      </c>
      <c r="K55" s="36">
        <f t="shared" si="12"/>
        <v>1.3000000000000007</v>
      </c>
      <c r="L55" s="36">
        <f>H55/18.85</f>
        <v>6.6312997347480103</v>
      </c>
    </row>
    <row r="56" spans="1:12" x14ac:dyDescent="0.2">
      <c r="A56" s="141" t="s">
        <v>499</v>
      </c>
      <c r="B56" s="168" t="s">
        <v>400</v>
      </c>
      <c r="C56" s="168" t="s">
        <v>386</v>
      </c>
      <c r="D56" s="24" t="s">
        <v>665</v>
      </c>
      <c r="E56" s="65" t="s">
        <v>677</v>
      </c>
      <c r="F56" s="24">
        <v>14.29</v>
      </c>
      <c r="G56" s="24">
        <f t="shared" si="8"/>
        <v>225</v>
      </c>
      <c r="H56" s="24">
        <f t="shared" si="9"/>
        <v>137.5</v>
      </c>
      <c r="I56" s="24">
        <f t="shared" si="10"/>
        <v>100</v>
      </c>
      <c r="J56" s="36">
        <f t="shared" si="11"/>
        <v>62.21</v>
      </c>
      <c r="K56" s="36">
        <f t="shared" si="12"/>
        <v>12.21</v>
      </c>
      <c r="L56" s="36">
        <f>H56/24.31</f>
        <v>5.6561085972850682</v>
      </c>
    </row>
    <row r="57" spans="1:12" x14ac:dyDescent="0.2">
      <c r="A57" s="141" t="s">
        <v>198</v>
      </c>
      <c r="B57" s="169" t="s">
        <v>196</v>
      </c>
      <c r="C57" s="168" t="s">
        <v>386</v>
      </c>
      <c r="D57" s="24" t="s">
        <v>666</v>
      </c>
      <c r="E57" s="65" t="s">
        <v>677</v>
      </c>
      <c r="F57" s="24">
        <v>17.46</v>
      </c>
      <c r="G57" s="24">
        <f t="shared" si="8"/>
        <v>300</v>
      </c>
      <c r="H57" s="24">
        <f t="shared" si="9"/>
        <v>175</v>
      </c>
      <c r="I57" s="24">
        <f t="shared" si="10"/>
        <v>100</v>
      </c>
      <c r="J57" s="36">
        <f t="shared" si="11"/>
        <v>96.539999999999992</v>
      </c>
      <c r="K57" s="36">
        <f t="shared" si="12"/>
        <v>46.54</v>
      </c>
      <c r="L57" s="36">
        <f>H57/38.1</f>
        <v>4.5931758530183728</v>
      </c>
    </row>
    <row r="58" spans="1:12" x14ac:dyDescent="0.2">
      <c r="A58" s="141" t="s">
        <v>202</v>
      </c>
      <c r="B58" s="169" t="s">
        <v>201</v>
      </c>
      <c r="C58" s="168" t="s">
        <v>386</v>
      </c>
      <c r="D58" s="24" t="s">
        <v>668</v>
      </c>
      <c r="E58" s="65" t="s">
        <v>677</v>
      </c>
      <c r="F58" s="24">
        <v>19.05</v>
      </c>
      <c r="G58" s="24">
        <f t="shared" si="8"/>
        <v>400</v>
      </c>
      <c r="H58" s="24">
        <f t="shared" si="9"/>
        <v>225</v>
      </c>
      <c r="I58" s="24">
        <f t="shared" si="10"/>
        <v>100</v>
      </c>
      <c r="J58" s="36">
        <f t="shared" si="11"/>
        <v>144.94999999999999</v>
      </c>
      <c r="K58" s="36">
        <f t="shared" si="12"/>
        <v>94.95</v>
      </c>
      <c r="L58" s="36">
        <f>H58/49.25</f>
        <v>4.5685279187817258</v>
      </c>
    </row>
    <row r="59" spans="1:12" x14ac:dyDescent="0.2">
      <c r="A59" s="141" t="s">
        <v>679</v>
      </c>
      <c r="B59" s="169" t="s">
        <v>399</v>
      </c>
      <c r="C59" s="168" t="s">
        <v>396</v>
      </c>
      <c r="D59" s="24" t="s">
        <v>661</v>
      </c>
      <c r="E59" s="65" t="s">
        <v>680</v>
      </c>
      <c r="F59" s="24">
        <v>18.260000000000002</v>
      </c>
      <c r="G59" s="24">
        <f t="shared" si="8"/>
        <v>200</v>
      </c>
      <c r="H59" s="24">
        <f t="shared" si="9"/>
        <v>125</v>
      </c>
      <c r="I59" s="24">
        <f t="shared" si="10"/>
        <v>100</v>
      </c>
      <c r="J59" s="36">
        <f t="shared" si="11"/>
        <v>45.739999999999995</v>
      </c>
      <c r="K59" s="36">
        <f t="shared" si="12"/>
        <v>-4.2600000000000016</v>
      </c>
      <c r="L59" s="36">
        <f>H59/13.87</f>
        <v>9.0122566690699362</v>
      </c>
    </row>
    <row r="60" spans="1:12" x14ac:dyDescent="0.2">
      <c r="A60" s="141" t="s">
        <v>681</v>
      </c>
      <c r="B60" s="168" t="s">
        <v>797</v>
      </c>
      <c r="C60" s="168" t="s">
        <v>396</v>
      </c>
      <c r="D60" s="24" t="s">
        <v>664</v>
      </c>
      <c r="E60" s="65" t="s">
        <v>680</v>
      </c>
      <c r="F60" s="24">
        <v>16.079999999999998</v>
      </c>
      <c r="G60" s="24">
        <f t="shared" si="8"/>
        <v>200</v>
      </c>
      <c r="H60" s="24">
        <f t="shared" si="9"/>
        <v>125</v>
      </c>
      <c r="I60" s="24">
        <f t="shared" si="10"/>
        <v>100</v>
      </c>
      <c r="J60" s="36">
        <f t="shared" si="11"/>
        <v>47.92</v>
      </c>
      <c r="K60" s="36">
        <f t="shared" si="12"/>
        <v>-2.0799999999999983</v>
      </c>
      <c r="L60" s="36">
        <f>H60/18.85</f>
        <v>6.6312997347480103</v>
      </c>
    </row>
    <row r="61" spans="1:12" x14ac:dyDescent="0.2">
      <c r="A61" s="141" t="s">
        <v>503</v>
      </c>
      <c r="B61" s="168" t="s">
        <v>400</v>
      </c>
      <c r="C61" s="168" t="s">
        <v>396</v>
      </c>
      <c r="D61" s="24" t="s">
        <v>665</v>
      </c>
      <c r="E61" s="65" t="s">
        <v>680</v>
      </c>
      <c r="F61" s="24">
        <v>17.46</v>
      </c>
      <c r="G61" s="24">
        <f t="shared" si="8"/>
        <v>225</v>
      </c>
      <c r="H61" s="24">
        <f t="shared" si="9"/>
        <v>137.5</v>
      </c>
      <c r="I61" s="24">
        <f t="shared" si="10"/>
        <v>100</v>
      </c>
      <c r="J61" s="36">
        <f t="shared" si="11"/>
        <v>59.04</v>
      </c>
      <c r="K61" s="36">
        <f t="shared" si="12"/>
        <v>9.0399999999999991</v>
      </c>
      <c r="L61" s="36">
        <f>H61/24.31</f>
        <v>5.6561085972850682</v>
      </c>
    </row>
    <row r="62" spans="1:12" x14ac:dyDescent="0.2">
      <c r="A62" s="141" t="s">
        <v>519</v>
      </c>
      <c r="B62" s="169" t="s">
        <v>196</v>
      </c>
      <c r="C62" s="168" t="s">
        <v>396</v>
      </c>
      <c r="D62" s="24" t="s">
        <v>666</v>
      </c>
      <c r="E62" s="65" t="s">
        <v>680</v>
      </c>
      <c r="F62" s="24">
        <v>20.64</v>
      </c>
      <c r="G62" s="24">
        <f t="shared" si="8"/>
        <v>300</v>
      </c>
      <c r="H62" s="24">
        <f t="shared" si="9"/>
        <v>175</v>
      </c>
      <c r="I62" s="24">
        <f t="shared" si="10"/>
        <v>100</v>
      </c>
      <c r="J62" s="36">
        <f t="shared" si="11"/>
        <v>93.36</v>
      </c>
      <c r="K62" s="36">
        <f t="shared" si="12"/>
        <v>43.36</v>
      </c>
      <c r="L62" s="36">
        <f>H62/38.1</f>
        <v>4.5931758530183728</v>
      </c>
    </row>
    <row r="63" spans="1:12" x14ac:dyDescent="0.2">
      <c r="A63" s="141" t="s">
        <v>530</v>
      </c>
      <c r="B63" s="169" t="s">
        <v>201</v>
      </c>
      <c r="C63" s="168" t="s">
        <v>396</v>
      </c>
      <c r="D63" s="24" t="s">
        <v>668</v>
      </c>
      <c r="E63" s="65" t="s">
        <v>680</v>
      </c>
      <c r="F63" s="24">
        <v>22.23</v>
      </c>
      <c r="G63" s="24">
        <f t="shared" si="8"/>
        <v>400</v>
      </c>
      <c r="H63" s="24">
        <f t="shared" si="9"/>
        <v>225</v>
      </c>
      <c r="I63" s="24">
        <f t="shared" si="10"/>
        <v>100</v>
      </c>
      <c r="J63" s="36">
        <f t="shared" si="11"/>
        <v>141.77000000000001</v>
      </c>
      <c r="K63" s="36">
        <f t="shared" si="12"/>
        <v>91.77</v>
      </c>
      <c r="L63" s="36">
        <f>H63/49.25</f>
        <v>4.5685279187817258</v>
      </c>
    </row>
    <row r="64" spans="1:12" x14ac:dyDescent="0.2">
      <c r="A64" s="141" t="s">
        <v>682</v>
      </c>
      <c r="B64" s="169" t="s">
        <v>399</v>
      </c>
      <c r="C64" s="168" t="s">
        <v>402</v>
      </c>
      <c r="D64" s="24" t="s">
        <v>661</v>
      </c>
      <c r="E64" s="65" t="s">
        <v>683</v>
      </c>
      <c r="F64" s="24">
        <v>20.64</v>
      </c>
      <c r="G64" s="24">
        <f t="shared" si="8"/>
        <v>200</v>
      </c>
      <c r="H64" s="24">
        <f t="shared" si="9"/>
        <v>125</v>
      </c>
      <c r="I64" s="24">
        <f t="shared" si="10"/>
        <v>100</v>
      </c>
      <c r="J64" s="36">
        <f t="shared" si="11"/>
        <v>43.36</v>
      </c>
      <c r="K64" s="36">
        <f t="shared" si="12"/>
        <v>-6.6400000000000006</v>
      </c>
      <c r="L64" s="36">
        <f>H64/13.87</f>
        <v>9.0122566690699362</v>
      </c>
    </row>
    <row r="65" spans="1:12" x14ac:dyDescent="0.2">
      <c r="A65" s="141" t="s">
        <v>684</v>
      </c>
      <c r="B65" s="168" t="s">
        <v>797</v>
      </c>
      <c r="C65" s="168" t="s">
        <v>402</v>
      </c>
      <c r="D65" s="24" t="s">
        <v>664</v>
      </c>
      <c r="E65" s="65" t="s">
        <v>683</v>
      </c>
      <c r="F65" s="24">
        <v>22.22</v>
      </c>
      <c r="G65" s="24">
        <f t="shared" si="8"/>
        <v>200</v>
      </c>
      <c r="H65" s="24">
        <f t="shared" si="9"/>
        <v>125</v>
      </c>
      <c r="I65" s="24">
        <f t="shared" si="10"/>
        <v>100</v>
      </c>
      <c r="J65" s="36">
        <f t="shared" si="11"/>
        <v>41.78</v>
      </c>
      <c r="K65" s="36">
        <f t="shared" si="12"/>
        <v>-8.2199999999999989</v>
      </c>
      <c r="L65" s="36">
        <f>H65/18.85</f>
        <v>6.6312997347480103</v>
      </c>
    </row>
    <row r="66" spans="1:12" x14ac:dyDescent="0.2">
      <c r="A66" s="141" t="s">
        <v>506</v>
      </c>
      <c r="B66" s="168" t="s">
        <v>400</v>
      </c>
      <c r="C66" s="168" t="s">
        <v>402</v>
      </c>
      <c r="D66" s="24" t="s">
        <v>665</v>
      </c>
      <c r="E66" s="65" t="s">
        <v>683</v>
      </c>
      <c r="F66" s="24">
        <v>23.81</v>
      </c>
      <c r="G66" s="24">
        <f t="shared" si="8"/>
        <v>225</v>
      </c>
      <c r="H66" s="24">
        <f t="shared" si="9"/>
        <v>137.5</v>
      </c>
      <c r="I66" s="24">
        <f t="shared" si="10"/>
        <v>100</v>
      </c>
      <c r="J66" s="36">
        <f t="shared" si="11"/>
        <v>52.69</v>
      </c>
      <c r="K66" s="36">
        <f t="shared" si="12"/>
        <v>2.6900000000000013</v>
      </c>
      <c r="L66" s="36">
        <f>H66/24.31</f>
        <v>5.6561085972850682</v>
      </c>
    </row>
    <row r="67" spans="1:12" x14ac:dyDescent="0.2">
      <c r="A67" s="141" t="s">
        <v>521</v>
      </c>
      <c r="B67" s="169" t="s">
        <v>196</v>
      </c>
      <c r="C67" s="168" t="s">
        <v>402</v>
      </c>
      <c r="D67" s="24" t="s">
        <v>666</v>
      </c>
      <c r="E67" s="65" t="s">
        <v>683</v>
      </c>
      <c r="F67" s="24">
        <v>28.57</v>
      </c>
      <c r="G67" s="24">
        <f t="shared" si="8"/>
        <v>300</v>
      </c>
      <c r="H67" s="24">
        <f t="shared" si="9"/>
        <v>175</v>
      </c>
      <c r="I67" s="24">
        <f t="shared" si="10"/>
        <v>100</v>
      </c>
      <c r="J67" s="36">
        <f t="shared" si="11"/>
        <v>85.43</v>
      </c>
      <c r="K67" s="36">
        <f t="shared" si="12"/>
        <v>35.43</v>
      </c>
      <c r="L67" s="36">
        <f>H67/38.1</f>
        <v>4.5931758530183728</v>
      </c>
    </row>
    <row r="68" spans="1:12" x14ac:dyDescent="0.2">
      <c r="A68" s="141" t="s">
        <v>532</v>
      </c>
      <c r="B68" s="169" t="s">
        <v>201</v>
      </c>
      <c r="C68" s="168" t="s">
        <v>402</v>
      </c>
      <c r="D68" s="24" t="s">
        <v>668</v>
      </c>
      <c r="E68" s="65" t="s">
        <v>683</v>
      </c>
      <c r="F68" s="24">
        <v>31.75</v>
      </c>
      <c r="G68" s="24">
        <f t="shared" si="8"/>
        <v>400</v>
      </c>
      <c r="H68" s="24">
        <f t="shared" si="9"/>
        <v>225</v>
      </c>
      <c r="I68" s="24">
        <f t="shared" si="10"/>
        <v>100</v>
      </c>
      <c r="J68" s="36">
        <f t="shared" si="11"/>
        <v>132.25</v>
      </c>
      <c r="K68" s="36">
        <f t="shared" si="12"/>
        <v>82.25</v>
      </c>
      <c r="L68" s="36">
        <f>H68/49.25</f>
        <v>4.5685279187817258</v>
      </c>
    </row>
    <row r="69" spans="1:12" x14ac:dyDescent="0.2">
      <c r="A69" s="141" t="s">
        <v>685</v>
      </c>
      <c r="B69" s="169" t="s">
        <v>399</v>
      </c>
      <c r="C69" s="168" t="s">
        <v>509</v>
      </c>
      <c r="D69" s="24" t="s">
        <v>661</v>
      </c>
      <c r="E69" s="65" t="s">
        <v>686</v>
      </c>
      <c r="F69" s="24">
        <v>28.57</v>
      </c>
      <c r="G69" s="24">
        <f t="shared" si="8"/>
        <v>200</v>
      </c>
      <c r="H69" s="24">
        <f t="shared" si="9"/>
        <v>125</v>
      </c>
      <c r="I69" s="24">
        <f t="shared" si="10"/>
        <v>100</v>
      </c>
      <c r="J69" s="36">
        <f t="shared" si="11"/>
        <v>35.43</v>
      </c>
      <c r="K69" s="36">
        <f t="shared" si="12"/>
        <v>-14.57</v>
      </c>
      <c r="L69" s="36">
        <f>H69/13.87</f>
        <v>9.0122566690699362</v>
      </c>
    </row>
    <row r="70" spans="1:12" x14ac:dyDescent="0.2">
      <c r="A70" s="141" t="s">
        <v>687</v>
      </c>
      <c r="B70" s="168" t="s">
        <v>797</v>
      </c>
      <c r="C70" s="168" t="s">
        <v>509</v>
      </c>
      <c r="D70" s="24" t="s">
        <v>664</v>
      </c>
      <c r="E70" s="65" t="s">
        <v>686</v>
      </c>
      <c r="F70" s="24">
        <v>31.75</v>
      </c>
      <c r="G70" s="24">
        <f t="shared" si="8"/>
        <v>200</v>
      </c>
      <c r="H70" s="24">
        <f t="shared" si="9"/>
        <v>125</v>
      </c>
      <c r="I70" s="24">
        <f t="shared" si="10"/>
        <v>100</v>
      </c>
      <c r="J70" s="36">
        <f t="shared" si="11"/>
        <v>32.25</v>
      </c>
      <c r="K70" s="36">
        <f t="shared" si="12"/>
        <v>-17.75</v>
      </c>
      <c r="L70" s="36">
        <f>H70/18.85</f>
        <v>6.6312997347480103</v>
      </c>
    </row>
    <row r="71" spans="1:12" x14ac:dyDescent="0.2">
      <c r="A71" s="141" t="s">
        <v>510</v>
      </c>
      <c r="B71" s="168" t="s">
        <v>400</v>
      </c>
      <c r="C71" s="168" t="s">
        <v>509</v>
      </c>
      <c r="D71" s="24" t="s">
        <v>665</v>
      </c>
      <c r="E71" s="65" t="s">
        <v>686</v>
      </c>
      <c r="F71" s="24">
        <v>34.92</v>
      </c>
      <c r="G71" s="24">
        <f t="shared" si="8"/>
        <v>225</v>
      </c>
      <c r="H71" s="24">
        <f t="shared" si="9"/>
        <v>137.5</v>
      </c>
      <c r="I71" s="24">
        <f t="shared" si="10"/>
        <v>100</v>
      </c>
      <c r="J71" s="36">
        <f t="shared" si="11"/>
        <v>41.58</v>
      </c>
      <c r="K71" s="36">
        <f t="shared" si="12"/>
        <v>-8.4200000000000017</v>
      </c>
      <c r="L71" s="36">
        <f>H71/24.31</f>
        <v>5.6561085972850682</v>
      </c>
    </row>
    <row r="72" spans="1:12" x14ac:dyDescent="0.2">
      <c r="A72" s="141" t="s">
        <v>523</v>
      </c>
      <c r="B72" s="169" t="s">
        <v>196</v>
      </c>
      <c r="C72" s="168" t="s">
        <v>509</v>
      </c>
      <c r="D72" s="24" t="s">
        <v>666</v>
      </c>
      <c r="E72" s="65" t="s">
        <v>686</v>
      </c>
      <c r="F72" s="24">
        <v>38.1</v>
      </c>
      <c r="G72" s="24">
        <f t="shared" si="8"/>
        <v>300</v>
      </c>
      <c r="H72" s="24">
        <f t="shared" si="9"/>
        <v>175</v>
      </c>
      <c r="I72" s="24">
        <f t="shared" si="10"/>
        <v>100</v>
      </c>
      <c r="J72" s="36">
        <f t="shared" si="11"/>
        <v>75.900000000000006</v>
      </c>
      <c r="K72" s="36">
        <f t="shared" si="12"/>
        <v>25.9</v>
      </c>
      <c r="L72" s="36">
        <f>H72/38.1</f>
        <v>4.5931758530183728</v>
      </c>
    </row>
    <row r="73" spans="1:12" x14ac:dyDescent="0.2">
      <c r="A73" s="141" t="s">
        <v>534</v>
      </c>
      <c r="B73" s="169" t="s">
        <v>201</v>
      </c>
      <c r="C73" s="168" t="s">
        <v>509</v>
      </c>
      <c r="D73" s="24" t="s">
        <v>668</v>
      </c>
      <c r="E73" s="65" t="s">
        <v>686</v>
      </c>
      <c r="F73" s="24">
        <v>44.45</v>
      </c>
      <c r="G73" s="24">
        <f t="shared" si="8"/>
        <v>400</v>
      </c>
      <c r="H73" s="24">
        <f t="shared" si="9"/>
        <v>225</v>
      </c>
      <c r="I73" s="24">
        <f t="shared" si="10"/>
        <v>100</v>
      </c>
      <c r="J73" s="36">
        <f t="shared" si="11"/>
        <v>119.55</v>
      </c>
      <c r="K73" s="36">
        <f t="shared" si="12"/>
        <v>69.55</v>
      </c>
      <c r="L73" s="36">
        <f>H73/49.25</f>
        <v>4.5685279187817258</v>
      </c>
    </row>
    <row r="74" spans="1:12" x14ac:dyDescent="0.2">
      <c r="A74" s="141" t="s">
        <v>688</v>
      </c>
      <c r="B74" s="169" t="s">
        <v>399</v>
      </c>
      <c r="C74" s="168" t="s">
        <v>387</v>
      </c>
      <c r="D74" s="24" t="s">
        <v>661</v>
      </c>
      <c r="E74" s="65" t="s">
        <v>689</v>
      </c>
      <c r="F74" s="24">
        <v>28.57</v>
      </c>
      <c r="G74" s="24">
        <f t="shared" si="8"/>
        <v>200</v>
      </c>
      <c r="H74" s="24">
        <f t="shared" si="9"/>
        <v>125</v>
      </c>
      <c r="I74" s="24">
        <f t="shared" si="10"/>
        <v>100</v>
      </c>
      <c r="J74" s="36">
        <f t="shared" si="11"/>
        <v>35.43</v>
      </c>
      <c r="K74" s="36">
        <f t="shared" si="12"/>
        <v>-14.57</v>
      </c>
      <c r="L74" s="36">
        <f>H74/13.87</f>
        <v>9.0122566690699362</v>
      </c>
    </row>
    <row r="75" spans="1:12" x14ac:dyDescent="0.2">
      <c r="A75" s="141" t="s">
        <v>690</v>
      </c>
      <c r="B75" s="168" t="s">
        <v>797</v>
      </c>
      <c r="C75" s="168" t="s">
        <v>387</v>
      </c>
      <c r="D75" s="24" t="s">
        <v>664</v>
      </c>
      <c r="E75" s="65" t="s">
        <v>689</v>
      </c>
      <c r="F75" s="24">
        <v>31.75</v>
      </c>
      <c r="G75" s="24">
        <f t="shared" si="8"/>
        <v>200</v>
      </c>
      <c r="H75" s="24">
        <f t="shared" si="9"/>
        <v>125</v>
      </c>
      <c r="I75" s="24">
        <f t="shared" si="10"/>
        <v>100</v>
      </c>
      <c r="J75" s="36">
        <f t="shared" si="11"/>
        <v>32.25</v>
      </c>
      <c r="K75" s="36">
        <f t="shared" si="12"/>
        <v>-17.75</v>
      </c>
      <c r="L75" s="36">
        <f>H75/18.85</f>
        <v>6.6312997347480103</v>
      </c>
    </row>
    <row r="76" spans="1:12" x14ac:dyDescent="0.2">
      <c r="A76" s="141" t="s">
        <v>513</v>
      </c>
      <c r="B76" s="168" t="s">
        <v>400</v>
      </c>
      <c r="C76" s="168" t="s">
        <v>387</v>
      </c>
      <c r="D76" s="24" t="s">
        <v>665</v>
      </c>
      <c r="E76" s="65" t="s">
        <v>689</v>
      </c>
      <c r="F76" s="24">
        <v>34.92</v>
      </c>
      <c r="G76" s="24">
        <f t="shared" si="8"/>
        <v>225</v>
      </c>
      <c r="H76" s="24">
        <f t="shared" si="9"/>
        <v>137.5</v>
      </c>
      <c r="I76" s="24">
        <f t="shared" si="10"/>
        <v>100</v>
      </c>
      <c r="J76" s="36">
        <f t="shared" si="11"/>
        <v>41.58</v>
      </c>
      <c r="K76" s="36">
        <f t="shared" si="12"/>
        <v>-8.4200000000000017</v>
      </c>
      <c r="L76" s="36">
        <f>H76/24.31</f>
        <v>5.6561085972850682</v>
      </c>
    </row>
    <row r="77" spans="1:12" x14ac:dyDescent="0.2">
      <c r="A77" s="141" t="s">
        <v>525</v>
      </c>
      <c r="B77" s="169" t="s">
        <v>196</v>
      </c>
      <c r="C77" s="168" t="s">
        <v>387</v>
      </c>
      <c r="D77" s="24" t="s">
        <v>666</v>
      </c>
      <c r="E77" s="65" t="s">
        <v>689</v>
      </c>
      <c r="F77" s="24">
        <v>38.1</v>
      </c>
      <c r="G77" s="24">
        <f t="shared" si="8"/>
        <v>300</v>
      </c>
      <c r="H77" s="24">
        <f t="shared" si="9"/>
        <v>175</v>
      </c>
      <c r="I77" s="24">
        <f t="shared" si="10"/>
        <v>100</v>
      </c>
      <c r="J77" s="36">
        <f t="shared" si="11"/>
        <v>75.900000000000006</v>
      </c>
      <c r="K77" s="36">
        <f t="shared" si="12"/>
        <v>25.9</v>
      </c>
      <c r="L77" s="36">
        <f>H77/38.1</f>
        <v>4.5931758530183728</v>
      </c>
    </row>
    <row r="78" spans="1:12" x14ac:dyDescent="0.2">
      <c r="A78" s="141" t="s">
        <v>536</v>
      </c>
      <c r="B78" s="169" t="s">
        <v>201</v>
      </c>
      <c r="C78" s="168" t="s">
        <v>387</v>
      </c>
      <c r="D78" s="24" t="s">
        <v>668</v>
      </c>
      <c r="E78" s="65" t="s">
        <v>689</v>
      </c>
      <c r="F78" s="24">
        <v>44.45</v>
      </c>
      <c r="G78" s="24">
        <f t="shared" si="8"/>
        <v>400</v>
      </c>
      <c r="H78" s="24">
        <f t="shared" si="9"/>
        <v>225</v>
      </c>
      <c r="I78" s="24">
        <f t="shared" si="10"/>
        <v>100</v>
      </c>
      <c r="J78" s="36">
        <f t="shared" si="11"/>
        <v>119.55</v>
      </c>
      <c r="K78" s="36">
        <f t="shared" si="12"/>
        <v>69.55</v>
      </c>
      <c r="L78" s="36">
        <f>H78/49.25</f>
        <v>4.5685279187817258</v>
      </c>
    </row>
    <row r="79" spans="1:12" x14ac:dyDescent="0.2">
      <c r="A79" s="36" t="s">
        <v>242</v>
      </c>
    </row>
  </sheetData>
  <conditionalFormatting sqref="J24:K48 J54:K78">
    <cfRule type="cellIs" dxfId="3" priority="1" stopIfTrue="1" operator="lessThan">
      <formula>80</formula>
    </cfRule>
    <cfRule type="cellIs" dxfId="2" priority="2" stopIfTrue="1" operator="lessThan">
      <formula>10</formula>
    </cfRule>
  </conditionalFormatting>
  <pageMargins left="0.70866141732283472" right="0.70866141732283472" top="0.74803149606299213" bottom="0.74803149606299213" header="0.31496062992125984" footer="0.31496062992125984"/>
  <pageSetup paperSize="9" scale="4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theme="9" tint="-0.249977111117893"/>
  </sheetPr>
  <dimension ref="A1:G164"/>
  <sheetViews>
    <sheetView workbookViewId="0">
      <selection activeCell="C167" sqref="C167"/>
    </sheetView>
  </sheetViews>
  <sheetFormatPr defaultColWidth="9.140625" defaultRowHeight="15" x14ac:dyDescent="0.25"/>
  <cols>
    <col min="1" max="1" width="18.85546875" style="113" bestFit="1" customWidth="1"/>
    <col min="2" max="2" width="118.28515625" style="113" customWidth="1"/>
    <col min="3" max="3" width="20.28515625" style="113" bestFit="1" customWidth="1"/>
    <col min="4" max="4" width="32.85546875" style="113" bestFit="1" customWidth="1"/>
    <col min="5" max="5" width="19.140625" style="113" bestFit="1" customWidth="1"/>
    <col min="6" max="6" width="11.7109375" style="114" bestFit="1" customWidth="1"/>
    <col min="7" max="7" width="8.85546875" bestFit="1" customWidth="1"/>
    <col min="8" max="8" width="18.42578125" style="114" customWidth="1"/>
    <col min="9" max="9" width="15.42578125" style="114" bestFit="1" customWidth="1"/>
    <col min="10" max="10" width="18.5703125" style="114" bestFit="1" customWidth="1"/>
    <col min="11" max="11" width="15.28515625" style="114" bestFit="1" customWidth="1"/>
    <col min="12" max="16384" width="9.140625" style="114"/>
  </cols>
  <sheetData>
    <row r="1" spans="1:6" x14ac:dyDescent="0.25">
      <c r="A1" s="178" t="s">
        <v>800</v>
      </c>
    </row>
    <row r="3" spans="1:6" x14ac:dyDescent="0.25">
      <c r="A3" s="187" t="s">
        <v>694</v>
      </c>
      <c r="B3" s="187"/>
      <c r="C3" s="187"/>
      <c r="D3" s="177"/>
      <c r="E3" s="142"/>
      <c r="F3" s="33"/>
    </row>
    <row r="4" spans="1:6" x14ac:dyDescent="0.25">
      <c r="A4" s="163" t="s">
        <v>497</v>
      </c>
      <c r="B4" s="120" t="s">
        <v>37</v>
      </c>
      <c r="C4" s="120" t="s">
        <v>393</v>
      </c>
      <c r="D4" s="146" t="s">
        <v>190</v>
      </c>
    </row>
    <row r="5" spans="1:6" x14ac:dyDescent="0.25">
      <c r="A5" s="164" t="s">
        <v>241</v>
      </c>
      <c r="B5" s="121" t="s">
        <v>242</v>
      </c>
      <c r="C5" s="183">
        <v>0</v>
      </c>
      <c r="D5" s="184">
        <v>0</v>
      </c>
    </row>
    <row r="6" spans="1:6" x14ac:dyDescent="0.25">
      <c r="A6" s="164" t="s">
        <v>695</v>
      </c>
      <c r="B6" s="121" t="s">
        <v>676</v>
      </c>
      <c r="C6" s="183"/>
      <c r="D6" s="184"/>
    </row>
    <row r="7" spans="1:6" x14ac:dyDescent="0.25">
      <c r="A7" s="164" t="s">
        <v>696</v>
      </c>
      <c r="B7" s="121" t="s">
        <v>679</v>
      </c>
      <c r="C7" s="183"/>
      <c r="D7" s="184"/>
    </row>
    <row r="8" spans="1:6" x14ac:dyDescent="0.25">
      <c r="A8" s="164" t="s">
        <v>697</v>
      </c>
      <c r="B8" s="121" t="s">
        <v>682</v>
      </c>
      <c r="C8" s="183"/>
      <c r="D8" s="184"/>
    </row>
    <row r="9" spans="1:6" x14ac:dyDescent="0.25">
      <c r="A9" s="164" t="s">
        <v>698</v>
      </c>
      <c r="B9" s="121" t="s">
        <v>685</v>
      </c>
      <c r="C9" s="183"/>
      <c r="D9" s="184"/>
    </row>
    <row r="10" spans="1:6" x14ac:dyDescent="0.25">
      <c r="A10" s="164" t="s">
        <v>699</v>
      </c>
      <c r="B10" s="121" t="s">
        <v>688</v>
      </c>
      <c r="C10" s="183"/>
      <c r="D10" s="184"/>
    </row>
    <row r="11" spans="1:6" x14ac:dyDescent="0.25">
      <c r="A11" s="164" t="s">
        <v>700</v>
      </c>
      <c r="B11" s="121" t="s">
        <v>701</v>
      </c>
      <c r="C11" s="183"/>
      <c r="D11" s="184"/>
    </row>
    <row r="12" spans="1:6" x14ac:dyDescent="0.25">
      <c r="A12" s="164" t="s">
        <v>702</v>
      </c>
      <c r="B12" s="121" t="s">
        <v>678</v>
      </c>
      <c r="C12" s="183"/>
      <c r="D12" s="184"/>
    </row>
    <row r="13" spans="1:6" x14ac:dyDescent="0.25">
      <c r="A13" s="164" t="s">
        <v>703</v>
      </c>
      <c r="B13" s="121" t="s">
        <v>681</v>
      </c>
      <c r="C13" s="183"/>
      <c r="D13" s="184"/>
    </row>
    <row r="14" spans="1:6" x14ac:dyDescent="0.25">
      <c r="A14" s="164" t="s">
        <v>704</v>
      </c>
      <c r="B14" s="121" t="s">
        <v>684</v>
      </c>
      <c r="C14" s="183"/>
      <c r="D14" s="184"/>
    </row>
    <row r="15" spans="1:6" x14ac:dyDescent="0.25">
      <c r="A15" s="164" t="s">
        <v>705</v>
      </c>
      <c r="B15" s="121" t="s">
        <v>687</v>
      </c>
      <c r="C15" s="183"/>
      <c r="D15" s="184"/>
    </row>
    <row r="16" spans="1:6" x14ac:dyDescent="0.25">
      <c r="A16" s="164" t="s">
        <v>706</v>
      </c>
      <c r="B16" s="121" t="s">
        <v>690</v>
      </c>
      <c r="C16" s="183"/>
      <c r="D16" s="184"/>
    </row>
    <row r="17" spans="1:4" x14ac:dyDescent="0.25">
      <c r="A17" s="164" t="s">
        <v>707</v>
      </c>
      <c r="B17" s="121" t="s">
        <v>708</v>
      </c>
      <c r="C17" s="183"/>
      <c r="D17" s="184"/>
    </row>
    <row r="18" spans="1:4" x14ac:dyDescent="0.25">
      <c r="A18" s="163" t="s">
        <v>498</v>
      </c>
      <c r="B18" s="121" t="s">
        <v>499</v>
      </c>
      <c r="C18" s="185">
        <v>83</v>
      </c>
      <c r="D18" s="186">
        <v>12.7</v>
      </c>
    </row>
    <row r="19" spans="1:4" x14ac:dyDescent="0.25">
      <c r="A19" s="163" t="s">
        <v>502</v>
      </c>
      <c r="B19" s="121" t="s">
        <v>503</v>
      </c>
      <c r="C19" s="185">
        <v>89</v>
      </c>
      <c r="D19" s="186">
        <v>15.9</v>
      </c>
    </row>
    <row r="20" spans="1:4" x14ac:dyDescent="0.25">
      <c r="A20" s="163" t="s">
        <v>505</v>
      </c>
      <c r="B20" s="121" t="s">
        <v>506</v>
      </c>
      <c r="C20" s="185">
        <v>95</v>
      </c>
      <c r="D20" s="186">
        <v>17.5</v>
      </c>
    </row>
    <row r="21" spans="1:4" x14ac:dyDescent="0.25">
      <c r="A21" s="163" t="s">
        <v>508</v>
      </c>
      <c r="B21" s="121" t="s">
        <v>510</v>
      </c>
      <c r="C21" s="185">
        <v>106</v>
      </c>
      <c r="D21" s="186">
        <v>28.6</v>
      </c>
    </row>
    <row r="22" spans="1:4" x14ac:dyDescent="0.25">
      <c r="A22" s="163" t="s">
        <v>512</v>
      </c>
      <c r="B22" s="121" t="s">
        <v>513</v>
      </c>
      <c r="C22" s="185">
        <v>106</v>
      </c>
      <c r="D22" s="186">
        <v>28.6</v>
      </c>
    </row>
    <row r="23" spans="1:4" x14ac:dyDescent="0.25">
      <c r="A23" s="163" t="s">
        <v>514</v>
      </c>
      <c r="B23" s="121" t="s">
        <v>946</v>
      </c>
      <c r="C23" s="185">
        <v>122</v>
      </c>
      <c r="D23" s="186">
        <v>35</v>
      </c>
    </row>
    <row r="24" spans="1:4" x14ac:dyDescent="0.25">
      <c r="A24" s="163" t="s">
        <v>517</v>
      </c>
      <c r="B24" s="121" t="s">
        <v>198</v>
      </c>
      <c r="C24" s="185">
        <v>95</v>
      </c>
      <c r="D24" s="186">
        <v>15.9</v>
      </c>
    </row>
    <row r="25" spans="1:4" x14ac:dyDescent="0.25">
      <c r="A25" s="163" t="s">
        <v>518</v>
      </c>
      <c r="B25" s="121" t="s">
        <v>519</v>
      </c>
      <c r="C25" s="185">
        <v>100</v>
      </c>
      <c r="D25" s="186">
        <v>19.100000000000001</v>
      </c>
    </row>
    <row r="26" spans="1:4" x14ac:dyDescent="0.25">
      <c r="A26" s="163" t="s">
        <v>520</v>
      </c>
      <c r="B26" s="121" t="s">
        <v>521</v>
      </c>
      <c r="C26" s="185">
        <v>109</v>
      </c>
      <c r="D26" s="186">
        <v>22.3</v>
      </c>
    </row>
    <row r="27" spans="1:4" x14ac:dyDescent="0.25">
      <c r="A27" s="163" t="s">
        <v>522</v>
      </c>
      <c r="B27" s="121" t="s">
        <v>523</v>
      </c>
      <c r="C27" s="185">
        <v>122</v>
      </c>
      <c r="D27" s="186">
        <v>31.8</v>
      </c>
    </row>
    <row r="28" spans="1:4" x14ac:dyDescent="0.25">
      <c r="A28" s="163" t="s">
        <v>524</v>
      </c>
      <c r="B28" s="121" t="s">
        <v>525</v>
      </c>
      <c r="C28" s="185">
        <v>122</v>
      </c>
      <c r="D28" s="186">
        <v>31.8</v>
      </c>
    </row>
    <row r="29" spans="1:4" x14ac:dyDescent="0.25">
      <c r="A29" s="163" t="s">
        <v>526</v>
      </c>
      <c r="B29" s="121" t="s">
        <v>947</v>
      </c>
      <c r="C29" s="185">
        <v>150</v>
      </c>
      <c r="D29" s="186">
        <v>44.5</v>
      </c>
    </row>
    <row r="30" spans="1:4" x14ac:dyDescent="0.25">
      <c r="A30" s="163" t="s">
        <v>528</v>
      </c>
      <c r="B30" s="121" t="s">
        <v>202</v>
      </c>
      <c r="C30" s="185">
        <v>102</v>
      </c>
      <c r="D30" s="186">
        <v>17.5</v>
      </c>
    </row>
    <row r="31" spans="1:4" x14ac:dyDescent="0.25">
      <c r="A31" s="163" t="s">
        <v>529</v>
      </c>
      <c r="B31" s="121" t="s">
        <v>530</v>
      </c>
      <c r="C31" s="185">
        <v>108</v>
      </c>
      <c r="D31" s="186">
        <v>20.7</v>
      </c>
    </row>
    <row r="32" spans="1:4" x14ac:dyDescent="0.25">
      <c r="A32" s="163" t="s">
        <v>531</v>
      </c>
      <c r="B32" s="121" t="s">
        <v>532</v>
      </c>
      <c r="C32" s="185">
        <v>117</v>
      </c>
      <c r="D32" s="186">
        <v>25.4</v>
      </c>
    </row>
    <row r="33" spans="1:4" x14ac:dyDescent="0.25">
      <c r="A33" s="163" t="s">
        <v>533</v>
      </c>
      <c r="B33" s="121" t="s">
        <v>534</v>
      </c>
      <c r="C33" s="185">
        <v>146</v>
      </c>
      <c r="D33" s="186">
        <v>38.1</v>
      </c>
    </row>
    <row r="34" spans="1:4" x14ac:dyDescent="0.25">
      <c r="A34" s="163" t="s">
        <v>535</v>
      </c>
      <c r="B34" s="121" t="s">
        <v>536</v>
      </c>
      <c r="C34" s="185">
        <v>146</v>
      </c>
      <c r="D34" s="186">
        <v>38.1</v>
      </c>
    </row>
    <row r="35" spans="1:4" x14ac:dyDescent="0.25">
      <c r="A35" s="163" t="s">
        <v>537</v>
      </c>
      <c r="B35" s="121" t="s">
        <v>944</v>
      </c>
      <c r="C35" s="185">
        <v>171</v>
      </c>
      <c r="D35" s="186">
        <v>50.9</v>
      </c>
    </row>
    <row r="36" spans="1:4" x14ac:dyDescent="0.25">
      <c r="A36" s="163" t="s">
        <v>539</v>
      </c>
      <c r="B36" s="121" t="s">
        <v>204</v>
      </c>
      <c r="C36" s="185">
        <v>118</v>
      </c>
      <c r="D36" s="186">
        <v>22.3</v>
      </c>
    </row>
    <row r="37" spans="1:4" x14ac:dyDescent="0.25">
      <c r="A37" s="163" t="s">
        <v>540</v>
      </c>
      <c r="B37" s="121" t="s">
        <v>541</v>
      </c>
      <c r="C37" s="185">
        <v>127</v>
      </c>
      <c r="D37" s="186">
        <v>27</v>
      </c>
    </row>
    <row r="38" spans="1:4" x14ac:dyDescent="0.25">
      <c r="A38" s="163" t="s">
        <v>542</v>
      </c>
      <c r="B38" s="121" t="s">
        <v>543</v>
      </c>
      <c r="C38" s="185">
        <v>137</v>
      </c>
      <c r="D38" s="186">
        <v>31.8</v>
      </c>
    </row>
    <row r="39" spans="1:4" x14ac:dyDescent="0.25">
      <c r="A39" s="163" t="s">
        <v>544</v>
      </c>
      <c r="B39" s="121" t="s">
        <v>545</v>
      </c>
      <c r="C39" s="185">
        <v>156</v>
      </c>
      <c r="D39" s="186">
        <v>38.1</v>
      </c>
    </row>
    <row r="40" spans="1:4" x14ac:dyDescent="0.25">
      <c r="A40" s="163" t="s">
        <v>546</v>
      </c>
      <c r="B40" s="121" t="s">
        <v>547</v>
      </c>
      <c r="C40" s="185">
        <v>171</v>
      </c>
      <c r="D40" s="186">
        <v>47.7</v>
      </c>
    </row>
    <row r="41" spans="1:4" x14ac:dyDescent="0.25">
      <c r="A41" s="163" t="s">
        <v>548</v>
      </c>
      <c r="B41" s="121" t="s">
        <v>945</v>
      </c>
      <c r="C41" s="185">
        <v>222</v>
      </c>
      <c r="D41" s="186">
        <v>66.7</v>
      </c>
    </row>
    <row r="42" spans="1:4" x14ac:dyDescent="0.25">
      <c r="A42" s="163" t="s">
        <v>709</v>
      </c>
      <c r="B42" s="121" t="s">
        <v>710</v>
      </c>
      <c r="C42" s="185"/>
      <c r="D42" s="186"/>
    </row>
    <row r="43" spans="1:4" x14ac:dyDescent="0.25">
      <c r="A43" s="163" t="s">
        <v>711</v>
      </c>
      <c r="B43" s="121" t="s">
        <v>712</v>
      </c>
      <c r="C43" s="185"/>
      <c r="D43" s="186"/>
    </row>
    <row r="44" spans="1:4" x14ac:dyDescent="0.25">
      <c r="A44" s="163" t="s">
        <v>713</v>
      </c>
      <c r="B44" s="121" t="s">
        <v>714</v>
      </c>
      <c r="C44" s="185"/>
      <c r="D44" s="186"/>
    </row>
    <row r="45" spans="1:4" x14ac:dyDescent="0.25">
      <c r="A45" s="163" t="s">
        <v>715</v>
      </c>
      <c r="B45" s="121" t="s">
        <v>716</v>
      </c>
      <c r="C45" s="185"/>
      <c r="D45" s="186"/>
    </row>
    <row r="46" spans="1:4" x14ac:dyDescent="0.25">
      <c r="A46" s="163" t="s">
        <v>717</v>
      </c>
      <c r="B46" s="121" t="s">
        <v>718</v>
      </c>
      <c r="C46" s="185"/>
      <c r="D46" s="186"/>
    </row>
    <row r="47" spans="1:4" x14ac:dyDescent="0.25">
      <c r="A47" s="163" t="s">
        <v>719</v>
      </c>
      <c r="B47" s="121" t="s">
        <v>720</v>
      </c>
      <c r="C47" s="185"/>
      <c r="D47" s="186"/>
    </row>
    <row r="48" spans="1:4" x14ac:dyDescent="0.25">
      <c r="A48" s="163" t="s">
        <v>721</v>
      </c>
      <c r="B48" s="121" t="s">
        <v>722</v>
      </c>
      <c r="C48" s="185"/>
      <c r="D48" s="186"/>
    </row>
    <row r="49" spans="1:4" x14ac:dyDescent="0.25">
      <c r="A49" s="163" t="s">
        <v>723</v>
      </c>
      <c r="B49" s="121" t="s">
        <v>724</v>
      </c>
      <c r="C49" s="185"/>
      <c r="D49" s="186"/>
    </row>
    <row r="50" spans="1:4" x14ac:dyDescent="0.25">
      <c r="A50" s="163" t="s">
        <v>725</v>
      </c>
      <c r="B50" s="121" t="s">
        <v>726</v>
      </c>
      <c r="C50" s="185"/>
      <c r="D50" s="186"/>
    </row>
    <row r="51" spans="1:4" x14ac:dyDescent="0.25">
      <c r="A51" s="163" t="s">
        <v>727</v>
      </c>
      <c r="B51" s="121" t="s">
        <v>728</v>
      </c>
      <c r="C51" s="185"/>
      <c r="D51" s="186"/>
    </row>
    <row r="52" spans="1:4" x14ac:dyDescent="0.25">
      <c r="A52" s="163" t="s">
        <v>729</v>
      </c>
      <c r="B52" s="121" t="s">
        <v>730</v>
      </c>
      <c r="C52" s="185"/>
      <c r="D52" s="186"/>
    </row>
    <row r="53" spans="1:4" x14ac:dyDescent="0.25">
      <c r="A53" s="163" t="s">
        <v>731</v>
      </c>
      <c r="B53" s="121" t="s">
        <v>732</v>
      </c>
      <c r="C53" s="185"/>
      <c r="D53" s="186"/>
    </row>
    <row r="54" spans="1:4" x14ac:dyDescent="0.25">
      <c r="A54" s="163" t="s">
        <v>733</v>
      </c>
      <c r="B54" s="121" t="s">
        <v>734</v>
      </c>
      <c r="C54" s="185"/>
      <c r="D54" s="186"/>
    </row>
    <row r="55" spans="1:4" x14ac:dyDescent="0.25">
      <c r="A55" s="163" t="s">
        <v>735</v>
      </c>
      <c r="B55" s="121" t="s">
        <v>736</v>
      </c>
      <c r="C55" s="185"/>
      <c r="D55" s="186"/>
    </row>
    <row r="56" spans="1:4" x14ac:dyDescent="0.25">
      <c r="A56" s="163" t="s">
        <v>737</v>
      </c>
      <c r="B56" s="121" t="s">
        <v>738</v>
      </c>
      <c r="C56" s="185"/>
      <c r="D56" s="186"/>
    </row>
    <row r="57" spans="1:4" x14ac:dyDescent="0.25">
      <c r="A57" s="163" t="s">
        <v>739</v>
      </c>
      <c r="B57" s="121" t="s">
        <v>740</v>
      </c>
      <c r="C57" s="185"/>
      <c r="D57" s="186"/>
    </row>
    <row r="58" spans="1:4" x14ac:dyDescent="0.25">
      <c r="A58" s="163" t="s">
        <v>556</v>
      </c>
      <c r="B58" s="121" t="s">
        <v>557</v>
      </c>
      <c r="C58" s="185">
        <v>67</v>
      </c>
      <c r="D58" s="186">
        <v>18</v>
      </c>
    </row>
    <row r="59" spans="1:4" x14ac:dyDescent="0.25">
      <c r="A59" s="163" t="s">
        <v>559</v>
      </c>
      <c r="B59" s="121" t="s">
        <v>560</v>
      </c>
      <c r="C59" s="185">
        <v>67</v>
      </c>
      <c r="D59" s="186">
        <v>16</v>
      </c>
    </row>
    <row r="60" spans="1:4" x14ac:dyDescent="0.25">
      <c r="A60" s="163" t="s">
        <v>562</v>
      </c>
      <c r="B60" s="121" t="s">
        <v>563</v>
      </c>
      <c r="C60" s="185">
        <v>67</v>
      </c>
      <c r="D60" s="186">
        <v>16</v>
      </c>
    </row>
    <row r="61" spans="1:4" x14ac:dyDescent="0.25">
      <c r="A61" s="163" t="s">
        <v>565</v>
      </c>
      <c r="B61" s="121" t="s">
        <v>566</v>
      </c>
      <c r="C61" s="185">
        <v>67</v>
      </c>
      <c r="D61" s="186">
        <v>16</v>
      </c>
    </row>
    <row r="62" spans="1:4" x14ac:dyDescent="0.25">
      <c r="A62" s="163" t="s">
        <v>568</v>
      </c>
      <c r="B62" s="121" t="s">
        <v>569</v>
      </c>
      <c r="C62" s="185">
        <v>89</v>
      </c>
      <c r="D62" s="186">
        <v>24</v>
      </c>
    </row>
    <row r="63" spans="1:4" x14ac:dyDescent="0.25">
      <c r="A63" s="163" t="s">
        <v>571</v>
      </c>
      <c r="B63" s="121" t="s">
        <v>572</v>
      </c>
      <c r="C63" s="185">
        <v>89</v>
      </c>
      <c r="D63" s="186">
        <v>24</v>
      </c>
    </row>
    <row r="64" spans="1:4" x14ac:dyDescent="0.25">
      <c r="A64" s="163" t="s">
        <v>574</v>
      </c>
      <c r="B64" s="121" t="s">
        <v>576</v>
      </c>
      <c r="C64" s="185">
        <v>100</v>
      </c>
      <c r="D64" s="186">
        <v>24</v>
      </c>
    </row>
    <row r="65" spans="1:4" x14ac:dyDescent="0.25">
      <c r="A65" s="163" t="s">
        <v>578</v>
      </c>
      <c r="B65" s="121" t="s">
        <v>579</v>
      </c>
      <c r="C65" s="185">
        <v>100</v>
      </c>
      <c r="D65" s="186">
        <v>28</v>
      </c>
    </row>
    <row r="66" spans="1:4" x14ac:dyDescent="0.25">
      <c r="A66" s="163" t="s">
        <v>581</v>
      </c>
      <c r="B66" s="121" t="s">
        <v>582</v>
      </c>
      <c r="C66" s="185">
        <v>78</v>
      </c>
      <c r="D66" s="186">
        <v>18</v>
      </c>
    </row>
    <row r="67" spans="1:4" x14ac:dyDescent="0.25">
      <c r="A67" s="163" t="s">
        <v>583</v>
      </c>
      <c r="B67" s="121" t="s">
        <v>584</v>
      </c>
      <c r="C67" s="185">
        <v>78</v>
      </c>
      <c r="D67" s="186">
        <v>18</v>
      </c>
    </row>
    <row r="68" spans="1:4" x14ac:dyDescent="0.25">
      <c r="A68" s="163" t="s">
        <v>585</v>
      </c>
      <c r="B68" s="121" t="s">
        <v>586</v>
      </c>
      <c r="C68" s="185">
        <v>78</v>
      </c>
      <c r="D68" s="186">
        <v>18</v>
      </c>
    </row>
    <row r="69" spans="1:4" x14ac:dyDescent="0.25">
      <c r="A69" s="163" t="s">
        <v>587</v>
      </c>
      <c r="B69" s="121" t="s">
        <v>588</v>
      </c>
      <c r="C69" s="185">
        <v>78</v>
      </c>
      <c r="D69" s="186">
        <v>18</v>
      </c>
    </row>
    <row r="70" spans="1:4" x14ac:dyDescent="0.25">
      <c r="A70" s="163" t="s">
        <v>589</v>
      </c>
      <c r="B70" s="121" t="s">
        <v>590</v>
      </c>
      <c r="C70" s="185">
        <v>101</v>
      </c>
      <c r="D70" s="186">
        <v>26</v>
      </c>
    </row>
    <row r="71" spans="1:4" x14ac:dyDescent="0.25">
      <c r="A71" s="163" t="s">
        <v>591</v>
      </c>
      <c r="B71" s="121" t="s">
        <v>592</v>
      </c>
      <c r="C71" s="185">
        <v>103</v>
      </c>
      <c r="D71" s="186">
        <v>26</v>
      </c>
    </row>
    <row r="72" spans="1:4" x14ac:dyDescent="0.25">
      <c r="A72" s="163" t="s">
        <v>593</v>
      </c>
      <c r="B72" s="121" t="s">
        <v>594</v>
      </c>
      <c r="C72" s="185">
        <v>116</v>
      </c>
      <c r="D72" s="186">
        <v>28</v>
      </c>
    </row>
    <row r="73" spans="1:4" x14ac:dyDescent="0.25">
      <c r="A73" s="163" t="s">
        <v>595</v>
      </c>
      <c r="B73" s="121" t="s">
        <v>596</v>
      </c>
      <c r="C73" s="185">
        <v>116</v>
      </c>
      <c r="D73" s="186">
        <v>34</v>
      </c>
    </row>
    <row r="74" spans="1:4" x14ac:dyDescent="0.25">
      <c r="A74" s="163" t="s">
        <v>597</v>
      </c>
      <c r="B74" s="121" t="s">
        <v>598</v>
      </c>
      <c r="C74" s="185">
        <v>86</v>
      </c>
      <c r="D74" s="186">
        <v>20</v>
      </c>
    </row>
    <row r="75" spans="1:4" x14ac:dyDescent="0.25">
      <c r="A75" s="163" t="s">
        <v>599</v>
      </c>
      <c r="B75" s="121" t="s">
        <v>600</v>
      </c>
      <c r="C75" s="185">
        <v>86</v>
      </c>
      <c r="D75" s="186">
        <v>20</v>
      </c>
    </row>
    <row r="76" spans="1:4" x14ac:dyDescent="0.25">
      <c r="A76" s="163" t="s">
        <v>601</v>
      </c>
      <c r="B76" s="121" t="s">
        <v>602</v>
      </c>
      <c r="C76" s="185">
        <v>86</v>
      </c>
      <c r="D76" s="186">
        <v>20</v>
      </c>
    </row>
    <row r="77" spans="1:4" x14ac:dyDescent="0.25">
      <c r="A77" s="163" t="s">
        <v>603</v>
      </c>
      <c r="B77" s="121" t="s">
        <v>604</v>
      </c>
      <c r="C77" s="185">
        <v>86</v>
      </c>
      <c r="D77" s="186">
        <v>20</v>
      </c>
    </row>
    <row r="78" spans="1:4" x14ac:dyDescent="0.25">
      <c r="A78" s="163" t="s">
        <v>605</v>
      </c>
      <c r="B78" s="121" t="s">
        <v>606</v>
      </c>
      <c r="C78" s="185">
        <v>108</v>
      </c>
      <c r="D78" s="186">
        <v>26</v>
      </c>
    </row>
    <row r="79" spans="1:4" x14ac:dyDescent="0.25">
      <c r="A79" s="163" t="s">
        <v>607</v>
      </c>
      <c r="B79" s="121" t="s">
        <v>608</v>
      </c>
      <c r="C79" s="185">
        <v>111</v>
      </c>
      <c r="D79" s="186">
        <v>28</v>
      </c>
    </row>
    <row r="80" spans="1:4" x14ac:dyDescent="0.25">
      <c r="A80" s="163" t="s">
        <v>609</v>
      </c>
      <c r="B80" s="121" t="s">
        <v>610</v>
      </c>
      <c r="C80" s="185">
        <v>140</v>
      </c>
      <c r="D80" s="186">
        <v>30</v>
      </c>
    </row>
    <row r="81" spans="1:7" x14ac:dyDescent="0.25">
      <c r="A81" s="163" t="s">
        <v>611</v>
      </c>
      <c r="B81" s="121" t="s">
        <v>612</v>
      </c>
      <c r="C81" s="185">
        <v>140</v>
      </c>
      <c r="D81" s="186">
        <v>38</v>
      </c>
    </row>
    <row r="82" spans="1:7" x14ac:dyDescent="0.25">
      <c r="A82" s="163" t="s">
        <v>613</v>
      </c>
      <c r="B82" s="121" t="s">
        <v>614</v>
      </c>
      <c r="C82" s="185">
        <v>98</v>
      </c>
      <c r="D82" s="186">
        <v>20</v>
      </c>
    </row>
    <row r="83" spans="1:7" x14ac:dyDescent="0.25">
      <c r="A83" s="163" t="s">
        <v>615</v>
      </c>
      <c r="B83" s="121" t="s">
        <v>616</v>
      </c>
      <c r="C83" s="185">
        <v>98</v>
      </c>
      <c r="D83" s="186">
        <v>20</v>
      </c>
    </row>
    <row r="84" spans="1:7" x14ac:dyDescent="0.25">
      <c r="A84" s="163" t="s">
        <v>617</v>
      </c>
      <c r="B84" s="121" t="s">
        <v>618</v>
      </c>
      <c r="C84" s="185">
        <v>98</v>
      </c>
      <c r="D84" s="186">
        <v>24</v>
      </c>
    </row>
    <row r="85" spans="1:7" x14ac:dyDescent="0.25">
      <c r="A85" s="163" t="s">
        <v>619</v>
      </c>
      <c r="B85" s="121" t="s">
        <v>620</v>
      </c>
      <c r="C85" s="185">
        <v>106</v>
      </c>
      <c r="D85" s="186">
        <v>24</v>
      </c>
    </row>
    <row r="86" spans="1:7" x14ac:dyDescent="0.25">
      <c r="A86" s="163" t="s">
        <v>621</v>
      </c>
      <c r="B86" s="121" t="s">
        <v>622</v>
      </c>
      <c r="C86" s="185">
        <v>127</v>
      </c>
      <c r="D86" s="186">
        <v>30</v>
      </c>
    </row>
    <row r="87" spans="1:7" x14ac:dyDescent="0.25">
      <c r="A87" s="163" t="s">
        <v>623</v>
      </c>
      <c r="B87" s="121" t="s">
        <v>624</v>
      </c>
      <c r="C87" s="185">
        <v>131</v>
      </c>
      <c r="D87" s="186">
        <v>34</v>
      </c>
    </row>
    <row r="88" spans="1:7" x14ac:dyDescent="0.25">
      <c r="A88" s="163" t="s">
        <v>625</v>
      </c>
      <c r="B88" s="121" t="s">
        <v>626</v>
      </c>
      <c r="C88" s="185">
        <v>150</v>
      </c>
      <c r="D88" s="186">
        <v>36</v>
      </c>
    </row>
    <row r="89" spans="1:7" x14ac:dyDescent="0.25">
      <c r="A89" s="163" t="s">
        <v>627</v>
      </c>
      <c r="B89" s="121" t="s">
        <v>628</v>
      </c>
      <c r="C89" s="185">
        <v>165</v>
      </c>
      <c r="D89" s="186">
        <v>46</v>
      </c>
    </row>
    <row r="90" spans="1:7" x14ac:dyDescent="0.25">
      <c r="A90" s="163" t="s">
        <v>550</v>
      </c>
      <c r="B90" s="121" t="s">
        <v>206</v>
      </c>
      <c r="C90" s="185">
        <v>125.4</v>
      </c>
      <c r="D90" s="186">
        <v>23.9</v>
      </c>
    </row>
    <row r="91" spans="1:7" x14ac:dyDescent="0.25">
      <c r="A91" s="163" t="s">
        <v>551</v>
      </c>
      <c r="B91" s="121" t="s">
        <v>552</v>
      </c>
      <c r="C91" s="185">
        <v>134.80000000000001</v>
      </c>
      <c r="D91" s="186">
        <v>30.2</v>
      </c>
    </row>
    <row r="92" spans="1:7" x14ac:dyDescent="0.25">
      <c r="A92" s="163" t="s">
        <v>553</v>
      </c>
      <c r="B92" s="121" t="s">
        <v>208</v>
      </c>
      <c r="C92" s="185">
        <v>147.30000000000001</v>
      </c>
      <c r="D92" s="186">
        <v>25.4</v>
      </c>
    </row>
    <row r="93" spans="1:7" x14ac:dyDescent="0.25">
      <c r="A93" s="163" t="s">
        <v>554</v>
      </c>
      <c r="B93" s="121" t="s">
        <v>555</v>
      </c>
      <c r="C93" s="185">
        <v>157.30000000000001</v>
      </c>
      <c r="D93" s="186">
        <v>35</v>
      </c>
    </row>
    <row r="94" spans="1:7" x14ac:dyDescent="0.25">
      <c r="A94" s="163"/>
      <c r="B94" s="163"/>
      <c r="C94" s="165"/>
      <c r="D94" s="165"/>
      <c r="E94" s="121"/>
      <c r="F94" s="123"/>
    </row>
    <row r="95" spans="1:7" x14ac:dyDescent="0.25">
      <c r="A95" s="163"/>
      <c r="B95" s="163"/>
      <c r="C95" s="163"/>
      <c r="D95" s="163"/>
      <c r="E95" s="114"/>
    </row>
    <row r="96" spans="1:7" x14ac:dyDescent="0.25">
      <c r="A96" s="163" t="s">
        <v>741</v>
      </c>
      <c r="B96" s="174" t="s">
        <v>794</v>
      </c>
      <c r="C96" s="147" t="s">
        <v>428</v>
      </c>
      <c r="D96" s="147" t="s">
        <v>742</v>
      </c>
      <c r="E96"/>
      <c r="G96" s="114"/>
    </row>
    <row r="97" spans="1:7" x14ac:dyDescent="0.25">
      <c r="A97" s="164" t="s">
        <v>241</v>
      </c>
      <c r="B97" s="176" t="s">
        <v>812</v>
      </c>
      <c r="C97" s="133" t="s">
        <v>242</v>
      </c>
      <c r="D97" s="133">
        <v>0</v>
      </c>
      <c r="E97"/>
      <c r="G97" s="114"/>
    </row>
    <row r="98" spans="1:7" x14ac:dyDescent="0.25">
      <c r="A98" s="163" t="s">
        <v>744</v>
      </c>
      <c r="B98" s="176" t="s">
        <v>827</v>
      </c>
      <c r="C98" s="133" t="s">
        <v>198</v>
      </c>
      <c r="D98" s="133">
        <v>165</v>
      </c>
      <c r="E98"/>
      <c r="G98" s="114"/>
    </row>
    <row r="99" spans="1:7" x14ac:dyDescent="0.25">
      <c r="A99" s="163" t="s">
        <v>744</v>
      </c>
      <c r="B99" s="176" t="s">
        <v>828</v>
      </c>
      <c r="C99" s="133" t="s">
        <v>519</v>
      </c>
      <c r="D99" s="133">
        <v>191</v>
      </c>
      <c r="E99"/>
      <c r="G99" s="114"/>
    </row>
    <row r="100" spans="1:7" x14ac:dyDescent="0.25">
      <c r="A100" s="163" t="s">
        <v>744</v>
      </c>
      <c r="B100" s="176" t="s">
        <v>829</v>
      </c>
      <c r="C100" s="133" t="s">
        <v>521</v>
      </c>
      <c r="D100" s="133">
        <v>241</v>
      </c>
      <c r="E100"/>
      <c r="G100" s="114"/>
    </row>
    <row r="101" spans="1:7" x14ac:dyDescent="0.25">
      <c r="A101" s="163" t="s">
        <v>744</v>
      </c>
      <c r="B101" s="176" t="s">
        <v>830</v>
      </c>
      <c r="C101" s="133" t="s">
        <v>525</v>
      </c>
      <c r="D101" s="133">
        <v>305</v>
      </c>
      <c r="E101"/>
      <c r="G101" s="114"/>
    </row>
    <row r="102" spans="1:7" x14ac:dyDescent="0.25">
      <c r="A102" s="163" t="s">
        <v>745</v>
      </c>
      <c r="B102" s="176" t="s">
        <v>831</v>
      </c>
      <c r="C102" s="133" t="s">
        <v>202</v>
      </c>
      <c r="D102" s="133">
        <v>178</v>
      </c>
      <c r="E102"/>
      <c r="G102" s="114"/>
    </row>
    <row r="103" spans="1:7" x14ac:dyDescent="0.25">
      <c r="A103" s="163" t="s">
        <v>745</v>
      </c>
      <c r="B103" s="176" t="s">
        <v>832</v>
      </c>
      <c r="C103" s="133" t="s">
        <v>530</v>
      </c>
      <c r="D103" s="133">
        <v>216</v>
      </c>
      <c r="E103"/>
      <c r="G103" s="114"/>
    </row>
    <row r="104" spans="1:7" x14ac:dyDescent="0.25">
      <c r="A104" s="163" t="s">
        <v>745</v>
      </c>
      <c r="B104" s="176" t="s">
        <v>833</v>
      </c>
      <c r="C104" s="133" t="s">
        <v>532</v>
      </c>
      <c r="D104" s="133">
        <v>292</v>
      </c>
      <c r="E104"/>
      <c r="G104" s="114"/>
    </row>
    <row r="105" spans="1:7" x14ac:dyDescent="0.25">
      <c r="A105" s="163" t="s">
        <v>745</v>
      </c>
      <c r="B105" s="176" t="s">
        <v>834</v>
      </c>
      <c r="C105" s="133" t="s">
        <v>536</v>
      </c>
      <c r="D105" s="133">
        <v>368</v>
      </c>
      <c r="E105"/>
      <c r="G105" s="114"/>
    </row>
    <row r="106" spans="1:7" x14ac:dyDescent="0.25">
      <c r="A106" s="163" t="s">
        <v>746</v>
      </c>
      <c r="B106" s="176" t="s">
        <v>835</v>
      </c>
      <c r="C106" s="133" t="s">
        <v>204</v>
      </c>
      <c r="D106" s="133">
        <v>203</v>
      </c>
      <c r="E106"/>
      <c r="G106" s="114"/>
    </row>
    <row r="107" spans="1:7" x14ac:dyDescent="0.25">
      <c r="A107" s="163" t="s">
        <v>746</v>
      </c>
      <c r="B107" s="176" t="s">
        <v>836</v>
      </c>
      <c r="C107" s="133" t="s">
        <v>541</v>
      </c>
      <c r="D107" s="133">
        <v>283</v>
      </c>
      <c r="E107"/>
      <c r="G107" s="114"/>
    </row>
    <row r="108" spans="1:7" x14ac:dyDescent="0.25">
      <c r="A108" s="163" t="s">
        <v>746</v>
      </c>
      <c r="B108" s="176" t="s">
        <v>837</v>
      </c>
      <c r="C108" s="133" t="s">
        <v>543</v>
      </c>
      <c r="D108" s="133">
        <v>355</v>
      </c>
      <c r="E108"/>
      <c r="G108" s="114"/>
    </row>
    <row r="109" spans="1:7" x14ac:dyDescent="0.25">
      <c r="A109" s="163" t="s">
        <v>746</v>
      </c>
      <c r="B109" s="176" t="s">
        <v>838</v>
      </c>
      <c r="C109" s="133" t="s">
        <v>547</v>
      </c>
      <c r="D109" s="133">
        <v>381</v>
      </c>
      <c r="E109"/>
      <c r="G109" s="114"/>
    </row>
    <row r="110" spans="1:7" x14ac:dyDescent="0.25">
      <c r="A110" s="163" t="s">
        <v>747</v>
      </c>
      <c r="B110" s="176" t="s">
        <v>840</v>
      </c>
      <c r="C110" s="133" t="s">
        <v>842</v>
      </c>
      <c r="D110" s="121">
        <v>180</v>
      </c>
      <c r="E110"/>
      <c r="G110" s="114"/>
    </row>
    <row r="111" spans="1:7" x14ac:dyDescent="0.25">
      <c r="A111" s="163" t="s">
        <v>748</v>
      </c>
      <c r="B111" s="176" t="s">
        <v>839</v>
      </c>
      <c r="C111" s="133" t="s">
        <v>843</v>
      </c>
      <c r="D111" s="121">
        <v>180</v>
      </c>
      <c r="E111"/>
      <c r="G111" s="114"/>
    </row>
    <row r="112" spans="1:7" x14ac:dyDescent="0.25">
      <c r="A112" s="163" t="s">
        <v>749</v>
      </c>
      <c r="B112" s="176" t="s">
        <v>841</v>
      </c>
      <c r="C112" s="133" t="s">
        <v>750</v>
      </c>
      <c r="D112" s="133">
        <v>0</v>
      </c>
      <c r="E112"/>
      <c r="F112"/>
      <c r="G112" s="114"/>
    </row>
    <row r="113" spans="1:7" x14ac:dyDescent="0.25">
      <c r="A113" s="163" t="s">
        <v>743</v>
      </c>
      <c r="B113" s="163"/>
      <c r="C113" s="164"/>
      <c r="D113" s="164"/>
      <c r="E113" s="134"/>
      <c r="F113" s="133"/>
    </row>
    <row r="114" spans="1:7" x14ac:dyDescent="0.25">
      <c r="A114" s="163"/>
      <c r="B114" s="163"/>
      <c r="C114" s="164"/>
      <c r="D114" s="164"/>
      <c r="E114" s="134"/>
      <c r="F114" s="133"/>
    </row>
    <row r="115" spans="1:7" x14ac:dyDescent="0.25">
      <c r="A115" s="163"/>
      <c r="B115" s="163"/>
      <c r="C115" s="163"/>
      <c r="D115" s="163"/>
      <c r="E115" s="114"/>
    </row>
    <row r="116" spans="1:7" x14ac:dyDescent="0.25">
      <c r="A116" s="163"/>
      <c r="B116" s="163"/>
      <c r="C116" s="163"/>
      <c r="D116" s="163"/>
      <c r="E116" s="114"/>
    </row>
    <row r="117" spans="1:7" x14ac:dyDescent="0.25">
      <c r="A117" s="163" t="s">
        <v>805</v>
      </c>
      <c r="B117" s="174" t="s">
        <v>794</v>
      </c>
      <c r="C117" s="163" t="s">
        <v>752</v>
      </c>
      <c r="D117" s="132" t="s">
        <v>760</v>
      </c>
      <c r="E117" s="132" t="s">
        <v>742</v>
      </c>
      <c r="F117"/>
    </row>
    <row r="118" spans="1:7" x14ac:dyDescent="0.25">
      <c r="A118" s="163" t="s">
        <v>753</v>
      </c>
      <c r="B118" s="175" t="s">
        <v>880</v>
      </c>
      <c r="C118" s="163" t="s">
        <v>743</v>
      </c>
      <c r="D118" s="133" t="s">
        <v>242</v>
      </c>
      <c r="E118" s="56">
        <v>0</v>
      </c>
      <c r="F118" s="119">
        <v>0</v>
      </c>
    </row>
    <row r="119" spans="1:7" x14ac:dyDescent="0.25">
      <c r="A119" s="163" t="s">
        <v>754</v>
      </c>
      <c r="B119" s="175" t="s">
        <v>881</v>
      </c>
      <c r="C119" s="163" t="s">
        <v>743</v>
      </c>
      <c r="D119" s="121" t="s">
        <v>441</v>
      </c>
      <c r="E119" s="56">
        <f>VLOOKUP('TB MIS Sheet'!B15,'TB Model Data'!A14:D48,4,0)</f>
        <v>0</v>
      </c>
      <c r="F119" s="119">
        <v>0</v>
      </c>
    </row>
    <row r="120" spans="1:7" x14ac:dyDescent="0.25">
      <c r="A120" s="163" t="s">
        <v>754</v>
      </c>
      <c r="B120" s="175" t="s">
        <v>846</v>
      </c>
      <c r="C120" s="163" t="s">
        <v>755</v>
      </c>
      <c r="D120" s="121" t="s">
        <v>762</v>
      </c>
      <c r="E120" s="56">
        <f>IF(VLOOKUP('TB MIS Sheet'!B15,'TB Model Data'!A14:D47,4,0)=60,TB_FS-40,TB_FS-20)+F120</f>
        <v>76.5</v>
      </c>
      <c r="F120" s="119">
        <f>TB_GT</f>
        <v>1.5</v>
      </c>
    </row>
    <row r="121" spans="1:7" x14ac:dyDescent="0.25">
      <c r="A121" s="163" t="s">
        <v>754</v>
      </c>
      <c r="B121" s="175" t="s">
        <v>847</v>
      </c>
      <c r="C121" s="163" t="s">
        <v>756</v>
      </c>
      <c r="D121" s="121" t="s">
        <v>763</v>
      </c>
      <c r="E121" s="56">
        <f>TB_FS+VLOOKUP('TB MIS Sheet'!B15,'TB Model Data'!A14:D48,4,0)+TB_FLANGET+F121</f>
        <v>112.4</v>
      </c>
      <c r="F121" s="119">
        <f>TB_GT</f>
        <v>1.5</v>
      </c>
    </row>
    <row r="122" spans="1:7" x14ac:dyDescent="0.25">
      <c r="A122" s="163"/>
      <c r="B122" s="163"/>
      <c r="C122" s="163"/>
      <c r="D122" s="163"/>
    </row>
    <row r="123" spans="1:7" x14ac:dyDescent="0.25">
      <c r="A123" s="163" t="s">
        <v>806</v>
      </c>
      <c r="B123" s="163"/>
      <c r="C123" s="163"/>
      <c r="D123" s="163"/>
    </row>
    <row r="124" spans="1:7" x14ac:dyDescent="0.25">
      <c r="A124" s="163" t="s">
        <v>751</v>
      </c>
      <c r="B124"/>
      <c r="D124" s="163" t="s">
        <v>752</v>
      </c>
      <c r="E124" s="120" t="s">
        <v>40</v>
      </c>
      <c r="F124"/>
      <c r="G124" s="114"/>
    </row>
    <row r="125" spans="1:7" x14ac:dyDescent="0.25">
      <c r="A125" s="163" t="s">
        <v>757</v>
      </c>
      <c r="B125" s="155" t="s">
        <v>815</v>
      </c>
      <c r="C125"/>
      <c r="D125" s="163"/>
      <c r="E125" s="56" t="s">
        <v>242</v>
      </c>
      <c r="F125" s="148">
        <v>0</v>
      </c>
      <c r="G125" s="114"/>
    </row>
    <row r="126" spans="1:7" x14ac:dyDescent="0.25">
      <c r="A126" s="163" t="s">
        <v>758</v>
      </c>
      <c r="B126" s="175" t="s">
        <v>849</v>
      </c>
      <c r="C126"/>
      <c r="D126" s="163" t="s">
        <v>220</v>
      </c>
      <c r="E126" s="149" t="s">
        <v>220</v>
      </c>
      <c r="F126" s="148">
        <v>1.5</v>
      </c>
      <c r="G126" s="114"/>
    </row>
    <row r="127" spans="1:7" x14ac:dyDescent="0.25">
      <c r="A127" s="163" t="s">
        <v>758</v>
      </c>
      <c r="B127" s="175" t="s">
        <v>850</v>
      </c>
      <c r="C127"/>
      <c r="D127" s="163" t="s">
        <v>224</v>
      </c>
      <c r="E127" s="149" t="s">
        <v>224</v>
      </c>
      <c r="F127" s="148">
        <v>4.5</v>
      </c>
      <c r="G127" s="114"/>
    </row>
    <row r="128" spans="1:7" x14ac:dyDescent="0.25">
      <c r="A128" s="163" t="s">
        <v>758</v>
      </c>
      <c r="B128" s="175" t="s">
        <v>851</v>
      </c>
      <c r="C128"/>
      <c r="D128" s="163"/>
      <c r="E128" s="149" t="s">
        <v>759</v>
      </c>
      <c r="F128" s="148">
        <v>8.5</v>
      </c>
      <c r="G128" s="114"/>
    </row>
    <row r="129" spans="1:7" x14ac:dyDescent="0.25">
      <c r="A129" s="163" t="s">
        <v>758</v>
      </c>
      <c r="B129"/>
      <c r="C129"/>
      <c r="D129" s="163" t="s">
        <v>755</v>
      </c>
      <c r="E129" s="26" t="s">
        <v>826</v>
      </c>
      <c r="F129" s="150">
        <f>VLOOKUP('TB MIS Sheet'!B21,'TB Calculation Data'!D118:F121,3,0)</f>
        <v>0</v>
      </c>
      <c r="G129" s="114"/>
    </row>
    <row r="131" spans="1:7" x14ac:dyDescent="0.25">
      <c r="E131" s="36"/>
      <c r="F131" s="36"/>
    </row>
    <row r="132" spans="1:7" x14ac:dyDescent="0.25">
      <c r="A132" s="163" t="s">
        <v>807</v>
      </c>
      <c r="B132" s="163"/>
      <c r="C132" s="33" t="s">
        <v>430</v>
      </c>
      <c r="D132" s="38"/>
      <c r="E132"/>
      <c r="G132" s="114"/>
    </row>
    <row r="133" spans="1:7" x14ac:dyDescent="0.25">
      <c r="A133" s="163" t="s">
        <v>761</v>
      </c>
      <c r="B133" s="175" t="s">
        <v>813</v>
      </c>
      <c r="C133" s="33" t="s">
        <v>43</v>
      </c>
      <c r="D133" s="38">
        <v>100</v>
      </c>
      <c r="E133"/>
      <c r="G133" s="114"/>
    </row>
    <row r="134" spans="1:7" x14ac:dyDescent="0.25">
      <c r="B134"/>
      <c r="C134" s="33" t="s">
        <v>186</v>
      </c>
      <c r="D134" s="38">
        <v>0</v>
      </c>
      <c r="E134"/>
      <c r="G134" s="114"/>
    </row>
    <row r="135" spans="1:7" x14ac:dyDescent="0.25">
      <c r="B135"/>
      <c r="C135" s="33"/>
      <c r="D135" s="38"/>
      <c r="E135"/>
      <c r="G135" s="114"/>
    </row>
    <row r="136" spans="1:7" x14ac:dyDescent="0.25">
      <c r="A136" s="163" t="s">
        <v>858</v>
      </c>
      <c r="B136" s="163"/>
      <c r="C136" s="33" t="s">
        <v>857</v>
      </c>
      <c r="D136" s="38"/>
      <c r="E136"/>
      <c r="G136" s="114"/>
    </row>
    <row r="137" spans="1:7" x14ac:dyDescent="0.25">
      <c r="A137" s="163" t="s">
        <v>860</v>
      </c>
      <c r="B137" s="175" t="s">
        <v>859</v>
      </c>
      <c r="C137" s="33" t="s">
        <v>43</v>
      </c>
      <c r="D137" s="38">
        <v>168</v>
      </c>
      <c r="E137"/>
      <c r="G137" s="114"/>
    </row>
    <row r="138" spans="1:7" x14ac:dyDescent="0.25">
      <c r="B138"/>
      <c r="C138" s="33" t="s">
        <v>186</v>
      </c>
      <c r="D138" s="38">
        <v>0</v>
      </c>
      <c r="E138"/>
      <c r="G138" s="114"/>
    </row>
    <row r="139" spans="1:7" x14ac:dyDescent="0.25">
      <c r="B139"/>
      <c r="C139" s="33"/>
      <c r="D139" s="38"/>
      <c r="E139"/>
      <c r="G139" s="114"/>
    </row>
    <row r="140" spans="1:7" x14ac:dyDescent="0.25">
      <c r="A140" s="163" t="s">
        <v>852</v>
      </c>
      <c r="B140" s="163"/>
      <c r="C140" s="33" t="s">
        <v>855</v>
      </c>
      <c r="D140" s="114"/>
      <c r="E140"/>
      <c r="G140" s="114"/>
    </row>
    <row r="141" spans="1:7" x14ac:dyDescent="0.25">
      <c r="A141" s="163" t="s">
        <v>853</v>
      </c>
      <c r="B141" s="175" t="s">
        <v>854</v>
      </c>
      <c r="C141" s="33" t="s">
        <v>43</v>
      </c>
      <c r="D141" s="114"/>
      <c r="E141"/>
      <c r="G141" s="114"/>
    </row>
    <row r="142" spans="1:7" x14ac:dyDescent="0.25">
      <c r="B142"/>
      <c r="C142" s="33" t="s">
        <v>186</v>
      </c>
      <c r="D142" s="114"/>
      <c r="E142"/>
      <c r="G142" s="114"/>
    </row>
    <row r="143" spans="1:7" x14ac:dyDescent="0.25">
      <c r="B143"/>
      <c r="C143" s="33"/>
      <c r="D143" s="114"/>
      <c r="E143"/>
      <c r="G143" s="114"/>
    </row>
    <row r="144" spans="1:7" x14ac:dyDescent="0.25">
      <c r="A144" s="163" t="s">
        <v>875</v>
      </c>
      <c r="B144"/>
      <c r="C144" s="33"/>
      <c r="D144" s="114"/>
      <c r="E144"/>
      <c r="G144" s="114"/>
    </row>
    <row r="145" spans="1:7" x14ac:dyDescent="0.25">
      <c r="B145" s="175" t="s">
        <v>876</v>
      </c>
      <c r="C145" s="33" t="s">
        <v>43</v>
      </c>
      <c r="D145" s="114">
        <v>100</v>
      </c>
      <c r="E145"/>
      <c r="G145" s="114"/>
    </row>
    <row r="146" spans="1:7" x14ac:dyDescent="0.25">
      <c r="B146" s="159"/>
      <c r="C146" s="33" t="s">
        <v>186</v>
      </c>
      <c r="D146" s="114">
        <v>0</v>
      </c>
      <c r="E146"/>
      <c r="G146" s="114"/>
    </row>
    <row r="147" spans="1:7" x14ac:dyDescent="0.25">
      <c r="B147"/>
      <c r="C147" s="33"/>
      <c r="D147" s="114"/>
      <c r="E147"/>
      <c r="G147" s="114"/>
    </row>
    <row r="148" spans="1:7" x14ac:dyDescent="0.25">
      <c r="C148" s="26" t="s">
        <v>146</v>
      </c>
      <c r="D148" s="26"/>
      <c r="E148"/>
      <c r="G148" s="114"/>
    </row>
    <row r="149" spans="1:7" x14ac:dyDescent="0.25">
      <c r="C149" s="139" t="s">
        <v>148</v>
      </c>
      <c r="D149" s="24">
        <f>AVERAGE(TB_D_Dim:TB_E_Dim)</f>
        <v>369</v>
      </c>
      <c r="E149"/>
      <c r="G149" s="114"/>
    </row>
    <row r="150" spans="1:7" x14ac:dyDescent="0.25">
      <c r="C150" s="139" t="s">
        <v>150</v>
      </c>
      <c r="D150" s="24">
        <f>AVERAGE(TB_G_Dim:TB_H_Dim)</f>
        <v>828</v>
      </c>
      <c r="E150"/>
      <c r="G150" s="114"/>
    </row>
    <row r="151" spans="1:7" x14ac:dyDescent="0.25">
      <c r="C151" s="139" t="s">
        <v>152</v>
      </c>
      <c r="D151" s="24">
        <f>AVERAGE(TB_N_Dim:TB_P_Dim)</f>
        <v>1122.9000000000001</v>
      </c>
      <c r="E151"/>
      <c r="G151" s="114"/>
    </row>
    <row r="152" spans="1:7" x14ac:dyDescent="0.25">
      <c r="C152" s="139" t="s">
        <v>153</v>
      </c>
      <c r="D152" s="24">
        <f>VLOOKUP('TB MIS Sheet'!E15,'TB Calculation Data'!C149:D151,2,0)</f>
        <v>1122.9000000000001</v>
      </c>
      <c r="E152"/>
      <c r="G152" s="114"/>
    </row>
    <row r="153" spans="1:7" x14ac:dyDescent="0.25">
      <c r="D153" s="114"/>
      <c r="E153"/>
      <c r="G153" s="114"/>
    </row>
    <row r="154" spans="1:7" x14ac:dyDescent="0.25">
      <c r="A154" s="163" t="s">
        <v>764</v>
      </c>
      <c r="B154" s="114"/>
      <c r="C154"/>
      <c r="D154" s="114"/>
      <c r="E154" s="174" t="s">
        <v>814</v>
      </c>
      <c r="G154" s="114"/>
    </row>
    <row r="155" spans="1:7" ht="12.75" x14ac:dyDescent="0.2">
      <c r="A155" s="135" t="s">
        <v>765</v>
      </c>
      <c r="B155" s="114" t="s">
        <v>186</v>
      </c>
      <c r="C155" s="151">
        <f>TB_CalcData_FS_Value*VLOOKUP(TB_CalcData_FS_Units,Length_Conversion,3,FALSE)</f>
        <v>127</v>
      </c>
      <c r="D155" s="114" t="s">
        <v>135</v>
      </c>
      <c r="E155" s="170">
        <v>127</v>
      </c>
      <c r="F155" s="171" t="s">
        <v>135</v>
      </c>
      <c r="G155" s="114"/>
    </row>
    <row r="156" spans="1:7" ht="12.75" x14ac:dyDescent="0.2">
      <c r="A156" s="135" t="s">
        <v>766</v>
      </c>
      <c r="B156" s="114" t="s">
        <v>186</v>
      </c>
      <c r="C156" s="151">
        <f>TB_CalcData_IsoValLen_Value*VLOOKUP(TB_CalcData_IsoValLen_Units,Length_Conversion,3,FALSE)</f>
        <v>0</v>
      </c>
      <c r="D156" s="114" t="s">
        <v>135</v>
      </c>
      <c r="E156" s="172"/>
      <c r="F156" s="173" t="s">
        <v>135</v>
      </c>
      <c r="G156" s="114"/>
    </row>
    <row r="157" spans="1:7" x14ac:dyDescent="0.25">
      <c r="A157"/>
      <c r="B157" t="s">
        <v>186</v>
      </c>
      <c r="C157"/>
      <c r="D157"/>
      <c r="E157"/>
      <c r="F157"/>
      <c r="G157" s="114"/>
    </row>
    <row r="158" spans="1:7" x14ac:dyDescent="0.25">
      <c r="A158"/>
      <c r="B158" t="s">
        <v>186</v>
      </c>
      <c r="C158"/>
      <c r="D158"/>
      <c r="E158"/>
      <c r="F158"/>
      <c r="G158" s="114"/>
    </row>
    <row r="159" spans="1:7" ht="12.75" x14ac:dyDescent="0.2">
      <c r="C159" s="114"/>
      <c r="D159" s="114"/>
      <c r="E159" s="114"/>
      <c r="G159" s="114"/>
    </row>
    <row r="160" spans="1:7" x14ac:dyDescent="0.25">
      <c r="A160" s="163" t="s">
        <v>981</v>
      </c>
      <c r="B160"/>
    </row>
    <row r="161" spans="1:2" x14ac:dyDescent="0.25">
      <c r="B161" s="175" t="s">
        <v>980</v>
      </c>
    </row>
    <row r="163" spans="1:2" x14ac:dyDescent="0.25">
      <c r="A163" s="163" t="s">
        <v>68</v>
      </c>
      <c r="B163"/>
    </row>
    <row r="164" spans="1:2" x14ac:dyDescent="0.25">
      <c r="B164" s="175" t="s">
        <v>982</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L141"/>
  <sheetViews>
    <sheetView topLeftCell="A19" workbookViewId="0">
      <selection activeCell="B39" sqref="B39"/>
    </sheetView>
  </sheetViews>
  <sheetFormatPr defaultRowHeight="15" x14ac:dyDescent="0.25"/>
  <cols>
    <col min="1" max="1" width="39" bestFit="1" customWidth="1"/>
    <col min="2" max="2" width="33" bestFit="1" customWidth="1"/>
    <col min="3" max="3" width="14.28515625" customWidth="1"/>
    <col min="4" max="4" width="14.140625" customWidth="1"/>
    <col min="5" max="5" width="14.28515625" customWidth="1"/>
    <col min="6" max="6" width="10.85546875" customWidth="1"/>
    <col min="7" max="7" width="11.28515625" customWidth="1"/>
    <col min="8" max="8" width="14.85546875" customWidth="1"/>
    <col min="9" max="9" width="9.5703125" customWidth="1"/>
    <col min="10" max="10" width="15.85546875" bestFit="1" customWidth="1"/>
  </cols>
  <sheetData>
    <row r="1" spans="1:3" s="100" customFormat="1" x14ac:dyDescent="0.25">
      <c r="A1" s="100" t="s">
        <v>405</v>
      </c>
    </row>
    <row r="3" spans="1:3" x14ac:dyDescent="0.25">
      <c r="A3" s="102" t="s">
        <v>264</v>
      </c>
      <c r="B3" s="103" t="s">
        <v>265</v>
      </c>
      <c r="C3" s="103" t="s">
        <v>767</v>
      </c>
    </row>
    <row r="4" spans="1:3" x14ac:dyDescent="0.25">
      <c r="A4" s="36" t="s">
        <v>266</v>
      </c>
      <c r="B4" s="36">
        <v>1</v>
      </c>
      <c r="C4" s="36">
        <f>B4*1000</f>
        <v>1000</v>
      </c>
    </row>
    <row r="5" spans="1:3" x14ac:dyDescent="0.25">
      <c r="A5" s="36" t="s">
        <v>267</v>
      </c>
      <c r="B5" s="36">
        <v>0.01</v>
      </c>
      <c r="C5" s="36">
        <f t="shared" ref="C5:C8" si="0">B5*1000</f>
        <v>10</v>
      </c>
    </row>
    <row r="6" spans="1:3" x14ac:dyDescent="0.25">
      <c r="A6" s="36" t="s">
        <v>135</v>
      </c>
      <c r="B6" s="36">
        <v>1E-3</v>
      </c>
      <c r="C6" s="36">
        <f t="shared" si="0"/>
        <v>1</v>
      </c>
    </row>
    <row r="7" spans="1:3" x14ac:dyDescent="0.25">
      <c r="A7" s="36" t="s">
        <v>268</v>
      </c>
      <c r="B7" s="36">
        <v>2.5399999999999999E-2</v>
      </c>
      <c r="C7" s="36">
        <f t="shared" si="0"/>
        <v>25.4</v>
      </c>
    </row>
    <row r="8" spans="1:3" x14ac:dyDescent="0.25">
      <c r="A8" s="36" t="s">
        <v>269</v>
      </c>
      <c r="B8" s="36">
        <v>0.30480000000000002</v>
      </c>
      <c r="C8" s="36">
        <f t="shared" si="0"/>
        <v>304.8</v>
      </c>
    </row>
    <row r="10" spans="1:3" x14ac:dyDescent="0.25">
      <c r="A10" s="100" t="s">
        <v>7</v>
      </c>
      <c r="B10" s="100" t="s">
        <v>270</v>
      </c>
    </row>
    <row r="11" spans="1:3" x14ac:dyDescent="0.25">
      <c r="A11" t="s">
        <v>129</v>
      </c>
      <c r="B11">
        <f>TEMP_USER</f>
        <v>75</v>
      </c>
    </row>
    <row r="12" spans="1:3" x14ac:dyDescent="0.25">
      <c r="A12" t="s">
        <v>271</v>
      </c>
      <c r="B12">
        <f>(TEMP_USER-32)*5/9</f>
        <v>23.888888888888889</v>
      </c>
    </row>
    <row r="13" spans="1:3" x14ac:dyDescent="0.25">
      <c r="A13" t="s">
        <v>272</v>
      </c>
      <c r="B13">
        <f>TEMP_USER-273.15</f>
        <v>-198.14999999999998</v>
      </c>
    </row>
    <row r="14" spans="1:3" x14ac:dyDescent="0.25">
      <c r="A14" t="s">
        <v>53</v>
      </c>
      <c r="B14">
        <f>(TEMP_USER*5/9)-273.15</f>
        <v>-231.48333333333332</v>
      </c>
    </row>
    <row r="16" spans="1:3" x14ac:dyDescent="0.25">
      <c r="A16" s="100" t="s">
        <v>273</v>
      </c>
      <c r="B16" s="100" t="s">
        <v>274</v>
      </c>
      <c r="C16" s="100" t="s">
        <v>129</v>
      </c>
    </row>
    <row r="17" spans="1:3" x14ac:dyDescent="0.25">
      <c r="A17">
        <v>75</v>
      </c>
      <c r="B17" t="s">
        <v>129</v>
      </c>
      <c r="C17">
        <f>VLOOKUP(B17,A11:B14,2,FALSE)</f>
        <v>75</v>
      </c>
    </row>
    <row r="19" spans="1:3" x14ac:dyDescent="0.25">
      <c r="A19" s="100" t="s">
        <v>8</v>
      </c>
      <c r="B19" s="100" t="s">
        <v>275</v>
      </c>
      <c r="C19" s="100" t="s">
        <v>276</v>
      </c>
    </row>
    <row r="20" spans="1:3" x14ac:dyDescent="0.25">
      <c r="A20" t="s">
        <v>277</v>
      </c>
      <c r="B20" s="104">
        <v>1.0000000000000001E-5</v>
      </c>
      <c r="C20">
        <v>0</v>
      </c>
    </row>
    <row r="21" spans="1:3" x14ac:dyDescent="0.25">
      <c r="A21" t="s">
        <v>278</v>
      </c>
      <c r="B21" s="104">
        <v>1.0000000000000001E-5</v>
      </c>
      <c r="C21">
        <v>1.01325</v>
      </c>
    </row>
    <row r="22" spans="1:3" x14ac:dyDescent="0.25">
      <c r="A22" t="s">
        <v>279</v>
      </c>
      <c r="B22">
        <v>0.01</v>
      </c>
      <c r="C22">
        <v>0</v>
      </c>
    </row>
    <row r="23" spans="1:3" x14ac:dyDescent="0.25">
      <c r="A23" t="s">
        <v>280</v>
      </c>
      <c r="B23">
        <v>0.01</v>
      </c>
      <c r="C23">
        <v>1.01325</v>
      </c>
    </row>
    <row r="24" spans="1:3" x14ac:dyDescent="0.25">
      <c r="A24" t="s">
        <v>281</v>
      </c>
      <c r="B24" s="104">
        <v>1.0000000000000001E-5</v>
      </c>
      <c r="C24">
        <v>0</v>
      </c>
    </row>
    <row r="25" spans="1:3" x14ac:dyDescent="0.25">
      <c r="A25" t="s">
        <v>282</v>
      </c>
      <c r="B25" s="104">
        <v>1.0000000000000001E-5</v>
      </c>
      <c r="C25">
        <v>1.01325</v>
      </c>
    </row>
    <row r="26" spans="1:3" x14ac:dyDescent="0.25">
      <c r="A26" t="s">
        <v>283</v>
      </c>
      <c r="B26">
        <v>0.01</v>
      </c>
      <c r="C26">
        <v>0</v>
      </c>
    </row>
    <row r="27" spans="1:3" x14ac:dyDescent="0.25">
      <c r="A27" t="s">
        <v>284</v>
      </c>
      <c r="B27">
        <v>0.01</v>
      </c>
      <c r="C27">
        <v>1.01325</v>
      </c>
    </row>
    <row r="28" spans="1:3" x14ac:dyDescent="0.25">
      <c r="A28" t="s">
        <v>285</v>
      </c>
      <c r="B28">
        <v>1</v>
      </c>
      <c r="C28">
        <v>0</v>
      </c>
    </row>
    <row r="29" spans="1:3" x14ac:dyDescent="0.25">
      <c r="A29" t="s">
        <v>286</v>
      </c>
      <c r="B29">
        <v>1</v>
      </c>
      <c r="C29">
        <v>1.01325</v>
      </c>
    </row>
    <row r="30" spans="1:3" x14ac:dyDescent="0.25">
      <c r="A30" t="s">
        <v>124</v>
      </c>
      <c r="B30">
        <v>1E-3</v>
      </c>
      <c r="C30">
        <v>0</v>
      </c>
    </row>
    <row r="31" spans="1:3" x14ac:dyDescent="0.25">
      <c r="A31" t="s">
        <v>287</v>
      </c>
      <c r="B31">
        <v>1E-3</v>
      </c>
      <c r="C31">
        <v>1.01325</v>
      </c>
    </row>
    <row r="32" spans="1:3" x14ac:dyDescent="0.25">
      <c r="A32" t="s">
        <v>288</v>
      </c>
      <c r="B32">
        <v>1.01325</v>
      </c>
      <c r="C32">
        <v>0</v>
      </c>
    </row>
    <row r="33" spans="1:3" x14ac:dyDescent="0.25">
      <c r="A33" t="s">
        <v>289</v>
      </c>
      <c r="B33">
        <v>1.01325</v>
      </c>
      <c r="C33">
        <v>1.01325</v>
      </c>
    </row>
    <row r="34" spans="1:3" x14ac:dyDescent="0.25">
      <c r="A34" t="s">
        <v>290</v>
      </c>
      <c r="B34">
        <v>4.7880299999999998E-4</v>
      </c>
      <c r="C34">
        <v>0</v>
      </c>
    </row>
    <row r="35" spans="1:3" x14ac:dyDescent="0.25">
      <c r="A35" t="s">
        <v>291</v>
      </c>
      <c r="B35">
        <v>4.7880299999999998E-4</v>
      </c>
      <c r="C35">
        <v>1.01325</v>
      </c>
    </row>
    <row r="36" spans="1:3" x14ac:dyDescent="0.25">
      <c r="A36" t="s">
        <v>292</v>
      </c>
      <c r="B36">
        <v>6.8900000000000003E-2</v>
      </c>
      <c r="C36">
        <v>0</v>
      </c>
    </row>
    <row r="37" spans="1:3" x14ac:dyDescent="0.25">
      <c r="A37" t="s">
        <v>293</v>
      </c>
      <c r="B37">
        <v>6.8900000000000003E-2</v>
      </c>
      <c r="C37">
        <v>1.01325</v>
      </c>
    </row>
    <row r="38" spans="1:3" x14ac:dyDescent="0.25">
      <c r="A38" t="s">
        <v>294</v>
      </c>
      <c r="B38">
        <v>2.490889E-3</v>
      </c>
      <c r="C38">
        <v>0</v>
      </c>
    </row>
    <row r="39" spans="1:3" x14ac:dyDescent="0.25">
      <c r="A39" t="s">
        <v>295</v>
      </c>
      <c r="B39">
        <v>2.490889E-3</v>
      </c>
      <c r="C39">
        <v>1.01325</v>
      </c>
    </row>
    <row r="40" spans="1:3" x14ac:dyDescent="0.25">
      <c r="A40" t="s">
        <v>296</v>
      </c>
      <c r="B40" s="104">
        <v>9.8099999999999999E-5</v>
      </c>
      <c r="C40">
        <v>0</v>
      </c>
    </row>
    <row r="41" spans="1:3" x14ac:dyDescent="0.25">
      <c r="A41" t="s">
        <v>297</v>
      </c>
      <c r="B41" s="104">
        <v>9.8099999999999999E-5</v>
      </c>
      <c r="C41">
        <v>1.01325</v>
      </c>
    </row>
    <row r="42" spans="1:3" x14ac:dyDescent="0.25">
      <c r="A42" t="s">
        <v>298</v>
      </c>
      <c r="B42">
        <v>0.98066500000000001</v>
      </c>
      <c r="C42">
        <v>0</v>
      </c>
    </row>
    <row r="43" spans="1:3" x14ac:dyDescent="0.25">
      <c r="A43" t="s">
        <v>299</v>
      </c>
      <c r="B43">
        <v>0.98066500000000001</v>
      </c>
      <c r="C43">
        <v>1.01325</v>
      </c>
    </row>
    <row r="45" spans="1:3" x14ac:dyDescent="0.25">
      <c r="A45" s="100" t="s">
        <v>300</v>
      </c>
      <c r="B45" s="100" t="s">
        <v>301</v>
      </c>
      <c r="C45" s="100" t="s">
        <v>285</v>
      </c>
    </row>
    <row r="46" spans="1:3" x14ac:dyDescent="0.25">
      <c r="A46">
        <v>0.1</v>
      </c>
      <c r="B46" t="s">
        <v>297</v>
      </c>
      <c r="C46">
        <f>PRESS_USER*VLOOKUP(PRESS_USER_UNITS,$A$20:$B$43,2,FALSE)+VLOOKUP(PRESS_USER_UNITS,$A$20:$C$43,3,FALSE)</f>
        <v>1.0132598100000001</v>
      </c>
    </row>
    <row r="49" spans="1:11" s="100" customFormat="1" x14ac:dyDescent="0.25">
      <c r="A49" s="100" t="s">
        <v>302</v>
      </c>
      <c r="B49" s="100" t="s">
        <v>303</v>
      </c>
      <c r="C49" s="100" t="s">
        <v>304</v>
      </c>
      <c r="D49" s="100" t="s">
        <v>305</v>
      </c>
      <c r="E49" s="100" t="s">
        <v>306</v>
      </c>
      <c r="F49" s="100" t="s">
        <v>307</v>
      </c>
      <c r="G49" s="100" t="s">
        <v>308</v>
      </c>
      <c r="H49" s="100" t="s">
        <v>309</v>
      </c>
      <c r="I49" s="100" t="s">
        <v>310</v>
      </c>
      <c r="J49" s="100" t="s">
        <v>311</v>
      </c>
      <c r="K49" s="100" t="s">
        <v>312</v>
      </c>
    </row>
    <row r="50" spans="1:11" x14ac:dyDescent="0.25">
      <c r="A50" t="s">
        <v>128</v>
      </c>
      <c r="B50">
        <v>1</v>
      </c>
      <c r="C50">
        <v>1</v>
      </c>
      <c r="D50">
        <v>1</v>
      </c>
      <c r="E50" t="b">
        <v>0</v>
      </c>
      <c r="F50" t="b">
        <v>0</v>
      </c>
      <c r="G50" t="b">
        <v>0</v>
      </c>
      <c r="H50" t="b">
        <v>0</v>
      </c>
      <c r="I50" t="b">
        <v>1</v>
      </c>
      <c r="J50" t="s">
        <v>313</v>
      </c>
      <c r="K50" t="str">
        <f>LEFT(A50,FIND("/",A50)-1)</f>
        <v>kg</v>
      </c>
    </row>
    <row r="51" spans="1:11" x14ac:dyDescent="0.25">
      <c r="A51" t="s">
        <v>314</v>
      </c>
      <c r="B51">
        <v>60</v>
      </c>
      <c r="C51">
        <v>1</v>
      </c>
      <c r="D51">
        <v>1</v>
      </c>
      <c r="E51" t="b">
        <v>0</v>
      </c>
      <c r="F51" t="b">
        <v>0</v>
      </c>
      <c r="G51" t="b">
        <v>0</v>
      </c>
      <c r="H51" t="b">
        <v>0</v>
      </c>
      <c r="I51" t="b">
        <v>1</v>
      </c>
      <c r="J51" t="s">
        <v>313</v>
      </c>
      <c r="K51" t="str">
        <f t="shared" ref="K51:K112" si="1">LEFT(A51,FIND("/",A51)-1)</f>
        <v>kg</v>
      </c>
    </row>
    <row r="52" spans="1:11" x14ac:dyDescent="0.25">
      <c r="A52" t="s">
        <v>315</v>
      </c>
      <c r="B52">
        <v>3600</v>
      </c>
      <c r="C52">
        <v>1</v>
      </c>
      <c r="D52">
        <v>1</v>
      </c>
      <c r="E52" t="b">
        <v>0</v>
      </c>
      <c r="F52" t="b">
        <v>0</v>
      </c>
      <c r="G52" t="b">
        <v>0</v>
      </c>
      <c r="H52" t="b">
        <v>0</v>
      </c>
      <c r="I52" t="b">
        <v>1</v>
      </c>
      <c r="J52" t="s">
        <v>313</v>
      </c>
      <c r="K52" t="str">
        <f t="shared" si="1"/>
        <v>kg</v>
      </c>
    </row>
    <row r="53" spans="1:11" x14ac:dyDescent="0.25">
      <c r="A53" t="s">
        <v>316</v>
      </c>
      <c r="B53">
        <v>86400</v>
      </c>
      <c r="C53">
        <v>1</v>
      </c>
      <c r="D53">
        <v>1</v>
      </c>
      <c r="E53" t="b">
        <v>0</v>
      </c>
      <c r="F53" t="b">
        <v>0</v>
      </c>
      <c r="G53" t="b">
        <v>0</v>
      </c>
      <c r="H53" t="b">
        <v>0</v>
      </c>
      <c r="I53" t="b">
        <v>1</v>
      </c>
      <c r="J53" t="s">
        <v>313</v>
      </c>
      <c r="K53" t="str">
        <f t="shared" si="1"/>
        <v>kg</v>
      </c>
    </row>
    <row r="54" spans="1:11" x14ac:dyDescent="0.25">
      <c r="A54" t="s">
        <v>317</v>
      </c>
      <c r="B54">
        <v>1</v>
      </c>
      <c r="C54">
        <v>1</v>
      </c>
      <c r="D54">
        <v>0.45359237000000002</v>
      </c>
      <c r="E54" t="b">
        <v>0</v>
      </c>
      <c r="F54" t="b">
        <v>0</v>
      </c>
      <c r="G54" t="b">
        <v>0</v>
      </c>
      <c r="H54" t="b">
        <v>0</v>
      </c>
      <c r="I54" t="b">
        <v>0</v>
      </c>
      <c r="J54" t="s">
        <v>318</v>
      </c>
      <c r="K54" t="str">
        <f t="shared" si="1"/>
        <v>lb</v>
      </c>
    </row>
    <row r="55" spans="1:11" x14ac:dyDescent="0.25">
      <c r="A55" t="s">
        <v>319</v>
      </c>
      <c r="B55">
        <v>60</v>
      </c>
      <c r="C55">
        <v>1</v>
      </c>
      <c r="D55">
        <v>0.45359237000000002</v>
      </c>
      <c r="E55" t="b">
        <v>0</v>
      </c>
      <c r="F55" t="b">
        <v>0</v>
      </c>
      <c r="G55" t="b">
        <v>0</v>
      </c>
      <c r="H55" t="b">
        <v>0</v>
      </c>
      <c r="I55" t="b">
        <v>0</v>
      </c>
      <c r="J55" t="s">
        <v>318</v>
      </c>
      <c r="K55" t="str">
        <f t="shared" si="1"/>
        <v>lb</v>
      </c>
    </row>
    <row r="56" spans="1:11" x14ac:dyDescent="0.25">
      <c r="A56" t="s">
        <v>320</v>
      </c>
      <c r="B56">
        <v>3600</v>
      </c>
      <c r="C56">
        <v>1</v>
      </c>
      <c r="D56">
        <v>0.45359237000000002</v>
      </c>
      <c r="E56" t="b">
        <v>0</v>
      </c>
      <c r="F56" t="b">
        <v>0</v>
      </c>
      <c r="G56" t="b">
        <v>0</v>
      </c>
      <c r="H56" t="b">
        <v>0</v>
      </c>
      <c r="I56" t="b">
        <v>0</v>
      </c>
      <c r="J56" t="s">
        <v>318</v>
      </c>
      <c r="K56" t="str">
        <f t="shared" si="1"/>
        <v>lb</v>
      </c>
    </row>
    <row r="57" spans="1:11" x14ac:dyDescent="0.25">
      <c r="A57" t="s">
        <v>321</v>
      </c>
      <c r="B57">
        <v>86400</v>
      </c>
      <c r="C57">
        <v>1</v>
      </c>
      <c r="D57">
        <v>0.45359237000000002</v>
      </c>
      <c r="E57" t="b">
        <v>0</v>
      </c>
      <c r="F57" t="b">
        <v>0</v>
      </c>
      <c r="G57" t="b">
        <v>0</v>
      </c>
      <c r="H57" t="b">
        <v>0</v>
      </c>
      <c r="I57" t="b">
        <v>0</v>
      </c>
      <c r="J57" t="s">
        <v>318</v>
      </c>
      <c r="K57" t="str">
        <f t="shared" si="1"/>
        <v>lb</v>
      </c>
    </row>
    <row r="58" spans="1:11" x14ac:dyDescent="0.25">
      <c r="A58" t="s">
        <v>322</v>
      </c>
      <c r="B58">
        <v>1</v>
      </c>
      <c r="C58">
        <v>1</v>
      </c>
      <c r="D58">
        <v>1000</v>
      </c>
      <c r="E58" t="b">
        <v>0</v>
      </c>
      <c r="F58" t="b">
        <v>0</v>
      </c>
      <c r="G58" t="b">
        <v>0</v>
      </c>
      <c r="H58" t="b">
        <v>0</v>
      </c>
      <c r="I58" t="b">
        <v>0</v>
      </c>
      <c r="J58" t="s">
        <v>318</v>
      </c>
      <c r="K58" t="str">
        <f t="shared" si="1"/>
        <v>Tonne</v>
      </c>
    </row>
    <row r="59" spans="1:11" x14ac:dyDescent="0.25">
      <c r="A59" t="s">
        <v>323</v>
      </c>
      <c r="B59">
        <v>60</v>
      </c>
      <c r="C59">
        <v>1</v>
      </c>
      <c r="D59">
        <v>1000</v>
      </c>
      <c r="E59" t="b">
        <v>0</v>
      </c>
      <c r="F59" t="b">
        <v>0</v>
      </c>
      <c r="G59" t="b">
        <v>0</v>
      </c>
      <c r="H59" t="b">
        <v>0</v>
      </c>
      <c r="I59" t="b">
        <v>0</v>
      </c>
      <c r="J59" t="s">
        <v>318</v>
      </c>
      <c r="K59" t="str">
        <f t="shared" si="1"/>
        <v>Tonne</v>
      </c>
    </row>
    <row r="60" spans="1:11" x14ac:dyDescent="0.25">
      <c r="A60" t="s">
        <v>324</v>
      </c>
      <c r="B60">
        <v>3600</v>
      </c>
      <c r="C60">
        <v>1</v>
      </c>
      <c r="D60">
        <v>1000</v>
      </c>
      <c r="E60" t="b">
        <v>0</v>
      </c>
      <c r="F60" t="b">
        <v>0</v>
      </c>
      <c r="G60" t="b">
        <v>0</v>
      </c>
      <c r="H60" t="b">
        <v>0</v>
      </c>
      <c r="I60" t="b">
        <v>0</v>
      </c>
      <c r="J60" t="s">
        <v>318</v>
      </c>
      <c r="K60" t="str">
        <f t="shared" si="1"/>
        <v>Tonne</v>
      </c>
    </row>
    <row r="61" spans="1:11" x14ac:dyDescent="0.25">
      <c r="A61" t="s">
        <v>325</v>
      </c>
      <c r="B61">
        <v>86400</v>
      </c>
      <c r="C61">
        <v>1</v>
      </c>
      <c r="D61">
        <v>1000</v>
      </c>
      <c r="E61" t="b">
        <v>0</v>
      </c>
      <c r="F61" t="b">
        <v>0</v>
      </c>
      <c r="G61" t="b">
        <v>0</v>
      </c>
      <c r="H61" t="b">
        <v>0</v>
      </c>
      <c r="I61" t="b">
        <v>0</v>
      </c>
      <c r="J61" t="s">
        <v>318</v>
      </c>
      <c r="K61" t="str">
        <f t="shared" si="1"/>
        <v>Tonne</v>
      </c>
    </row>
    <row r="62" spans="1:11" x14ac:dyDescent="0.25">
      <c r="A62" t="s">
        <v>326</v>
      </c>
      <c r="B62">
        <v>1</v>
      </c>
      <c r="C62">
        <v>1</v>
      </c>
      <c r="D62">
        <v>1016.04691</v>
      </c>
      <c r="E62" t="b">
        <v>0</v>
      </c>
      <c r="F62" t="b">
        <v>0</v>
      </c>
      <c r="G62" t="b">
        <v>0</v>
      </c>
      <c r="H62" t="b">
        <v>0</v>
      </c>
      <c r="I62" t="b">
        <v>1</v>
      </c>
      <c r="J62" t="s">
        <v>313</v>
      </c>
      <c r="K62" t="str">
        <f t="shared" si="1"/>
        <v>Ton(L)</v>
      </c>
    </row>
    <row r="63" spans="1:11" x14ac:dyDescent="0.25">
      <c r="A63" t="s">
        <v>327</v>
      </c>
      <c r="B63">
        <v>60</v>
      </c>
      <c r="C63">
        <v>1</v>
      </c>
      <c r="D63">
        <v>1016.04691</v>
      </c>
      <c r="E63" t="b">
        <v>0</v>
      </c>
      <c r="F63" t="b">
        <v>0</v>
      </c>
      <c r="G63" t="b">
        <v>0</v>
      </c>
      <c r="H63" t="b">
        <v>0</v>
      </c>
      <c r="I63" t="b">
        <v>1</v>
      </c>
      <c r="J63" t="s">
        <v>313</v>
      </c>
      <c r="K63" t="str">
        <f t="shared" si="1"/>
        <v>Ton(L)</v>
      </c>
    </row>
    <row r="64" spans="1:11" x14ac:dyDescent="0.25">
      <c r="A64" t="s">
        <v>328</v>
      </c>
      <c r="B64">
        <v>3600</v>
      </c>
      <c r="C64">
        <v>1</v>
      </c>
      <c r="D64">
        <v>1016.04691</v>
      </c>
      <c r="E64" t="b">
        <v>0</v>
      </c>
      <c r="F64" t="b">
        <v>0</v>
      </c>
      <c r="G64" t="b">
        <v>0</v>
      </c>
      <c r="H64" t="b">
        <v>0</v>
      </c>
      <c r="I64" t="b">
        <v>1</v>
      </c>
      <c r="J64" t="s">
        <v>313</v>
      </c>
      <c r="K64" t="str">
        <f t="shared" si="1"/>
        <v>Ton(L)</v>
      </c>
    </row>
    <row r="65" spans="1:11" x14ac:dyDescent="0.25">
      <c r="A65" t="s">
        <v>329</v>
      </c>
      <c r="B65">
        <v>86400</v>
      </c>
      <c r="C65">
        <v>1</v>
      </c>
      <c r="D65">
        <v>1016.04691</v>
      </c>
      <c r="E65" t="b">
        <v>0</v>
      </c>
      <c r="F65" t="b">
        <v>0</v>
      </c>
      <c r="G65" t="b">
        <v>0</v>
      </c>
      <c r="H65" t="b">
        <v>0</v>
      </c>
      <c r="I65" t="b">
        <v>1</v>
      </c>
      <c r="J65" t="s">
        <v>313</v>
      </c>
      <c r="K65" t="str">
        <f t="shared" si="1"/>
        <v>Ton(L)</v>
      </c>
    </row>
    <row r="66" spans="1:11" x14ac:dyDescent="0.25">
      <c r="A66" t="s">
        <v>330</v>
      </c>
      <c r="B66">
        <v>1</v>
      </c>
      <c r="C66">
        <v>1</v>
      </c>
      <c r="D66">
        <v>907.18474000000003</v>
      </c>
      <c r="E66" t="b">
        <v>0</v>
      </c>
      <c r="F66" t="b">
        <v>0</v>
      </c>
      <c r="G66" t="b">
        <v>0</v>
      </c>
      <c r="H66" t="b">
        <v>0</v>
      </c>
      <c r="I66" t="b">
        <v>1</v>
      </c>
      <c r="J66" t="s">
        <v>313</v>
      </c>
      <c r="K66" t="str">
        <f t="shared" si="1"/>
        <v>Ton(S)</v>
      </c>
    </row>
    <row r="67" spans="1:11" x14ac:dyDescent="0.25">
      <c r="A67" t="s">
        <v>331</v>
      </c>
      <c r="B67">
        <v>60</v>
      </c>
      <c r="C67">
        <v>1</v>
      </c>
      <c r="D67">
        <v>907.18474000000003</v>
      </c>
      <c r="E67" t="b">
        <v>0</v>
      </c>
      <c r="F67" t="b">
        <v>0</v>
      </c>
      <c r="G67" t="b">
        <v>0</v>
      </c>
      <c r="H67" t="b">
        <v>0</v>
      </c>
      <c r="I67" t="b">
        <v>1</v>
      </c>
      <c r="J67" t="s">
        <v>313</v>
      </c>
      <c r="K67" t="str">
        <f t="shared" si="1"/>
        <v>Ton(S)</v>
      </c>
    </row>
    <row r="68" spans="1:11" x14ac:dyDescent="0.25">
      <c r="A68" t="s">
        <v>332</v>
      </c>
      <c r="B68">
        <v>3600</v>
      </c>
      <c r="C68">
        <v>1</v>
      </c>
      <c r="D68">
        <v>907.18474000000003</v>
      </c>
      <c r="E68" t="b">
        <v>0</v>
      </c>
      <c r="F68" t="b">
        <v>0</v>
      </c>
      <c r="G68" t="b">
        <v>0</v>
      </c>
      <c r="H68" t="b">
        <v>0</v>
      </c>
      <c r="I68" t="b">
        <v>1</v>
      </c>
      <c r="J68" t="s">
        <v>313</v>
      </c>
      <c r="K68" t="str">
        <f t="shared" si="1"/>
        <v>Ton(S)</v>
      </c>
    </row>
    <row r="69" spans="1:11" x14ac:dyDescent="0.25">
      <c r="A69" t="s">
        <v>333</v>
      </c>
      <c r="B69">
        <v>86400</v>
      </c>
      <c r="C69">
        <v>1</v>
      </c>
      <c r="D69">
        <v>907.18474000000003</v>
      </c>
      <c r="E69" t="b">
        <v>0</v>
      </c>
      <c r="F69" t="b">
        <v>0</v>
      </c>
      <c r="G69" t="b">
        <v>0</v>
      </c>
      <c r="H69" t="b">
        <v>0</v>
      </c>
      <c r="I69" t="b">
        <v>1</v>
      </c>
      <c r="J69" t="s">
        <v>313</v>
      </c>
      <c r="K69" t="str">
        <f t="shared" si="1"/>
        <v>Ton(S)</v>
      </c>
    </row>
    <row r="70" spans="1:11" x14ac:dyDescent="0.25">
      <c r="A70" t="s">
        <v>313</v>
      </c>
      <c r="B70">
        <v>1</v>
      </c>
      <c r="C70">
        <v>1</v>
      </c>
      <c r="D70">
        <v>1</v>
      </c>
      <c r="E70" t="b">
        <v>1</v>
      </c>
      <c r="F70" t="b">
        <v>0</v>
      </c>
      <c r="G70" t="b">
        <v>0</v>
      </c>
      <c r="H70" t="b">
        <v>0</v>
      </c>
      <c r="I70" t="b">
        <v>1</v>
      </c>
      <c r="J70" t="s">
        <v>128</v>
      </c>
      <c r="K70" t="str">
        <f t="shared" si="1"/>
        <v>m³</v>
      </c>
    </row>
    <row r="71" spans="1:11" x14ac:dyDescent="0.25">
      <c r="A71" t="s">
        <v>334</v>
      </c>
      <c r="B71">
        <v>60</v>
      </c>
      <c r="C71">
        <v>1</v>
      </c>
      <c r="D71">
        <v>1</v>
      </c>
      <c r="E71" t="b">
        <v>1</v>
      </c>
      <c r="F71" t="b">
        <v>0</v>
      </c>
      <c r="G71" t="b">
        <v>0</v>
      </c>
      <c r="H71" t="b">
        <v>0</v>
      </c>
      <c r="I71" t="b">
        <v>1</v>
      </c>
      <c r="J71" t="s">
        <v>128</v>
      </c>
      <c r="K71" t="str">
        <f t="shared" si="1"/>
        <v>m³</v>
      </c>
    </row>
    <row r="72" spans="1:11" x14ac:dyDescent="0.25">
      <c r="A72" t="s">
        <v>79</v>
      </c>
      <c r="B72">
        <v>3600</v>
      </c>
      <c r="C72">
        <v>1</v>
      </c>
      <c r="D72">
        <v>1</v>
      </c>
      <c r="E72" t="b">
        <v>1</v>
      </c>
      <c r="F72" t="b">
        <v>0</v>
      </c>
      <c r="G72" t="b">
        <v>0</v>
      </c>
      <c r="H72" t="b">
        <v>0</v>
      </c>
      <c r="I72" t="b">
        <v>1</v>
      </c>
      <c r="J72" t="s">
        <v>128</v>
      </c>
      <c r="K72" t="str">
        <f t="shared" si="1"/>
        <v>m³</v>
      </c>
    </row>
    <row r="73" spans="1:11" x14ac:dyDescent="0.25">
      <c r="A73" t="s">
        <v>335</v>
      </c>
      <c r="B73">
        <v>86400</v>
      </c>
      <c r="C73">
        <v>1</v>
      </c>
      <c r="D73">
        <v>1</v>
      </c>
      <c r="E73" t="b">
        <v>1</v>
      </c>
      <c r="F73" t="b">
        <v>0</v>
      </c>
      <c r="G73" t="b">
        <v>0</v>
      </c>
      <c r="H73" t="b">
        <v>0</v>
      </c>
      <c r="I73" t="b">
        <v>1</v>
      </c>
      <c r="J73" t="s">
        <v>128</v>
      </c>
      <c r="K73" t="str">
        <f t="shared" si="1"/>
        <v>m³</v>
      </c>
    </row>
    <row r="74" spans="1:11" x14ac:dyDescent="0.25">
      <c r="A74" t="s">
        <v>336</v>
      </c>
      <c r="B74">
        <v>1</v>
      </c>
      <c r="C74">
        <v>1E-3</v>
      </c>
      <c r="D74">
        <v>1</v>
      </c>
      <c r="E74" t="b">
        <v>1</v>
      </c>
      <c r="F74" t="b">
        <v>0</v>
      </c>
      <c r="G74" t="b">
        <v>0</v>
      </c>
      <c r="H74" t="b">
        <v>0</v>
      </c>
      <c r="I74" t="b">
        <v>1</v>
      </c>
      <c r="J74" t="s">
        <v>128</v>
      </c>
      <c r="K74" t="str">
        <f t="shared" si="1"/>
        <v>litres</v>
      </c>
    </row>
    <row r="75" spans="1:11" x14ac:dyDescent="0.25">
      <c r="A75" t="s">
        <v>337</v>
      </c>
      <c r="B75">
        <v>60</v>
      </c>
      <c r="C75">
        <v>1E-3</v>
      </c>
      <c r="D75">
        <v>1</v>
      </c>
      <c r="E75" t="b">
        <v>1</v>
      </c>
      <c r="F75" t="b">
        <v>0</v>
      </c>
      <c r="G75" t="b">
        <v>0</v>
      </c>
      <c r="H75" t="b">
        <v>0</v>
      </c>
      <c r="I75" t="b">
        <v>1</v>
      </c>
      <c r="J75" t="s">
        <v>128</v>
      </c>
      <c r="K75" t="str">
        <f t="shared" si="1"/>
        <v>litres</v>
      </c>
    </row>
    <row r="76" spans="1:11" x14ac:dyDescent="0.25">
      <c r="A76" t="s">
        <v>338</v>
      </c>
      <c r="B76">
        <v>3600</v>
      </c>
      <c r="C76">
        <v>1E-3</v>
      </c>
      <c r="D76">
        <v>1</v>
      </c>
      <c r="E76" t="b">
        <v>1</v>
      </c>
      <c r="F76" t="b">
        <v>0</v>
      </c>
      <c r="G76" t="b">
        <v>0</v>
      </c>
      <c r="H76" t="b">
        <v>0</v>
      </c>
      <c r="I76" t="b">
        <v>1</v>
      </c>
      <c r="J76" t="s">
        <v>128</v>
      </c>
      <c r="K76" t="str">
        <f t="shared" si="1"/>
        <v>litres</v>
      </c>
    </row>
    <row r="77" spans="1:11" x14ac:dyDescent="0.25">
      <c r="A77" t="s">
        <v>339</v>
      </c>
      <c r="B77">
        <v>86400</v>
      </c>
      <c r="C77">
        <v>1E-3</v>
      </c>
      <c r="D77">
        <v>1</v>
      </c>
      <c r="E77" t="b">
        <v>1</v>
      </c>
      <c r="F77" t="b">
        <v>0</v>
      </c>
      <c r="G77" t="b">
        <v>0</v>
      </c>
      <c r="H77" t="b">
        <v>0</v>
      </c>
      <c r="I77" t="b">
        <v>1</v>
      </c>
      <c r="J77" t="s">
        <v>128</v>
      </c>
      <c r="K77" t="str">
        <f t="shared" si="1"/>
        <v>litres</v>
      </c>
    </row>
    <row r="78" spans="1:11" x14ac:dyDescent="0.25">
      <c r="A78" t="s">
        <v>318</v>
      </c>
      <c r="B78">
        <v>1</v>
      </c>
      <c r="C78">
        <v>2.8316846999999999E-2</v>
      </c>
      <c r="D78">
        <v>1</v>
      </c>
      <c r="E78" t="b">
        <v>1</v>
      </c>
      <c r="F78" t="b">
        <v>0</v>
      </c>
      <c r="G78" t="b">
        <v>0</v>
      </c>
      <c r="H78" t="b">
        <v>0</v>
      </c>
      <c r="I78" t="b">
        <v>0</v>
      </c>
      <c r="J78" t="s">
        <v>317</v>
      </c>
      <c r="K78" t="str">
        <f t="shared" si="1"/>
        <v>ft³</v>
      </c>
    </row>
    <row r="79" spans="1:11" x14ac:dyDescent="0.25">
      <c r="A79" t="s">
        <v>340</v>
      </c>
      <c r="B79">
        <v>60</v>
      </c>
      <c r="C79">
        <v>2.8316846999999999E-2</v>
      </c>
      <c r="D79">
        <v>1</v>
      </c>
      <c r="E79" t="b">
        <v>1</v>
      </c>
      <c r="F79" t="b">
        <v>0</v>
      </c>
      <c r="G79" t="b">
        <v>0</v>
      </c>
      <c r="H79" t="b">
        <v>0</v>
      </c>
      <c r="I79" t="b">
        <v>0</v>
      </c>
      <c r="J79" t="s">
        <v>317</v>
      </c>
      <c r="K79" t="str">
        <f t="shared" si="1"/>
        <v>ft³</v>
      </c>
    </row>
    <row r="80" spans="1:11" x14ac:dyDescent="0.25">
      <c r="A80" t="s">
        <v>341</v>
      </c>
      <c r="B80">
        <v>3600</v>
      </c>
      <c r="C80">
        <v>2.8316846999999999E-2</v>
      </c>
      <c r="D80">
        <v>1</v>
      </c>
      <c r="E80" t="b">
        <v>1</v>
      </c>
      <c r="F80" t="b">
        <v>0</v>
      </c>
      <c r="G80" t="b">
        <v>0</v>
      </c>
      <c r="H80" t="b">
        <v>0</v>
      </c>
      <c r="I80" t="b">
        <v>0</v>
      </c>
      <c r="J80" t="s">
        <v>317</v>
      </c>
      <c r="K80" t="str">
        <f t="shared" si="1"/>
        <v>ft³</v>
      </c>
    </row>
    <row r="81" spans="1:11" x14ac:dyDescent="0.25">
      <c r="A81" t="s">
        <v>342</v>
      </c>
      <c r="B81">
        <v>86400</v>
      </c>
      <c r="C81">
        <v>2.8316846999999999E-2</v>
      </c>
      <c r="D81">
        <v>1</v>
      </c>
      <c r="E81" t="b">
        <v>1</v>
      </c>
      <c r="F81" t="b">
        <v>0</v>
      </c>
      <c r="G81" t="b">
        <v>0</v>
      </c>
      <c r="H81" t="b">
        <v>0</v>
      </c>
      <c r="I81" t="b">
        <v>0</v>
      </c>
      <c r="J81" t="s">
        <v>317</v>
      </c>
      <c r="K81" t="str">
        <f t="shared" si="1"/>
        <v>ft³</v>
      </c>
    </row>
    <row r="82" spans="1:11" x14ac:dyDescent="0.25">
      <c r="A82" t="s">
        <v>343</v>
      </c>
      <c r="B82">
        <v>1</v>
      </c>
      <c r="C82">
        <v>4.5460919999999998E-3</v>
      </c>
      <c r="D82">
        <v>1</v>
      </c>
      <c r="E82" t="b">
        <v>1</v>
      </c>
      <c r="F82" t="b">
        <v>0</v>
      </c>
      <c r="G82" t="b">
        <v>0</v>
      </c>
      <c r="H82" t="b">
        <v>0</v>
      </c>
      <c r="I82" t="b">
        <v>1</v>
      </c>
      <c r="J82" t="s">
        <v>128</v>
      </c>
      <c r="K82" t="str">
        <f t="shared" si="1"/>
        <v>UKG</v>
      </c>
    </row>
    <row r="83" spans="1:11" x14ac:dyDescent="0.25">
      <c r="A83" t="s">
        <v>344</v>
      </c>
      <c r="B83">
        <v>60</v>
      </c>
      <c r="C83">
        <v>4.5460919999999998E-3</v>
      </c>
      <c r="D83">
        <v>1</v>
      </c>
      <c r="E83" t="b">
        <v>1</v>
      </c>
      <c r="F83" t="b">
        <v>0</v>
      </c>
      <c r="G83" t="b">
        <v>0</v>
      </c>
      <c r="H83" t="b">
        <v>0</v>
      </c>
      <c r="I83" t="b">
        <v>1</v>
      </c>
      <c r="J83" t="s">
        <v>128</v>
      </c>
      <c r="K83" t="str">
        <f t="shared" si="1"/>
        <v>UKG</v>
      </c>
    </row>
    <row r="84" spans="1:11" x14ac:dyDescent="0.25">
      <c r="A84" t="s">
        <v>345</v>
      </c>
      <c r="B84">
        <v>3600</v>
      </c>
      <c r="C84">
        <v>4.5460919999999998E-3</v>
      </c>
      <c r="D84">
        <v>1</v>
      </c>
      <c r="E84" t="b">
        <v>1</v>
      </c>
      <c r="F84" t="b">
        <v>0</v>
      </c>
      <c r="G84" t="b">
        <v>0</v>
      </c>
      <c r="H84" t="b">
        <v>0</v>
      </c>
      <c r="I84" t="b">
        <v>1</v>
      </c>
      <c r="J84" t="s">
        <v>128</v>
      </c>
      <c r="K84" t="str">
        <f t="shared" si="1"/>
        <v>UKG</v>
      </c>
    </row>
    <row r="85" spans="1:11" x14ac:dyDescent="0.25">
      <c r="A85" t="s">
        <v>346</v>
      </c>
      <c r="B85">
        <v>86400</v>
      </c>
      <c r="C85">
        <v>4.5460919999999998E-3</v>
      </c>
      <c r="D85">
        <v>1</v>
      </c>
      <c r="E85" t="b">
        <v>1</v>
      </c>
      <c r="F85" t="b">
        <v>0</v>
      </c>
      <c r="G85" t="b">
        <v>0</v>
      </c>
      <c r="H85" t="b">
        <v>0</v>
      </c>
      <c r="I85" t="b">
        <v>1</v>
      </c>
      <c r="J85" t="s">
        <v>128</v>
      </c>
      <c r="K85" t="str">
        <f t="shared" si="1"/>
        <v>UKG</v>
      </c>
    </row>
    <row r="86" spans="1:11" x14ac:dyDescent="0.25">
      <c r="A86" t="s">
        <v>347</v>
      </c>
      <c r="B86">
        <v>1</v>
      </c>
      <c r="C86">
        <v>3.7854120000000002E-3</v>
      </c>
      <c r="D86">
        <v>1</v>
      </c>
      <c r="E86" t="b">
        <v>1</v>
      </c>
      <c r="F86" t="b">
        <v>0</v>
      </c>
      <c r="G86" t="b">
        <v>0</v>
      </c>
      <c r="H86" t="b">
        <v>0</v>
      </c>
      <c r="I86" t="b">
        <v>0</v>
      </c>
      <c r="J86" t="s">
        <v>317</v>
      </c>
      <c r="K86" t="str">
        <f t="shared" si="1"/>
        <v>USG</v>
      </c>
    </row>
    <row r="87" spans="1:11" x14ac:dyDescent="0.25">
      <c r="A87" t="s">
        <v>348</v>
      </c>
      <c r="B87">
        <v>60</v>
      </c>
      <c r="C87">
        <v>3.7854120000000002E-3</v>
      </c>
      <c r="D87">
        <v>1</v>
      </c>
      <c r="E87" t="b">
        <v>1</v>
      </c>
      <c r="F87" t="b">
        <v>0</v>
      </c>
      <c r="G87" t="b">
        <v>0</v>
      </c>
      <c r="H87" t="b">
        <v>0</v>
      </c>
      <c r="I87" t="b">
        <v>0</v>
      </c>
      <c r="J87" t="s">
        <v>317</v>
      </c>
      <c r="K87" t="str">
        <f t="shared" si="1"/>
        <v>USG</v>
      </c>
    </row>
    <row r="88" spans="1:11" x14ac:dyDescent="0.25">
      <c r="A88" t="s">
        <v>349</v>
      </c>
      <c r="B88">
        <v>3600</v>
      </c>
      <c r="C88">
        <v>3.7854120000000002E-3</v>
      </c>
      <c r="D88">
        <v>1</v>
      </c>
      <c r="E88" t="b">
        <v>1</v>
      </c>
      <c r="F88" t="b">
        <v>0</v>
      </c>
      <c r="G88" t="b">
        <v>0</v>
      </c>
      <c r="H88" t="b">
        <v>0</v>
      </c>
      <c r="I88" t="b">
        <v>0</v>
      </c>
      <c r="J88" t="s">
        <v>317</v>
      </c>
      <c r="K88" t="str">
        <f t="shared" si="1"/>
        <v>USG</v>
      </c>
    </row>
    <row r="89" spans="1:11" x14ac:dyDescent="0.25">
      <c r="A89" t="s">
        <v>350</v>
      </c>
      <c r="B89">
        <v>86400</v>
      </c>
      <c r="C89">
        <v>3.7854120000000002E-3</v>
      </c>
      <c r="D89">
        <v>1</v>
      </c>
      <c r="E89" t="b">
        <v>1</v>
      </c>
      <c r="F89" t="b">
        <v>0</v>
      </c>
      <c r="G89" t="b">
        <v>0</v>
      </c>
      <c r="H89" t="b">
        <v>0</v>
      </c>
      <c r="I89" t="b">
        <v>0</v>
      </c>
      <c r="J89" t="s">
        <v>317</v>
      </c>
      <c r="K89" t="str">
        <f t="shared" si="1"/>
        <v>USG</v>
      </c>
    </row>
    <row r="90" spans="1:11" x14ac:dyDescent="0.25">
      <c r="A90" t="s">
        <v>351</v>
      </c>
      <c r="B90">
        <v>86400</v>
      </c>
      <c r="C90">
        <v>0.16365924000000001</v>
      </c>
      <c r="D90">
        <v>1</v>
      </c>
      <c r="E90" t="b">
        <v>1</v>
      </c>
      <c r="F90" t="b">
        <v>0</v>
      </c>
      <c r="G90" t="b">
        <v>0</v>
      </c>
      <c r="H90" t="b">
        <v>0</v>
      </c>
      <c r="I90" t="b">
        <v>1</v>
      </c>
      <c r="J90" t="s">
        <v>128</v>
      </c>
      <c r="K90" t="str">
        <f t="shared" si="1"/>
        <v>UK Barrels</v>
      </c>
    </row>
    <row r="91" spans="1:11" x14ac:dyDescent="0.25">
      <c r="A91" t="s">
        <v>352</v>
      </c>
      <c r="B91">
        <v>86400</v>
      </c>
      <c r="C91">
        <v>0.1192404712</v>
      </c>
      <c r="D91">
        <v>1</v>
      </c>
      <c r="E91" t="b">
        <v>1</v>
      </c>
      <c r="F91" t="b">
        <v>0</v>
      </c>
      <c r="G91" t="b">
        <v>0</v>
      </c>
      <c r="H91" t="b">
        <v>0</v>
      </c>
      <c r="I91" t="b">
        <v>1</v>
      </c>
      <c r="J91" t="s">
        <v>128</v>
      </c>
      <c r="K91" t="str">
        <f t="shared" si="1"/>
        <v>US Barrels</v>
      </c>
    </row>
    <row r="92" spans="1:11" x14ac:dyDescent="0.25">
      <c r="A92" t="s">
        <v>353</v>
      </c>
      <c r="B92">
        <v>86400</v>
      </c>
      <c r="C92">
        <v>0.15898729492999999</v>
      </c>
      <c r="D92">
        <v>1</v>
      </c>
      <c r="E92" t="b">
        <v>1</v>
      </c>
      <c r="F92" t="b">
        <v>0</v>
      </c>
      <c r="G92" t="b">
        <v>0</v>
      </c>
      <c r="H92" t="b">
        <v>0</v>
      </c>
      <c r="I92" t="b">
        <v>0</v>
      </c>
      <c r="J92" t="s">
        <v>317</v>
      </c>
      <c r="K92" t="str">
        <f t="shared" si="1"/>
        <v>Petroleum Barrels</v>
      </c>
    </row>
    <row r="93" spans="1:11" x14ac:dyDescent="0.25">
      <c r="A93" t="s">
        <v>354</v>
      </c>
      <c r="B93">
        <v>1</v>
      </c>
      <c r="C93">
        <v>1</v>
      </c>
      <c r="D93">
        <v>1</v>
      </c>
      <c r="E93" t="b">
        <v>1</v>
      </c>
      <c r="F93" t="b">
        <v>1</v>
      </c>
      <c r="G93" t="b">
        <v>0</v>
      </c>
      <c r="H93" t="b">
        <v>0</v>
      </c>
      <c r="I93" t="b">
        <v>1</v>
      </c>
      <c r="J93" t="s">
        <v>128</v>
      </c>
      <c r="K93" t="str">
        <f t="shared" si="1"/>
        <v>Sm³</v>
      </c>
    </row>
    <row r="94" spans="1:11" x14ac:dyDescent="0.25">
      <c r="A94" t="s">
        <v>355</v>
      </c>
      <c r="B94">
        <v>60</v>
      </c>
      <c r="C94">
        <v>1</v>
      </c>
      <c r="D94">
        <v>1</v>
      </c>
      <c r="E94" t="b">
        <v>1</v>
      </c>
      <c r="F94" t="b">
        <v>1</v>
      </c>
      <c r="G94" t="b">
        <v>0</v>
      </c>
      <c r="H94" t="b">
        <v>0</v>
      </c>
      <c r="I94" t="b">
        <v>1</v>
      </c>
      <c r="J94" t="s">
        <v>128</v>
      </c>
      <c r="K94" t="str">
        <f t="shared" si="1"/>
        <v>Sm³</v>
      </c>
    </row>
    <row r="95" spans="1:11" x14ac:dyDescent="0.25">
      <c r="A95" t="s">
        <v>356</v>
      </c>
      <c r="B95">
        <v>3600</v>
      </c>
      <c r="C95">
        <v>1</v>
      </c>
      <c r="D95">
        <v>1</v>
      </c>
      <c r="E95" t="b">
        <v>1</v>
      </c>
      <c r="F95" t="b">
        <v>1</v>
      </c>
      <c r="G95" t="b">
        <v>0</v>
      </c>
      <c r="H95" t="b">
        <v>0</v>
      </c>
      <c r="I95" t="b">
        <v>1</v>
      </c>
      <c r="J95" t="s">
        <v>128</v>
      </c>
      <c r="K95" t="str">
        <f t="shared" si="1"/>
        <v>Sm³</v>
      </c>
    </row>
    <row r="96" spans="1:11" x14ac:dyDescent="0.25">
      <c r="A96" t="s">
        <v>357</v>
      </c>
      <c r="B96">
        <v>86400</v>
      </c>
      <c r="C96">
        <v>1</v>
      </c>
      <c r="D96">
        <v>1</v>
      </c>
      <c r="E96" t="b">
        <v>1</v>
      </c>
      <c r="F96" t="b">
        <v>1</v>
      </c>
      <c r="G96" t="b">
        <v>0</v>
      </c>
      <c r="H96" t="b">
        <v>0</v>
      </c>
      <c r="I96" t="b">
        <v>1</v>
      </c>
      <c r="J96" t="s">
        <v>128</v>
      </c>
      <c r="K96" t="str">
        <f t="shared" si="1"/>
        <v>Sm³</v>
      </c>
    </row>
    <row r="97" spans="1:11" x14ac:dyDescent="0.25">
      <c r="A97" t="s">
        <v>358</v>
      </c>
      <c r="B97">
        <v>1</v>
      </c>
      <c r="C97">
        <v>2.8316846999999999E-2</v>
      </c>
      <c r="D97">
        <v>1</v>
      </c>
      <c r="E97" t="b">
        <v>1</v>
      </c>
      <c r="F97" t="b">
        <v>1</v>
      </c>
      <c r="G97" t="b">
        <v>0</v>
      </c>
      <c r="H97" t="b">
        <v>0</v>
      </c>
      <c r="I97" t="b">
        <v>0</v>
      </c>
      <c r="J97" t="s">
        <v>317</v>
      </c>
      <c r="K97" t="str">
        <f t="shared" si="1"/>
        <v>Scf</v>
      </c>
    </row>
    <row r="98" spans="1:11" x14ac:dyDescent="0.25">
      <c r="A98" t="s">
        <v>359</v>
      </c>
      <c r="B98">
        <v>60</v>
      </c>
      <c r="C98">
        <v>2.8316846999999999E-2</v>
      </c>
      <c r="D98">
        <v>1</v>
      </c>
      <c r="E98" t="b">
        <v>1</v>
      </c>
      <c r="F98" t="b">
        <v>1</v>
      </c>
      <c r="G98" t="b">
        <v>0</v>
      </c>
      <c r="H98" t="b">
        <v>0</v>
      </c>
      <c r="I98" t="b">
        <v>0</v>
      </c>
      <c r="J98" t="s">
        <v>317</v>
      </c>
      <c r="K98" t="str">
        <f t="shared" si="1"/>
        <v>Scf</v>
      </c>
    </row>
    <row r="99" spans="1:11" x14ac:dyDescent="0.25">
      <c r="A99" t="s">
        <v>360</v>
      </c>
      <c r="B99">
        <v>3600</v>
      </c>
      <c r="C99">
        <v>2.8316846999999999E-2</v>
      </c>
      <c r="D99">
        <v>1</v>
      </c>
      <c r="E99" t="b">
        <v>1</v>
      </c>
      <c r="F99" t="b">
        <v>1</v>
      </c>
      <c r="G99" t="b">
        <v>0</v>
      </c>
      <c r="H99" t="b">
        <v>0</v>
      </c>
      <c r="I99" t="b">
        <v>0</v>
      </c>
      <c r="J99" t="s">
        <v>317</v>
      </c>
      <c r="K99" t="str">
        <f t="shared" si="1"/>
        <v>Scf</v>
      </c>
    </row>
    <row r="100" spans="1:11" x14ac:dyDescent="0.25">
      <c r="A100" t="s">
        <v>361</v>
      </c>
      <c r="B100">
        <v>86400</v>
      </c>
      <c r="C100">
        <v>2.8316846999999999E-2</v>
      </c>
      <c r="D100">
        <v>1</v>
      </c>
      <c r="E100" t="b">
        <v>1</v>
      </c>
      <c r="F100" t="b">
        <v>1</v>
      </c>
      <c r="G100" t="b">
        <v>0</v>
      </c>
      <c r="H100" t="b">
        <v>0</v>
      </c>
      <c r="I100" t="b">
        <v>0</v>
      </c>
      <c r="J100" t="s">
        <v>317</v>
      </c>
      <c r="K100" t="str">
        <f t="shared" si="1"/>
        <v>Scf</v>
      </c>
    </row>
    <row r="101" spans="1:11" x14ac:dyDescent="0.25">
      <c r="A101" t="s">
        <v>362</v>
      </c>
      <c r="B101">
        <v>1</v>
      </c>
      <c r="C101">
        <v>1</v>
      </c>
      <c r="D101">
        <v>1</v>
      </c>
      <c r="E101" t="b">
        <v>1</v>
      </c>
      <c r="F101" t="b">
        <v>0</v>
      </c>
      <c r="G101" t="b">
        <v>0</v>
      </c>
      <c r="H101" t="b">
        <v>1</v>
      </c>
      <c r="I101" t="b">
        <v>1</v>
      </c>
      <c r="J101" t="s">
        <v>128</v>
      </c>
      <c r="K101" t="str">
        <f t="shared" si="1"/>
        <v>Nm³</v>
      </c>
    </row>
    <row r="102" spans="1:11" x14ac:dyDescent="0.25">
      <c r="A102" t="s">
        <v>363</v>
      </c>
      <c r="B102">
        <v>60</v>
      </c>
      <c r="C102">
        <v>1</v>
      </c>
      <c r="D102">
        <v>1</v>
      </c>
      <c r="E102" t="b">
        <v>1</v>
      </c>
      <c r="F102" t="b">
        <v>0</v>
      </c>
      <c r="G102" t="b">
        <v>0</v>
      </c>
      <c r="H102" t="b">
        <v>1</v>
      </c>
      <c r="I102" t="b">
        <v>1</v>
      </c>
      <c r="J102" t="s">
        <v>128</v>
      </c>
      <c r="K102" t="str">
        <f t="shared" si="1"/>
        <v>Nm³</v>
      </c>
    </row>
    <row r="103" spans="1:11" x14ac:dyDescent="0.25">
      <c r="A103" t="s">
        <v>364</v>
      </c>
      <c r="B103">
        <v>3600</v>
      </c>
      <c r="C103">
        <v>1</v>
      </c>
      <c r="D103">
        <v>1</v>
      </c>
      <c r="E103" t="b">
        <v>1</v>
      </c>
      <c r="F103" t="b">
        <v>0</v>
      </c>
      <c r="G103" t="b">
        <v>0</v>
      </c>
      <c r="H103" t="b">
        <v>1</v>
      </c>
      <c r="I103" t="b">
        <v>1</v>
      </c>
      <c r="J103" t="s">
        <v>128</v>
      </c>
      <c r="K103" t="str">
        <f t="shared" si="1"/>
        <v>Nm³</v>
      </c>
    </row>
    <row r="104" spans="1:11" x14ac:dyDescent="0.25">
      <c r="A104" t="s">
        <v>365</v>
      </c>
      <c r="B104">
        <v>86400</v>
      </c>
      <c r="C104">
        <v>1</v>
      </c>
      <c r="D104">
        <v>1</v>
      </c>
      <c r="E104" t="b">
        <v>1</v>
      </c>
      <c r="F104" t="b">
        <v>0</v>
      </c>
      <c r="G104" t="b">
        <v>0</v>
      </c>
      <c r="H104" t="b">
        <v>1</v>
      </c>
      <c r="I104" t="b">
        <v>1</v>
      </c>
      <c r="J104" t="s">
        <v>128</v>
      </c>
      <c r="K104" t="str">
        <f t="shared" si="1"/>
        <v>Nm³</v>
      </c>
    </row>
    <row r="105" spans="1:11" x14ac:dyDescent="0.25">
      <c r="A105" t="s">
        <v>366</v>
      </c>
      <c r="B105">
        <v>1</v>
      </c>
      <c r="C105">
        <v>2.8316846999999999E-2</v>
      </c>
      <c r="D105">
        <v>1</v>
      </c>
      <c r="E105" t="b">
        <v>1</v>
      </c>
      <c r="F105" t="b">
        <v>0</v>
      </c>
      <c r="G105" t="b">
        <v>0</v>
      </c>
      <c r="H105" t="b">
        <v>1</v>
      </c>
      <c r="I105" t="b">
        <v>0</v>
      </c>
      <c r="J105" t="s">
        <v>317</v>
      </c>
      <c r="K105" t="str">
        <f t="shared" si="1"/>
        <v>Ncf</v>
      </c>
    </row>
    <row r="106" spans="1:11" x14ac:dyDescent="0.25">
      <c r="A106" t="s">
        <v>367</v>
      </c>
      <c r="B106">
        <v>60</v>
      </c>
      <c r="C106">
        <v>2.8316846999999999E-2</v>
      </c>
      <c r="D106">
        <v>1</v>
      </c>
      <c r="E106" t="b">
        <v>1</v>
      </c>
      <c r="F106" t="b">
        <v>0</v>
      </c>
      <c r="G106" t="b">
        <v>0</v>
      </c>
      <c r="H106" t="b">
        <v>1</v>
      </c>
      <c r="I106" t="b">
        <v>0</v>
      </c>
      <c r="J106" t="s">
        <v>317</v>
      </c>
      <c r="K106" t="str">
        <f t="shared" si="1"/>
        <v>Ncf</v>
      </c>
    </row>
    <row r="107" spans="1:11" x14ac:dyDescent="0.25">
      <c r="A107" t="s">
        <v>368</v>
      </c>
      <c r="B107">
        <v>3600</v>
      </c>
      <c r="C107">
        <v>2.8316846999999999E-2</v>
      </c>
      <c r="D107">
        <v>1</v>
      </c>
      <c r="E107" t="b">
        <v>1</v>
      </c>
      <c r="F107" t="b">
        <v>0</v>
      </c>
      <c r="G107" t="b">
        <v>0</v>
      </c>
      <c r="H107" t="b">
        <v>1</v>
      </c>
      <c r="I107" t="b">
        <v>0</v>
      </c>
      <c r="J107" t="s">
        <v>317</v>
      </c>
      <c r="K107" t="str">
        <f t="shared" si="1"/>
        <v>Ncf</v>
      </c>
    </row>
    <row r="108" spans="1:11" x14ac:dyDescent="0.25">
      <c r="A108" t="s">
        <v>369</v>
      </c>
      <c r="B108">
        <v>86400</v>
      </c>
      <c r="C108">
        <v>2.8316846999999999E-2</v>
      </c>
      <c r="D108">
        <v>1</v>
      </c>
      <c r="E108" t="b">
        <v>1</v>
      </c>
      <c r="F108" t="b">
        <v>0</v>
      </c>
      <c r="G108" t="b">
        <v>0</v>
      </c>
      <c r="H108" t="b">
        <v>1</v>
      </c>
      <c r="I108" t="b">
        <v>0</v>
      </c>
      <c r="J108" t="s">
        <v>317</v>
      </c>
      <c r="K108" t="str">
        <f t="shared" si="1"/>
        <v>Ncf</v>
      </c>
    </row>
    <row r="109" spans="1:11" x14ac:dyDescent="0.25">
      <c r="A109" t="s">
        <v>370</v>
      </c>
      <c r="B109">
        <v>1</v>
      </c>
      <c r="C109">
        <v>2.8316846999999999E-2</v>
      </c>
      <c r="D109">
        <v>1</v>
      </c>
      <c r="E109" t="b">
        <v>1</v>
      </c>
      <c r="F109" t="b">
        <v>0</v>
      </c>
      <c r="G109" t="b">
        <v>1</v>
      </c>
      <c r="H109" t="b">
        <v>0</v>
      </c>
      <c r="I109" t="b">
        <v>0</v>
      </c>
      <c r="J109" t="s">
        <v>317</v>
      </c>
      <c r="K109" t="str">
        <f t="shared" si="1"/>
        <v>Scf</v>
      </c>
    </row>
    <row r="110" spans="1:11" x14ac:dyDescent="0.25">
      <c r="A110" t="s">
        <v>371</v>
      </c>
      <c r="B110">
        <v>60</v>
      </c>
      <c r="C110">
        <v>2.8316846999999999E-2</v>
      </c>
      <c r="D110">
        <v>1</v>
      </c>
      <c r="E110" t="b">
        <v>1</v>
      </c>
      <c r="F110" t="b">
        <v>0</v>
      </c>
      <c r="G110" t="b">
        <v>1</v>
      </c>
      <c r="H110" t="b">
        <v>0</v>
      </c>
      <c r="I110" t="b">
        <v>0</v>
      </c>
      <c r="J110" t="s">
        <v>317</v>
      </c>
      <c r="K110" t="str">
        <f t="shared" si="1"/>
        <v>Scf</v>
      </c>
    </row>
    <row r="111" spans="1:11" x14ac:dyDescent="0.25">
      <c r="A111" t="s">
        <v>372</v>
      </c>
      <c r="B111">
        <v>3600</v>
      </c>
      <c r="C111">
        <v>2.8316846999999999E-2</v>
      </c>
      <c r="D111">
        <v>1</v>
      </c>
      <c r="E111" t="b">
        <v>1</v>
      </c>
      <c r="F111" t="b">
        <v>0</v>
      </c>
      <c r="G111" t="b">
        <v>1</v>
      </c>
      <c r="H111" t="b">
        <v>0</v>
      </c>
      <c r="I111" t="b">
        <v>0</v>
      </c>
      <c r="J111" t="s">
        <v>317</v>
      </c>
      <c r="K111" t="str">
        <f t="shared" si="1"/>
        <v>Scf</v>
      </c>
    </row>
    <row r="112" spans="1:11" x14ac:dyDescent="0.25">
      <c r="A112" t="s">
        <v>373</v>
      </c>
      <c r="B112">
        <v>86400</v>
      </c>
      <c r="C112">
        <v>2.8316846999999999E-2</v>
      </c>
      <c r="D112">
        <v>1</v>
      </c>
      <c r="E112" t="b">
        <v>1</v>
      </c>
      <c r="F112" t="b">
        <v>0</v>
      </c>
      <c r="G112" t="b">
        <v>1</v>
      </c>
      <c r="H112" t="b">
        <v>0</v>
      </c>
      <c r="I112" t="b">
        <v>0</v>
      </c>
      <c r="J112" t="s">
        <v>317</v>
      </c>
      <c r="K112" t="str">
        <f t="shared" si="1"/>
        <v>Scf</v>
      </c>
    </row>
    <row r="114" spans="1:12" x14ac:dyDescent="0.25">
      <c r="A114" s="100" t="s">
        <v>374</v>
      </c>
      <c r="B114" s="100" t="s">
        <v>303</v>
      </c>
      <c r="C114" s="100" t="s">
        <v>304</v>
      </c>
      <c r="D114" s="100" t="s">
        <v>305</v>
      </c>
      <c r="E114" s="100" t="s">
        <v>306</v>
      </c>
      <c r="F114" s="100" t="s">
        <v>307</v>
      </c>
      <c r="G114" s="100" t="s">
        <v>308</v>
      </c>
      <c r="H114" s="100" t="s">
        <v>309</v>
      </c>
      <c r="I114" s="100" t="s">
        <v>310</v>
      </c>
      <c r="J114" s="100" t="s">
        <v>311</v>
      </c>
      <c r="K114" s="100" t="s">
        <v>312</v>
      </c>
      <c r="L114" s="100" t="s">
        <v>948</v>
      </c>
    </row>
    <row r="115" spans="1:12" x14ac:dyDescent="0.25">
      <c r="A115" t="s">
        <v>364</v>
      </c>
      <c r="B115">
        <f>VLOOKUP($A$115,$A$50:$K$112,2,FALSE)</f>
        <v>3600</v>
      </c>
      <c r="C115">
        <f>VLOOKUP($A$115,$A$50:$K$112,3,FALSE)</f>
        <v>1</v>
      </c>
      <c r="D115">
        <f>VLOOKUP($A$115,$A$50:$K$112,4,FALSE)</f>
        <v>1</v>
      </c>
      <c r="E115" t="b">
        <f>VLOOKUP($A$115,$A$50:$K$112,5,FALSE)</f>
        <v>1</v>
      </c>
      <c r="F115" t="b">
        <f>VLOOKUP($A$115,$A$50:$K$112,6,FALSE)</f>
        <v>0</v>
      </c>
      <c r="G115" t="b">
        <f>VLOOKUP($A$115,$A$50:$K$112,7,FALSE)</f>
        <v>0</v>
      </c>
      <c r="H115" t="b">
        <f>VLOOKUP($A$115,$A$50:$K$112,8,FALSE)</f>
        <v>1</v>
      </c>
      <c r="I115" t="b">
        <f>VLOOKUP($A$115,$A$50:$K$112,9,FALSE)</f>
        <v>1</v>
      </c>
      <c r="J115" t="str">
        <f>VLOOKUP($A$115,$A$50:$K$112,10,FALSE)</f>
        <v>kg/s</v>
      </c>
      <c r="K115" t="str">
        <f>VLOOKUP($A$115,$A$50:$K$112,11,FALSE)</f>
        <v>Nm³</v>
      </c>
      <c r="L115" t="str">
        <f>VLOOKUP($J$115,$A$50:$K$112,11,FALSE)</f>
        <v>kg</v>
      </c>
    </row>
    <row r="117" spans="1:12" x14ac:dyDescent="0.25">
      <c r="A117" t="s">
        <v>101</v>
      </c>
      <c r="B117" t="s">
        <v>375</v>
      </c>
    </row>
    <row r="118" spans="1:12" x14ac:dyDescent="0.25">
      <c r="A118" t="s">
        <v>131</v>
      </c>
      <c r="B118">
        <v>1</v>
      </c>
    </row>
    <row r="119" spans="1:12" x14ac:dyDescent="0.25">
      <c r="A119" t="s">
        <v>376</v>
      </c>
      <c r="B119">
        <v>16.018463369999999</v>
      </c>
    </row>
    <row r="120" spans="1:12" x14ac:dyDescent="0.25">
      <c r="A120" t="s">
        <v>377</v>
      </c>
      <c r="B120">
        <v>99.776372660000007</v>
      </c>
    </row>
    <row r="122" spans="1:12" s="100" customFormat="1" x14ac:dyDescent="0.25">
      <c r="A122" s="100" t="s">
        <v>378</v>
      </c>
      <c r="B122" s="100" t="s">
        <v>379</v>
      </c>
      <c r="C122" s="100" t="s">
        <v>380</v>
      </c>
      <c r="D122" s="100" t="s">
        <v>381</v>
      </c>
    </row>
    <row r="123" spans="1:12" x14ac:dyDescent="0.25">
      <c r="A123">
        <v>1.1147</v>
      </c>
      <c r="B123" t="s">
        <v>131</v>
      </c>
      <c r="C123">
        <f>USER_DENSITY*VLOOKUP(USER_DENSITY_UNITS,$A$118:$B$120,2,FALSE)</f>
        <v>1.1147</v>
      </c>
      <c r="D123" s="105" t="s">
        <v>382</v>
      </c>
    </row>
    <row r="125" spans="1:12" x14ac:dyDescent="0.25">
      <c r="A125" s="100" t="s">
        <v>406</v>
      </c>
      <c r="B125" s="100" t="s">
        <v>419</v>
      </c>
      <c r="C125" s="100" t="s">
        <v>420</v>
      </c>
    </row>
    <row r="126" spans="1:12" x14ac:dyDescent="0.25">
      <c r="A126" t="s">
        <v>407</v>
      </c>
      <c r="B126" t="s">
        <v>822</v>
      </c>
      <c r="C126" t="b">
        <v>0</v>
      </c>
    </row>
    <row r="127" spans="1:12" x14ac:dyDescent="0.25">
      <c r="A127" t="s">
        <v>408</v>
      </c>
      <c r="B127" t="s">
        <v>816</v>
      </c>
      <c r="C127" t="b">
        <v>0</v>
      </c>
    </row>
    <row r="128" spans="1:12" x14ac:dyDescent="0.25">
      <c r="A128" t="s">
        <v>409</v>
      </c>
      <c r="B128" t="s">
        <v>817</v>
      </c>
      <c r="C128" t="b">
        <v>0</v>
      </c>
    </row>
    <row r="129" spans="1:3" x14ac:dyDescent="0.25">
      <c r="A129" t="s">
        <v>410</v>
      </c>
      <c r="B129" t="s">
        <v>821</v>
      </c>
      <c r="C129" t="b">
        <v>0</v>
      </c>
    </row>
    <row r="130" spans="1:3" x14ac:dyDescent="0.25">
      <c r="A130" t="s">
        <v>411</v>
      </c>
      <c r="B130" t="s">
        <v>421</v>
      </c>
      <c r="C130" t="b">
        <v>1</v>
      </c>
    </row>
    <row r="131" spans="1:3" x14ac:dyDescent="0.25">
      <c r="A131" t="s">
        <v>412</v>
      </c>
      <c r="B131" t="s">
        <v>422</v>
      </c>
      <c r="C131" t="b">
        <v>1</v>
      </c>
    </row>
    <row r="132" spans="1:3" x14ac:dyDescent="0.25">
      <c r="A132" t="s">
        <v>413</v>
      </c>
      <c r="B132" t="s">
        <v>423</v>
      </c>
      <c r="C132" t="b">
        <v>1</v>
      </c>
    </row>
    <row r="133" spans="1:3" x14ac:dyDescent="0.25">
      <c r="A133" t="s">
        <v>414</v>
      </c>
      <c r="B133" t="s">
        <v>818</v>
      </c>
      <c r="C133" t="b">
        <v>0</v>
      </c>
    </row>
    <row r="134" spans="1:3" x14ac:dyDescent="0.25">
      <c r="A134" t="s">
        <v>415</v>
      </c>
      <c r="B134" t="s">
        <v>819</v>
      </c>
      <c r="C134" t="b">
        <v>0</v>
      </c>
    </row>
    <row r="135" spans="1:3" x14ac:dyDescent="0.25">
      <c r="A135" t="s">
        <v>416</v>
      </c>
      <c r="B135" t="s">
        <v>820</v>
      </c>
      <c r="C135" t="b">
        <v>0</v>
      </c>
    </row>
    <row r="136" spans="1:3" x14ac:dyDescent="0.25">
      <c r="A136" t="s">
        <v>417</v>
      </c>
      <c r="B136" t="s">
        <v>418</v>
      </c>
      <c r="C136" t="b">
        <v>0</v>
      </c>
    </row>
    <row r="137" spans="1:3" x14ac:dyDescent="0.25">
      <c r="A137" t="s">
        <v>885</v>
      </c>
      <c r="B137" t="s">
        <v>402</v>
      </c>
      <c r="C137" t="b">
        <v>0</v>
      </c>
    </row>
    <row r="138" spans="1:3" x14ac:dyDescent="0.25">
      <c r="A138" t="s">
        <v>886</v>
      </c>
      <c r="B138" t="s">
        <v>887</v>
      </c>
      <c r="C138" t="b">
        <v>0</v>
      </c>
    </row>
    <row r="139" spans="1:3" x14ac:dyDescent="0.25">
      <c r="A139" t="s">
        <v>888</v>
      </c>
      <c r="B139" t="s">
        <v>889</v>
      </c>
      <c r="C139" t="b">
        <v>0</v>
      </c>
    </row>
    <row r="140" spans="1:3" x14ac:dyDescent="0.25">
      <c r="A140" t="s">
        <v>890</v>
      </c>
      <c r="B140" t="s">
        <v>891</v>
      </c>
      <c r="C140" t="b">
        <v>0</v>
      </c>
    </row>
    <row r="141" spans="1:3" x14ac:dyDescent="0.25">
      <c r="A141" t="s">
        <v>892</v>
      </c>
      <c r="B141" t="s">
        <v>893</v>
      </c>
      <c r="C141" t="b">
        <v>0</v>
      </c>
    </row>
  </sheetData>
  <conditionalFormatting sqref="C126:C135">
    <cfRule type="cellIs" dxfId="1" priority="2" operator="equal">
      <formula>TRUE</formula>
    </cfRule>
  </conditionalFormatting>
  <conditionalFormatting sqref="C136:C141">
    <cfRule type="cellIs" dxfId="0" priority="1" operator="equal">
      <formula>TRUE</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2:E13"/>
  <sheetViews>
    <sheetView workbookViewId="0"/>
  </sheetViews>
  <sheetFormatPr defaultRowHeight="15" x14ac:dyDescent="0.25"/>
  <cols>
    <col min="1" max="1" width="60.85546875" bestFit="1" customWidth="1"/>
    <col min="2" max="2" width="6" bestFit="1" customWidth="1"/>
    <col min="3" max="3" width="67.7109375" bestFit="1" customWidth="1"/>
    <col min="4" max="4" width="5.42578125" bestFit="1" customWidth="1"/>
    <col min="5" max="5" width="37.42578125" bestFit="1" customWidth="1"/>
    <col min="6" max="6" width="21.28515625" customWidth="1"/>
    <col min="7" max="7" width="17.42578125" customWidth="1"/>
  </cols>
  <sheetData>
    <row r="2" spans="1:5" x14ac:dyDescent="0.25">
      <c r="A2" s="106"/>
      <c r="E2" s="104"/>
    </row>
    <row r="3" spans="1:5" x14ac:dyDescent="0.25">
      <c r="E3" s="104"/>
    </row>
    <row r="4" spans="1:5" x14ac:dyDescent="0.25">
      <c r="E4" s="104"/>
    </row>
    <row r="5" spans="1:5" x14ac:dyDescent="0.25">
      <c r="E5" s="104"/>
    </row>
    <row r="6" spans="1:5" x14ac:dyDescent="0.25">
      <c r="E6" s="104"/>
    </row>
    <row r="7" spans="1:5" x14ac:dyDescent="0.25">
      <c r="A7" s="106"/>
    </row>
    <row r="8" spans="1:5" x14ac:dyDescent="0.25">
      <c r="E8" s="104"/>
    </row>
    <row r="10" spans="1:5" x14ac:dyDescent="0.25">
      <c r="E10" s="104"/>
    </row>
    <row r="13" spans="1:5" x14ac:dyDescent="0.25">
      <c r="E13" s="104"/>
    </row>
  </sheetData>
  <sortState xmlns:xlrd2="http://schemas.microsoft.com/office/spreadsheetml/2017/richdata2" ref="A2:I2">
    <sortCondition ref="B1"/>
  </sortState>
  <dataConsolid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296</vt:i4>
      </vt:variant>
    </vt:vector>
  </HeadingPairs>
  <TitlesOfParts>
    <vt:vector size="311" baseType="lpstr">
      <vt:lpstr>Front Page</vt:lpstr>
      <vt:lpstr>FPD580 Tag Plate</vt:lpstr>
      <vt:lpstr>FPD580 MIS Sheet</vt:lpstr>
      <vt:lpstr>FPD580 TX Instruction</vt:lpstr>
      <vt:lpstr>FPD580 Setup</vt:lpstr>
      <vt:lpstr>FPD580 MIS Data</vt:lpstr>
      <vt:lpstr>FPD580 TX Info</vt:lpstr>
      <vt:lpstr>TB MIS Sheet</vt:lpstr>
      <vt:lpstr>TB Tag Plate</vt:lpstr>
      <vt:lpstr>TB PED Data</vt:lpstr>
      <vt:lpstr>TB Model Data</vt:lpstr>
      <vt:lpstr>TB Model Data 100</vt:lpstr>
      <vt:lpstr>TB Calculation Data</vt:lpstr>
      <vt:lpstr>Conversions</vt:lpstr>
      <vt:lpstr>SolveDPData</vt:lpstr>
      <vt:lpstr>AppTitle</vt:lpstr>
      <vt:lpstr>CustomerName</vt:lpstr>
      <vt:lpstr>DENSITY_KGM3</vt:lpstr>
      <vt:lpstr>DPFlowProductLookup</vt:lpstr>
      <vt:lpstr>Flange_t</vt:lpstr>
      <vt:lpstr>FLOW_CONVERT_ATNTP</vt:lpstr>
      <vt:lpstr>FLOW_CONVERT_ATSTP</vt:lpstr>
      <vt:lpstr>FLOW_CONVERT_ATSTP68F</vt:lpstr>
      <vt:lpstr>FLOW_CONVERT_KG</vt:lpstr>
      <vt:lpstr>FLOW_CONVERT_M3</vt:lpstr>
      <vt:lpstr>FLOW_CONVERT_SECS</vt:lpstr>
      <vt:lpstr>FLOW_ISUK</vt:lpstr>
      <vt:lpstr>FLOW_ISVOLUME</vt:lpstr>
      <vt:lpstr>FLOW_NOTTIMEDEPENDENT</vt:lpstr>
      <vt:lpstr>FLOW_OPPOSITEDEFAULT</vt:lpstr>
      <vt:lpstr>FLOW_USER</vt:lpstr>
      <vt:lpstr>FPD580_A_length</vt:lpstr>
      <vt:lpstr>FPD580_Average_nrt</vt:lpstr>
      <vt:lpstr>FPD580_B_DIM</vt:lpstr>
      <vt:lpstr>FPD580_C_DIM</vt:lpstr>
      <vt:lpstr>FPD580_D_DIM</vt:lpstr>
      <vt:lpstr>FPD580_DesignPressure</vt:lpstr>
      <vt:lpstr>FPD580_DesignTemperature</vt:lpstr>
      <vt:lpstr>FPD580_EC_Length</vt:lpstr>
      <vt:lpstr>FPD580_ES_LENGTH</vt:lpstr>
      <vt:lpstr>FPD580_ES_type</vt:lpstr>
      <vt:lpstr>FPD580_F_DIM</vt:lpstr>
      <vt:lpstr>FPD580_Fin_tw</vt:lpstr>
      <vt:lpstr>FPD580_Flange_calc</vt:lpstr>
      <vt:lpstr>FPD580_Flange_CrossRef</vt:lpstr>
      <vt:lpstr>FPD580_Flange_Rating</vt:lpstr>
      <vt:lpstr>FPD580_Flange_t</vt:lpstr>
      <vt:lpstr>FPD580_FlangeStandard</vt:lpstr>
      <vt:lpstr>FPD580_FS</vt:lpstr>
      <vt:lpstr>FPD580_FS_List</vt:lpstr>
      <vt:lpstr>FPD580_G_DIM</vt:lpstr>
      <vt:lpstr>FPD580_Gasket_Calc</vt:lpstr>
      <vt:lpstr>FPD580_Gasket_List</vt:lpstr>
      <vt:lpstr>FPD580_GT</vt:lpstr>
      <vt:lpstr>FPD580_H_DIM</vt:lpstr>
      <vt:lpstr>FPD580_Hole_calc</vt:lpstr>
      <vt:lpstr>FPD580_I_DIM</vt:lpstr>
      <vt:lpstr>FPD580_ISOVALVE</vt:lpstr>
      <vt:lpstr>FPD580_J_length</vt:lpstr>
      <vt:lpstr>FPD580_Length_calc</vt:lpstr>
      <vt:lpstr>FPD580_MIS_CC_NOT_TP1</vt:lpstr>
      <vt:lpstr>FPD580_MIS_CC_TP1</vt:lpstr>
      <vt:lpstr>FPD580_MIS_EC</vt:lpstr>
      <vt:lpstr>FPD580_MIS_EndSupport</vt:lpstr>
      <vt:lpstr>FPD580_MIS_ES</vt:lpstr>
      <vt:lpstr>FPD580_MIS_FlangeSize</vt:lpstr>
      <vt:lpstr>FPD580_MIS_Gasket</vt:lpstr>
      <vt:lpstr>FPD580_MIS_ITEMNUMBER</vt:lpstr>
      <vt:lpstr>FPD580_MIS_ITEMQTY</vt:lpstr>
      <vt:lpstr>FPD580_MIS_ModelType</vt:lpstr>
      <vt:lpstr>FPD580_MIS_NL</vt:lpstr>
      <vt:lpstr>FPD580_MIS_PARTIAL</vt:lpstr>
      <vt:lpstr>FPD580_MIS_PartNumber</vt:lpstr>
      <vt:lpstr>FPD580_MIS_SERIALNUMBERS</vt:lpstr>
      <vt:lpstr>FPD580_MIS_TAGNUMBERS</vt:lpstr>
      <vt:lpstr>FPD580_MIS_ThreadedFlange</vt:lpstr>
      <vt:lpstr>FPD580_MIS_TP3_YN</vt:lpstr>
      <vt:lpstr>FPD580_MIS_TP7_YN</vt:lpstr>
      <vt:lpstr>FPD580_MIS_WELD_STANDOFF</vt:lpstr>
      <vt:lpstr>FPD580_MIS_WELD_TORBAR</vt:lpstr>
      <vt:lpstr>FPD580_Model_list</vt:lpstr>
      <vt:lpstr>FPD580_N_DIM</vt:lpstr>
      <vt:lpstr>FPD580_Neck_L</vt:lpstr>
      <vt:lpstr>FPD580_NRT</vt:lpstr>
      <vt:lpstr>FPD580_P_DIM</vt:lpstr>
      <vt:lpstr>FPD580_PC</vt:lpstr>
      <vt:lpstr>FPD580_PED_Cat</vt:lpstr>
      <vt:lpstr>FPD580_PI_TransmitterPurchaseCode</vt:lpstr>
      <vt:lpstr>FPD580_PIPEID</vt:lpstr>
      <vt:lpstr>FPD580_PROBE_MATERIAL</vt:lpstr>
      <vt:lpstr>FPD580_PT</vt:lpstr>
      <vt:lpstr>FPD580_TGT</vt:lpstr>
      <vt:lpstr>FPD580_TI_DENSITYANDUNITS</vt:lpstr>
      <vt:lpstr>FPD580_TI_DP</vt:lpstr>
      <vt:lpstr>FPD580_TI_DP2</vt:lpstr>
      <vt:lpstr>FPD580_TI_DP3</vt:lpstr>
      <vt:lpstr>FPD580_TI_DPANDUNITS</vt:lpstr>
      <vt:lpstr>FPD580_TI_DPUNITS</vt:lpstr>
      <vt:lpstr>FPD580_TI_DPUNITS2</vt:lpstr>
      <vt:lpstr>FPD580_TI_FLOW</vt:lpstr>
      <vt:lpstr>FPD580_TI_FLOWANDUNITS</vt:lpstr>
      <vt:lpstr>FPD580_TI_FLOWUNITS</vt:lpstr>
      <vt:lpstr>FPD580_TI_IDANDUNITS</vt:lpstr>
      <vt:lpstr>FPD580_TI_ISENTROPIC</vt:lpstr>
      <vt:lpstr>FPD580_TI_MaterialElement</vt:lpstr>
      <vt:lpstr>FPD580_TI_MaterialLookup</vt:lpstr>
      <vt:lpstr>FPD580_TI_MaterialTube</vt:lpstr>
      <vt:lpstr>FPD580_TI_MeterPurchaseCode</vt:lpstr>
      <vt:lpstr>FPD580_TI_OrderItem</vt:lpstr>
      <vt:lpstr>FPD580_TI_OrderNumber</vt:lpstr>
      <vt:lpstr>FPD580_TI_PRESSANDUNITS</vt:lpstr>
      <vt:lpstr>FPD580_TI_REYNOLDS</vt:lpstr>
      <vt:lpstr>FPD580_TI_SerialNumber</vt:lpstr>
      <vt:lpstr>FPD580_TI_StandardDensity</vt:lpstr>
      <vt:lpstr>FPD580_TI_TagNumber</vt:lpstr>
      <vt:lpstr>FPD580_TI_TEMPANDUNITS</vt:lpstr>
      <vt:lpstr>FPD580_WALLT</vt:lpstr>
      <vt:lpstr>FPD580_WELD_STANDOFF</vt:lpstr>
      <vt:lpstr>FPD580_WELD_TORBAR</vt:lpstr>
      <vt:lpstr>FPD585_DiaUnits</vt:lpstr>
      <vt:lpstr>FPD585_DiffPress</vt:lpstr>
      <vt:lpstr>FPD585_DiffPressUnits</vt:lpstr>
      <vt:lpstr>FPD585_DP</vt:lpstr>
      <vt:lpstr>FPD585_DPUnits</vt:lpstr>
      <vt:lpstr>FPD585_FLOW</vt:lpstr>
      <vt:lpstr>FPD585_FlowTotalizer</vt:lpstr>
      <vt:lpstr>FPD585_FLOWUNITS</vt:lpstr>
      <vt:lpstr>FPD585_GasDenUnits</vt:lpstr>
      <vt:lpstr>FPD585_Heater</vt:lpstr>
      <vt:lpstr>FPD585_InterfaceUnit</vt:lpstr>
      <vt:lpstr>FPD585_MassFlowMeterMax</vt:lpstr>
      <vt:lpstr>FPD585_MassFlowUnits</vt:lpstr>
      <vt:lpstr>FPD585_ModelCode</vt:lpstr>
      <vt:lpstr>FPD585_MW</vt:lpstr>
      <vt:lpstr>FPD585_OrderItem</vt:lpstr>
      <vt:lpstr>FPD585_PipeID</vt:lpstr>
      <vt:lpstr>FPD585_RelHumidity</vt:lpstr>
      <vt:lpstr>FPD585_Serial</vt:lpstr>
      <vt:lpstr>FPD585_SpanCheckPress</vt:lpstr>
      <vt:lpstr>FPD585_SpanCheckReg</vt:lpstr>
      <vt:lpstr>FPD585_StackTemp</vt:lpstr>
      <vt:lpstr>FPD585_StaticPressUnits</vt:lpstr>
      <vt:lpstr>FPD585_Tag</vt:lpstr>
      <vt:lpstr>FPD585_TempElement</vt:lpstr>
      <vt:lpstr>FPD585_TempMeterMax</vt:lpstr>
      <vt:lpstr>FPD585_TempUnits</vt:lpstr>
      <vt:lpstr>FPD585_VelUnits</vt:lpstr>
      <vt:lpstr>FPD585_VolFlowUnits</vt:lpstr>
      <vt:lpstr>FPD585_ZFactor</vt:lpstr>
      <vt:lpstr>FS</vt:lpstr>
      <vt:lpstr>Item_Description</vt:lpstr>
      <vt:lpstr>Item_DPatMeterMax</vt:lpstr>
      <vt:lpstr>Item_FlowAtMeterMax</vt:lpstr>
      <vt:lpstr>Item_Fluid</vt:lpstr>
      <vt:lpstr>Item_Material</vt:lpstr>
      <vt:lpstr>Item_ModelNo</vt:lpstr>
      <vt:lpstr>Item_OperatingPressure</vt:lpstr>
      <vt:lpstr>Item_OperatingTemperature</vt:lpstr>
      <vt:lpstr>Item_PipeSize</vt:lpstr>
      <vt:lpstr>Item_PK</vt:lpstr>
      <vt:lpstr>Item_Qty</vt:lpstr>
      <vt:lpstr>Length_Conversion</vt:lpstr>
      <vt:lpstr>LOAD_NONSAP</vt:lpstr>
      <vt:lpstr>MASS_NOTTIMEDEPENDANT</vt:lpstr>
      <vt:lpstr>PED_Category</vt:lpstr>
      <vt:lpstr>PED_Country</vt:lpstr>
      <vt:lpstr>PED_Flange</vt:lpstr>
      <vt:lpstr>PED_Pressure</vt:lpstr>
      <vt:lpstr>PED_Temperature</vt:lpstr>
      <vt:lpstr>PED_TestPressure</vt:lpstr>
      <vt:lpstr>PED_Year</vt:lpstr>
      <vt:lpstr>PRESS_BARA</vt:lpstr>
      <vt:lpstr>PRESS_USER</vt:lpstr>
      <vt:lpstr>PRESS_USER_UNITS</vt:lpstr>
      <vt:lpstr>'FPD580 MIS Sheet'!Print_Area</vt:lpstr>
      <vt:lpstr>'FPD580 Setup'!Print_Area</vt:lpstr>
      <vt:lpstr>'Front Page'!Print_Area</vt:lpstr>
      <vt:lpstr>PurchaseOrderNumber</vt:lpstr>
      <vt:lpstr>SalesOrderItem</vt:lpstr>
      <vt:lpstr>SalesOrderNumber</vt:lpstr>
      <vt:lpstr>SalesOrderQty</vt:lpstr>
      <vt:lpstr>SerialNumber</vt:lpstr>
      <vt:lpstr>SolveDPItem</vt:lpstr>
      <vt:lpstr>SolveDPVersion</vt:lpstr>
      <vt:lpstr>SpreadsheetVersion</vt:lpstr>
      <vt:lpstr>TagNumber</vt:lpstr>
      <vt:lpstr>TB_A_Length</vt:lpstr>
      <vt:lpstr>TB_AverageNRT</vt:lpstr>
      <vt:lpstr>TB_B_Dim</vt:lpstr>
      <vt:lpstr>TB_BAYONET_EXPRESSION</vt:lpstr>
      <vt:lpstr>TB_BIDIRECTIONAL_EXPRESSION</vt:lpstr>
      <vt:lpstr>TB_C_Dim</vt:lpstr>
      <vt:lpstr>TB_CalcData_FS_Override</vt:lpstr>
      <vt:lpstr>TB_CalcData_FS_Units</vt:lpstr>
      <vt:lpstr>TB_CalcData_FS_Value</vt:lpstr>
      <vt:lpstr>TB_CalcData_FS_Value_mm</vt:lpstr>
      <vt:lpstr>TB_CalcData_InsLen_Override</vt:lpstr>
      <vt:lpstr>TB_CalcData_InsLen_Units</vt:lpstr>
      <vt:lpstr>TB_CalcData_InsLen_Value</vt:lpstr>
      <vt:lpstr>TB_CalcData_InsLen_Value_mm</vt:lpstr>
      <vt:lpstr>TB_CalcData_IsoValLen_Override</vt:lpstr>
      <vt:lpstr>TB_CalcData_IsoValLen_Units</vt:lpstr>
      <vt:lpstr>TB_CalcData_IsoValLen_Value</vt:lpstr>
      <vt:lpstr>TB_CalcData_IsoValLen_Value_mm</vt:lpstr>
      <vt:lpstr>TB_CalcData_RetLen_Override</vt:lpstr>
      <vt:lpstr>TB_CalcData_RetLen_Units</vt:lpstr>
      <vt:lpstr>TB_CalcData_RetLen_Value</vt:lpstr>
      <vt:lpstr>TB_CalcData_RetLen_Value_mm</vt:lpstr>
      <vt:lpstr>TB_Conn_type</vt:lpstr>
      <vt:lpstr>TB_CONNTYPE_EXPRESSION</vt:lpstr>
      <vt:lpstr>TB_COOLINGFINS_EXPRESSION</vt:lpstr>
      <vt:lpstr>TB_D_Dim</vt:lpstr>
      <vt:lpstr>TB_Dims</vt:lpstr>
      <vt:lpstr>TB_E_Dim</vt:lpstr>
      <vt:lpstr>TB_EC</vt:lpstr>
      <vt:lpstr>TB_ENDSUPPORT_LOOKUP</vt:lpstr>
      <vt:lpstr>TB_ENDSUPPORT_TRANSLATORS</vt:lpstr>
      <vt:lpstr>TB_ES_LENGTH</vt:lpstr>
      <vt:lpstr>TB_ES_list</vt:lpstr>
      <vt:lpstr>TB_ES_list_TORWIN</vt:lpstr>
      <vt:lpstr>TB_ES_select</vt:lpstr>
      <vt:lpstr>TB_Fin_TW</vt:lpstr>
      <vt:lpstr>TB_flange</vt:lpstr>
      <vt:lpstr>TB_flange_dim</vt:lpstr>
      <vt:lpstr>TB_Flange_list</vt:lpstr>
      <vt:lpstr>TB_FLANGET</vt:lpstr>
      <vt:lpstr>TB_FS</vt:lpstr>
      <vt:lpstr>TB_FS_list</vt:lpstr>
      <vt:lpstr>TB_FS_list_TORWIN</vt:lpstr>
      <vt:lpstr>TB_FS_select</vt:lpstr>
      <vt:lpstr>TB_G_Dim</vt:lpstr>
      <vt:lpstr>TB_GASKET_EXPRESSION</vt:lpstr>
      <vt:lpstr>TB_Gasket_list</vt:lpstr>
      <vt:lpstr>TB_GEARRETRACT_EXPRESSION</vt:lpstr>
      <vt:lpstr>TB_GR_Length</vt:lpstr>
      <vt:lpstr>TB_GR_List</vt:lpstr>
      <vt:lpstr>TB_GT</vt:lpstr>
      <vt:lpstr>TB_GT_two</vt:lpstr>
      <vt:lpstr>TB_H_Dim</vt:lpstr>
      <vt:lpstr>TB_HT_select</vt:lpstr>
      <vt:lpstr>TB_I_Dim</vt:lpstr>
      <vt:lpstr>TB_ISOVALVE</vt:lpstr>
      <vt:lpstr>TB_ISOVALVE_EXPRESSION</vt:lpstr>
      <vt:lpstr>TB_ISOVALVE_FLANGE_EXPRESSION</vt:lpstr>
      <vt:lpstr>TB_ISOVALVE_FLANGE_LIST</vt:lpstr>
      <vt:lpstr>TB_ISOValve_list</vt:lpstr>
      <vt:lpstr>TB_J_Length</vt:lpstr>
      <vt:lpstr>TB_L_Length</vt:lpstr>
      <vt:lpstr>TB_Mach_Fin</vt:lpstr>
      <vt:lpstr>TB_MIS_100</vt:lpstr>
      <vt:lpstr>TB_MIS_BAYONET</vt:lpstr>
      <vt:lpstr>TB_MIS_Bidirectional</vt:lpstr>
      <vt:lpstr>TB_MIS_ConnType_100</vt:lpstr>
      <vt:lpstr>TB_MIS_CoolingFins</vt:lpstr>
      <vt:lpstr>TB_MIS_EndSupport</vt:lpstr>
      <vt:lpstr>TB_MIS_FlangeSize</vt:lpstr>
      <vt:lpstr>TB_MIS_FlangeSize_100</vt:lpstr>
      <vt:lpstr>TB_MIS_Gasket</vt:lpstr>
      <vt:lpstr>TB_MIS_GearRetract</vt:lpstr>
      <vt:lpstr>TB_MIS_IsoValve</vt:lpstr>
      <vt:lpstr>TB_MIS_ITEMNUMBER</vt:lpstr>
      <vt:lpstr>TB_MIS_ITEMQTY</vt:lpstr>
      <vt:lpstr>TB_MIS_ModelType</vt:lpstr>
      <vt:lpstr>TB_MIS_ModelType_100</vt:lpstr>
      <vt:lpstr>TB_MIS_Not100</vt:lpstr>
      <vt:lpstr>TB_MIS_Partial</vt:lpstr>
      <vt:lpstr>TB_MIS_PartNumber</vt:lpstr>
      <vt:lpstr>TB_MIS_PipeID</vt:lpstr>
      <vt:lpstr>TB_MIS_PipeID_100</vt:lpstr>
      <vt:lpstr>TB_MIS_SERIALNUMBERS</vt:lpstr>
      <vt:lpstr>TB_MIS_TAGNUMBERS</vt:lpstr>
      <vt:lpstr>TB_MIS_THREADEDFLANGE</vt:lpstr>
      <vt:lpstr>TB_MIS_WallThickness</vt:lpstr>
      <vt:lpstr>TB_MIS_WallThickness_100</vt:lpstr>
      <vt:lpstr>TB_MIS_WELD_STANDOFF</vt:lpstr>
      <vt:lpstr>TB_MIS_WELD_TORBAR</vt:lpstr>
      <vt:lpstr>TB_Model</vt:lpstr>
      <vt:lpstr>TB_Model_list</vt:lpstr>
      <vt:lpstr>TB_MS_NomBore_100</vt:lpstr>
      <vt:lpstr>TB_N_Dim</vt:lpstr>
      <vt:lpstr>TB_NL</vt:lpstr>
      <vt:lpstr>TB_NRT_select</vt:lpstr>
      <vt:lpstr>TB_P_Dim</vt:lpstr>
      <vt:lpstr>TB_PARTIAL_EXPRESSION</vt:lpstr>
      <vt:lpstr>TB_PC</vt:lpstr>
      <vt:lpstr>TB_PED_Flange_List</vt:lpstr>
      <vt:lpstr>TB_PED_Model_List</vt:lpstr>
      <vt:lpstr>TB_Pipe_NB</vt:lpstr>
      <vt:lpstr>TB_PIPEID</vt:lpstr>
      <vt:lpstr>TB_PT_select</vt:lpstr>
      <vt:lpstr>TB_R_Dim</vt:lpstr>
      <vt:lpstr>TB_SAP_FLANGE_CODE_LOOKUP</vt:lpstr>
      <vt:lpstr>TB_SAP_FLANGE_CODE_TRANSLATORS</vt:lpstr>
      <vt:lpstr>TB_SAP_MODEL_CODE_LOOKUP</vt:lpstr>
      <vt:lpstr>TB_SAP_MODEL_CODE_TRANSLATORS</vt:lpstr>
      <vt:lpstr>TB_Series_select</vt:lpstr>
      <vt:lpstr>TB_TAG_MATERIAL</vt:lpstr>
      <vt:lpstr>TB_TF_List</vt:lpstr>
      <vt:lpstr>TB_THREADEDFLANGE_EXPRESSION</vt:lpstr>
      <vt:lpstr>TB_TORWIN_FLANGE_CODE</vt:lpstr>
      <vt:lpstr>TB_TORWIN_MODEL_CODE</vt:lpstr>
      <vt:lpstr>TB_W_Dim</vt:lpstr>
      <vt:lpstr>TB_WALLT</vt:lpstr>
      <vt:lpstr>TB_WELD_STANDOFF</vt:lpstr>
      <vt:lpstr>TB_WELD_TORBAR</vt:lpstr>
      <vt:lpstr>TB_X_Dim</vt:lpstr>
      <vt:lpstr>TEMP_DEGC</vt:lpstr>
      <vt:lpstr>TEMP_USER</vt:lpstr>
      <vt:lpstr>TEMP_USER_UNITS</vt:lpstr>
      <vt:lpstr>USER_DENSITY</vt:lpstr>
      <vt:lpstr>USER_DENSITY_UNITS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Dye</dc:creator>
  <cp:lastModifiedBy>Greg Millar</cp:lastModifiedBy>
  <cp:lastPrinted>2020-11-24T10:30:58Z</cp:lastPrinted>
  <dcterms:created xsi:type="dcterms:W3CDTF">2015-10-06T11:08:55Z</dcterms:created>
  <dcterms:modified xsi:type="dcterms:W3CDTF">2022-02-28T10:27:51Z</dcterms:modified>
</cp:coreProperties>
</file>