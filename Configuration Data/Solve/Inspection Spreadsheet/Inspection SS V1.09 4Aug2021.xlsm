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ocuments\GitHub\Solve-Configuration\Configuration Data\Solve\Inspection Spreadsheet\"/>
    </mc:Choice>
  </mc:AlternateContent>
  <xr:revisionPtr revIDLastSave="0" documentId="8_{10A55F45-79FB-4366-8875-393E913F7AB3}" xr6:coauthVersionLast="47" xr6:coauthVersionMax="47" xr10:uidLastSave="{00000000-0000-0000-0000-000000000000}"/>
  <bookViews>
    <workbookView xWindow="3195" yWindow="2160" windowWidth="25200" windowHeight="13155" tabRatio="831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Crosstable!$M$44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Crosstable!$A$48:$A$90</definedName>
    <definedName name="CROSSREF_INSPECT">Crosstable!$A$31:$A$46</definedName>
    <definedName name="CROSSREF_MATTRACE">Crosstable!$A$3:$A$29</definedName>
    <definedName name="CROSSREF_PRODUCTCODE">Crosstable!$B$1:$J$1</definedName>
    <definedName name="DENSITY_KGM3">Conversions!$C$123</definedName>
    <definedName name="DPFlowProductLookup">Conversions!$A$126:$C$141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Conversions!$A$146:$B$173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8" i="23" l="1"/>
  <c r="N57" i="23" l="1"/>
  <c r="N56" i="23"/>
  <c r="N55" i="23"/>
  <c r="B31" i="24" l="1"/>
  <c r="C3" i="20" l="1"/>
  <c r="C2" i="20"/>
  <c r="C1" i="20"/>
  <c r="C3" i="19"/>
  <c r="C2" i="19"/>
  <c r="C1" i="19"/>
  <c r="N52" i="23" l="1"/>
  <c r="N53" i="23"/>
  <c r="N54" i="23"/>
  <c r="N65" i="23"/>
  <c r="B26" i="24" l="1"/>
  <c r="B27" i="24"/>
  <c r="B28" i="24"/>
  <c r="B30" i="24"/>
  <c r="B29" i="24"/>
  <c r="C123" i="9" l="1"/>
  <c r="C46" i="9" l="1"/>
  <c r="B14" i="9"/>
  <c r="B13" i="9"/>
  <c r="B12" i="9"/>
  <c r="B11" i="9"/>
  <c r="N75" i="23" l="1"/>
  <c r="N77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<sst xmlns="http://schemas.openxmlformats.org/spreadsheetml/2006/main" count="2021" uniqueCount="614">
  <si>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</si>
  <si>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</si>
  <si>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</si>
  <si>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</si>
  <si>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</si>
  <si>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</si>
  <si>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</si>
  <si>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</si>
  <si>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</si>
  <si>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</si>
  <si>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</si>
  <si>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</si>
  <si>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</si>
  <si>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</si>
  <si>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</si>
  <si>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</si>
  <si>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</si>
  <si>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</si>
  <si>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</si>
  <si>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</si>
  <si>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</si>
  <si>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</si>
  <si>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</si>
  <si>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</si>
  <si>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</si>
  <si>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</si>
  <si>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</si>
  <si>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</si>
  <si>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</si>
  <si>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</si>
  <si>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</si>
  <si>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</si>
  <si>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</si>
  <si>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</si>
  <si>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</si>
  <si>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</si>
  <si>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</si>
  <si>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</si>
  <si>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</si>
  <si>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</si>
  <si>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</si>
  <si>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</si>
  <si>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</si>
  <si>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</si>
  <si>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</si>
  <si>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</si>
  <si>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</si>
  <si>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</si>
  <si>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</si>
  <si>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</si>
  <si>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</si>
  <si>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</si>
  <si>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</si>
  <si>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</si>
  <si>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</si>
  <si>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</si>
  <si>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</si>
  <si>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</si>
  <si>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</si>
  <si>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</si>
  <si>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</si>
  <si>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</si>
  <si>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</si>
  <si>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</si>
  <si>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</si>
  <si>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</si>
  <si>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</si>
  <si>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</si>
  <si>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</si>
  <si>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</si>
  <si>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</si>
  <si>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</si>
  <si>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</si>
  <si>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</si>
  <si>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</si>
  <si>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</si>
  <si>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</si>
  <si>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</si>
  <si>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</si>
  <si>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</si>
  <si>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</si>
  <si>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</si>
  <si>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</si>
  <si>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</si>
  <si>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</si>
  <si>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</si>
  <si>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</si>
  <si>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</si>
  <si>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</si>
  <si>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</si>
  <si>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</si>
  <si>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</si>
  <si>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</si>
  <si>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</si>
  <si>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</si>
  <si>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</si>
  <si>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</si>
  <si>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</si>
  <si>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</si>
  <si>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</si>
  <si>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</si>
  <si>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</si>
  <si>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</si>
  <si>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</si>
  <si>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</si>
  <si>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</si>
  <si>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</si>
  <si>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</si>
  <si>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</si>
  <si>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</si>
  <si>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</si>
  <si>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</si>
  <si>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</si>
  <si>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</si>
  <si>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</si>
  <si>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</si>
  <si>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</si>
  <si>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</si>
  <si>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</si>
  <si>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</si>
  <si>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</si>
  <si>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</si>
  <si>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</si>
  <si>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</si>
  <si>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</si>
  <si>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</si>
  <si>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</si>
  <si>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</si>
  <si>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</si>
  <si>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</si>
  <si>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</si>
  <si>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</si>
  <si>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</si>
  <si>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</si>
  <si>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</si>
  <si>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</si>
  <si>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</si>
  <si>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</si>
  <si>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</si>
  <si>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</si>
  <si>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</si>
  <si>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</si>
  <si>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</si>
  <si>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</si>
  <si>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</si>
  <si>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</si>
  <si>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</si>
  <si>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</si>
  <si>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</si>
  <si>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</si>
  <si>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</si>
  <si>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</si>
  <si>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</si>
  <si>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</si>
  <si>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</si>
  <si>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</si>
  <si>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</si>
  <si>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</si>
  <si>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</si>
  <si>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</si>
  <si>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</si>
  <si>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</si>
  <si>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</si>
  <si>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</si>
  <si>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</si>
  <si>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</si>
  <si>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</si>
  <si>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</si>
  <si>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</si>
  <si>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</si>
  <si>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</si>
  <si>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</si>
  <si>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Tag number</t>
  </si>
  <si>
    <t>Link to sheet</t>
  </si>
  <si>
    <t>Client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</si>
  <si>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</si>
  <si>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</si>
  <si>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</si>
  <si>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</si>
  <si>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</si>
  <si>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</si>
  <si>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</si>
  <si>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</si>
  <si>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</si>
  <si>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</si>
  <si>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</si>
  <si>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</si>
  <si>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</si>
  <si>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</si>
  <si>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</si>
  <si>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</si>
  <si>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</si>
  <si>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</si>
  <si>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</si>
  <si>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</si>
  <si>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</si>
  <si>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</si>
  <si>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</si>
  <si>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</si>
  <si>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</si>
  <si>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</si>
  <si>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</si>
  <si>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</si>
  <si>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</si>
  <si>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</si>
  <si>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</si>
  <si>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</si>
  <si>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</si>
  <si>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</si>
  <si>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</si>
  <si>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</si>
  <si>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</si>
  <si>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</si>
  <si>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</si>
  <si>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</si>
  <si>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</si>
  <si>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</si>
  <si>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</si>
  <si>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</si>
  <si>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</si>
  <si>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</si>
  <si>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</si>
  <si>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</si>
  <si>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</si>
  <si>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</si>
  <si>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</si>
  <si>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</si>
  <si>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</si>
  <si>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</si>
  <si>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</si>
  <si>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</si>
  <si>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</si>
  <si>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</si>
  <si>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</si>
  <si>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</si>
  <si>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</si>
  <si>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</si>
  <si>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</si>
  <si>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</si>
  <si>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</si>
  <si>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</si>
  <si>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</si>
  <si>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</si>
  <si>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</si>
  <si>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</si>
  <si>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</si>
  <si>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</si>
  <si>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</si>
  <si>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</si>
  <si>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</si>
  <si>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</si>
  <si>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</si>
  <si>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</si>
  <si>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</si>
  <si>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</si>
  <si>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</si>
  <si>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</si>
  <si>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</si>
  <si>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</si>
  <si>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</si>
  <si>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</si>
  <si>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</si>
  <si>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</si>
  <si>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</si>
  <si>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</si>
  <si>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</si>
  <si>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</si>
  <si>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</si>
  <si>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</si>
  <si>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</si>
  <si>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</si>
  <si>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</si>
  <si>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</si>
  <si>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</si>
  <si>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</si>
  <si>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</si>
  <si>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</si>
  <si>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</si>
  <si>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</si>
  <si>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</si>
  <si>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</si>
  <si>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</si>
  <si>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</si>
  <si>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</si>
  <si>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</si>
  <si>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</si>
  <si>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</si>
  <si>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</si>
  <si>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</si>
  <si>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Customer PO #</t>
  </si>
  <si>
    <t>Tag #</t>
  </si>
  <si>
    <t>Serial #</t>
  </si>
  <si>
    <t>Model / Description</t>
  </si>
  <si>
    <t>Component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</si>
  <si>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</si>
  <si>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</si>
  <si>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</si>
  <si>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</si>
  <si>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</si>
  <si>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</si>
  <si>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</si>
  <si>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</si>
  <si>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</si>
  <si>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</si>
  <si>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</si>
  <si>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</si>
  <si>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</si>
  <si>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</si>
  <si>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</si>
  <si>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</si>
  <si>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MachinedBore_mm</t>
  </si>
  <si>
    <t>Where from?</t>
  </si>
  <si>
    <t>CH_FPD_PLATE_THICK</t>
  </si>
  <si>
    <t>CH_FPD_DRAIN_VENT_SIZE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</si>
  <si>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</si>
  <si>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</si>
  <si>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</si>
  <si>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</si>
  <si>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</si>
  <si>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</si>
  <si>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</si>
  <si>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</si>
  <si>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</si>
  <si>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</si>
  <si>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</si>
  <si>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</si>
  <si>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</si>
  <si>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</si>
  <si>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</si>
  <si>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</si>
  <si>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</si>
  <si>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</si>
  <si>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</si>
  <si>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</si>
  <si>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</si>
  <si>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</si>
  <si>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</si>
  <si>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</si>
  <si>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</si>
  <si>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</si>
  <si>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</si>
  <si>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</si>
  <si>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</si>
  <si>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</si>
  <si>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</si>
  <si>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</si>
  <si>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</si>
  <si>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</si>
  <si>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</si>
  <si>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</si>
  <si>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</si>
  <si>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</si>
  <si>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</si>
  <si>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</si>
  <si>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</si>
  <si>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</si>
  <si>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</si>
  <si>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</si>
  <si>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</si>
  <si>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</si>
  <si>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</si>
  <si>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</si>
  <si>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</si>
  <si>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</si>
  <si>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</si>
  <si>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</si>
  <si>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</si>
  <si>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</si>
  <si>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</si>
  <si>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</si>
  <si>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</si>
  <si>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</si>
  <si>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</si>
  <si>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</si>
  <si>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</si>
  <si>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</si>
  <si>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</si>
  <si>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</si>
  <si>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</si>
  <si>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</si>
  <si>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</si>
  <si>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</si>
  <si>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</si>
  <si>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</si>
  <si>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</si>
  <si>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</si>
  <si>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</si>
  <si>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</si>
  <si>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</si>
  <si>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Label / Tab etching correct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</si>
  <si>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</si>
  <si>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</si>
  <si>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</si>
  <si>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</si>
  <si>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</si>
  <si>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</si>
  <si>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</si>
  <si>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</si>
  <si>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</si>
  <si>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</si>
  <si>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</si>
  <si>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</si>
  <si>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</si>
  <si>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</si>
  <si>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</si>
  <si>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</si>
  <si>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</si>
  <si>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</si>
  <si>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</si>
  <si>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</si>
  <si>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</si>
  <si>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</si>
  <si>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</si>
  <si>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</si>
  <si>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</si>
  <si>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</si>
  <si>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</si>
  <si>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</si>
  <si>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</si>
  <si>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</si>
  <si>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</si>
  <si>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</si>
  <si>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</si>
  <si>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</si>
  <si>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</si>
  <si>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</si>
  <si>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</si>
  <si>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</si>
  <si>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</si>
  <si>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</si>
  <si>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</si>
  <si>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</si>
  <si>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</si>
  <si>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</si>
  <si>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</si>
  <si>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</si>
  <si>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</si>
  <si>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</si>
  <si>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</si>
  <si>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</si>
  <si>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</si>
  <si>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</si>
  <si>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</si>
  <si>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</si>
  <si>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</si>
  <si>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</si>
  <si>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</si>
  <si>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</si>
  <si>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</si>
  <si>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</si>
  <si>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</si>
  <si>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</si>
  <si>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</si>
  <si>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</si>
  <si>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</si>
  <si>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</si>
  <si>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</si>
  <si>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</si>
  <si>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</si>
  <si>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</si>
  <si>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</si>
  <si>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</si>
  <si>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</si>
  <si>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</si>
  <si>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</si>
  <si>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</si>
  <si>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</si>
  <si>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</si>
  <si>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</si>
  <si>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</si>
  <si>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</si>
  <si>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</si>
  <si>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</si>
  <si>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</si>
  <si>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</si>
  <si>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</si>
  <si>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</si>
  <si>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</si>
  <si>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</si>
  <si>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</si>
  <si>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</si>
  <si>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</si>
  <si>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</si>
  <si>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</si>
  <si>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</si>
  <si>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</si>
  <si>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</si>
  <si>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</si>
  <si>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</si>
  <si>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</si>
  <si>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</si>
  <si>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</si>
  <si>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</si>
  <si>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</si>
  <si>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</si>
  <si>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</si>
  <si>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</si>
  <si>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</si>
  <si>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</si>
  <si>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</si>
  <si>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</si>
  <si>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</si>
  <si>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</si>
  <si>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</si>
  <si>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</si>
  <si>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</si>
  <si>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</si>
  <si>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</si>
  <si>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</si>
  <si>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</si>
  <si>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</si>
  <si>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</si>
  <si>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</si>
  <si>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</si>
  <si>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</si>
  <si>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</si>
  <si>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</si>
  <si>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</si>
  <si>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</si>
  <si>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</si>
  <si>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</si>
  <si>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</si>
  <si>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</si>
  <si>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</si>
  <si>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</si>
  <si>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</si>
  <si>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</si>
  <si>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</si>
  <si>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</si>
  <si>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</si>
  <si>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</si>
  <si>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</si>
  <si>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</si>
  <si>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</si>
  <si>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</si>
  <si>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</si>
  <si>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</si>
  <si>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</si>
  <si>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</si>
  <si>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</si>
  <si>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</si>
  <si>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</si>
  <si>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</si>
  <si>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</si>
  <si>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</si>
  <si>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</si>
  <si>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</si>
  <si>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</si>
  <si>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</si>
  <si>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</si>
  <si>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</si>
  <si>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</si>
  <si>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</si>
  <si>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</si>
  <si>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</si>
  <si>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</si>
  <si>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</si>
  <si>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</si>
  <si>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</si>
  <si>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</si>
  <si>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</si>
  <si>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</si>
  <si>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</si>
  <si>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Solve Inspection &amp; Traceability Template</t>
  </si>
  <si>
    <t>Ready: Go! - this will load a Solve data file and create inspection sheets for each item found</t>
  </si>
  <si>
    <t>Order #</t>
  </si>
  <si>
    <t>Order Item #</t>
  </si>
  <si>
    <t>Roots Removed in Tappings</t>
  </si>
  <si>
    <t>Pipe Circularity Check</t>
  </si>
  <si>
    <t>Weld around Wedge</t>
  </si>
  <si>
    <t>Reset - clears this spreadsheet</t>
  </si>
  <si>
    <t>Order No</t>
  </si>
  <si>
    <t>Order Item</t>
  </si>
  <si>
    <t>PlateODiaA</t>
  </si>
  <si>
    <t>CarrierThkH</t>
  </si>
  <si>
    <t>CarrierThkHUnits</t>
  </si>
  <si>
    <t>RTJPitchP</t>
  </si>
  <si>
    <t>RTJPitchPUnits</t>
  </si>
  <si>
    <t>VenturiLengthL</t>
  </si>
  <si>
    <t>VenturiLengthLUnits</t>
  </si>
  <si>
    <t>VenturiUpConeB</t>
  </si>
  <si>
    <t>VenturiUpConeBUnits</t>
  </si>
  <si>
    <t>VenturiThroatC</t>
  </si>
  <si>
    <t>VenturiThroatCUnits</t>
  </si>
  <si>
    <t>VenturiDnConeE</t>
  </si>
  <si>
    <t>VenturiDnConeEUnits</t>
  </si>
  <si>
    <t>OALengthL</t>
  </si>
  <si>
    <t>OALengthLUnits</t>
  </si>
  <si>
    <t>TapSpacingB</t>
  </si>
  <si>
    <t>TapSpacingBUnits</t>
  </si>
  <si>
    <t>TapHeightA</t>
  </si>
  <si>
    <t>TapHeightAUnits</t>
  </si>
  <si>
    <t>BF58E0EA-3099-48D3-911A-6FFEDB3A0B0B</t>
  </si>
  <si>
    <t>A6</t>
  </si>
  <si>
    <t>BF58E0EA-3099-48D3-911A-6FFEDB3A0B0C</t>
  </si>
  <si>
    <t>TIN</t>
  </si>
  <si>
    <t>BF58E0EA-3099-48D3-911A-6FFEDB3A0B0D</t>
  </si>
  <si>
    <t>TAI</t>
  </si>
  <si>
    <t>BF58E0EA-3099-48D3-911A-6FFEDB3A0B0E</t>
  </si>
  <si>
    <t>TAW</t>
  </si>
  <si>
    <t>BF58E0EA-3099-48D3-911A-6FFEDB3A0B0F</t>
  </si>
  <si>
    <t>TTW</t>
  </si>
  <si>
    <t>PlateODiaAUnits</t>
  </si>
  <si>
    <t>Index</t>
  </si>
  <si>
    <t>Product</t>
  </si>
  <si>
    <t>PK</t>
  </si>
  <si>
    <t>Qty</t>
  </si>
  <si>
    <t>Product Family</t>
  </si>
  <si>
    <t>Family Guid</t>
  </si>
  <si>
    <t>V1.09 4/Aug/2021</t>
  </si>
  <si>
    <t>FPD175MultiCentre</t>
  </si>
  <si>
    <t>FPD175MultiCentreUnits</t>
  </si>
  <si>
    <t>FPD175MultiOuter</t>
  </si>
  <si>
    <t>FPD175MultiOuterUnits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</si>
</sst>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8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0" xfId="0"/>
    <xf numFmtId="11" fontId="0" fillId="0" borderId="0" xfId="0" applyNumberFormat="1"/>
    <xf numFmtId="20" fontId="0" fillId="0" borderId="0" xfId="0" applyNumberFormat="1"/>
    <xf numFmtId="164" fontId="0" fillId="0" borderId="27" xfId="0" applyNumberForma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49" fontId="0" fillId="0" borderId="15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211455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213360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213360</xdr:colOff>
      <xdr:row>12</xdr:row>
      <xdr:rowOff>140335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tabSelected="1" zoomScaleNormal="100" workbookViewId="0">
      <selection activeCell="B15" sqref="B15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180" t="s">
        <v>563</v>
      </c>
      <c r="C2" s="175"/>
      <c r="D2" s="175"/>
      <c r="G2" s="4"/>
      <c r="H2"/>
      <c r="I2"/>
      <c r="AA2"/>
    </row>
    <row r="3" spans="2:27" ht="15" customHeight="1" x14ac:dyDescent="0.25">
      <c r="B3" s="84"/>
      <c r="C3" s="84"/>
      <c r="D3" s="84"/>
      <c r="F3"/>
      <c r="H3"/>
      <c r="I3"/>
      <c r="AA3"/>
    </row>
    <row r="4" spans="2:27" ht="15" customHeight="1" x14ac:dyDescent="0.25">
      <c r="B4" s="84" t="s">
        <v>609</v>
      </c>
      <c r="C4" s="84"/>
      <c r="D4" s="84"/>
      <c r="F4"/>
      <c r="H4"/>
      <c r="I4"/>
      <c r="AA4"/>
    </row>
    <row r="5" spans="2:27" ht="15" customHeight="1" x14ac:dyDescent="0.5">
      <c r="B5" s="84"/>
      <c r="C5" s="175"/>
      <c r="D5" s="175"/>
      <c r="F5"/>
      <c r="H5"/>
      <c r="I5"/>
      <c r="AA5"/>
    </row>
    <row r="6" spans="2:27" ht="6" customHeight="1" x14ac:dyDescent="0.25">
      <c r="B6" s="84"/>
      <c r="F6"/>
      <c r="H6"/>
      <c r="I6"/>
      <c r="AA6"/>
    </row>
    <row r="7" spans="2:27" x14ac:dyDescent="0.25">
      <c r="B7" s="84" t="s">
        <v>564</v>
      </c>
      <c r="F7"/>
      <c r="H7"/>
      <c r="I7"/>
      <c r="M7" s="116" t="b">
        <v>1</v>
      </c>
      <c r="AA7"/>
    </row>
    <row r="8" spans="2:27" x14ac:dyDescent="0.25">
      <c r="B8" s="84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570</v>
      </c>
      <c r="F11" s="120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F32" sqref="F32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412</v>
      </c>
      <c r="C2" s="3"/>
      <c r="E2" s="3"/>
    </row>
    <row r="3" spans="2:7" ht="15" customHeight="1" x14ac:dyDescent="0.25">
      <c r="B3" s="84"/>
      <c r="C3" s="84"/>
    </row>
    <row r="4" spans="2:7" ht="15" customHeight="1" x14ac:dyDescent="0.25">
      <c r="B4" s="84"/>
      <c r="C4" s="84"/>
    </row>
    <row r="5" spans="2:7" ht="15" customHeight="1" x14ac:dyDescent="0.25">
      <c r="B5" s="84"/>
      <c r="C5" s="84"/>
    </row>
    <row r="6" spans="2:7" x14ac:dyDescent="0.25">
      <c r="B6" s="84"/>
      <c r="C6" s="84"/>
    </row>
    <row r="7" spans="2:7" x14ac:dyDescent="0.25">
      <c r="B7" s="84"/>
      <c r="C7" s="84"/>
    </row>
    <row r="9" spans="2:7" x14ac:dyDescent="0.25">
      <c r="C9" s="25" t="s">
        <v>170</v>
      </c>
      <c r="E9" s="51"/>
    </row>
    <row r="10" spans="2:7" x14ac:dyDescent="0.25">
      <c r="C10" s="25" t="s">
        <v>174</v>
      </c>
      <c r="E10" s="51"/>
    </row>
    <row r="11" spans="2:7" x14ac:dyDescent="0.25">
      <c r="C11" s="25" t="s">
        <v>571</v>
      </c>
      <c r="E11" s="51"/>
    </row>
    <row r="13" spans="2:7" ht="29.25" customHeight="1" x14ac:dyDescent="0.25">
      <c r="B13" s="26" t="s">
        <v>572</v>
      </c>
      <c r="C13" s="26" t="s">
        <v>172</v>
      </c>
      <c r="D13" s="26"/>
      <c r="E13" s="26" t="s">
        <v>173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2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4" customWidth="1"/>
    <col min="6" max="6" width="42.85546875" style="97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5703125" bestFit="1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278</v>
      </c>
      <c r="C1" s="27" t="s">
        <v>279</v>
      </c>
      <c r="D1" s="27" t="s">
        <v>280</v>
      </c>
      <c r="E1" s="85" t="s">
        <v>533</v>
      </c>
      <c r="F1" s="100" t="s">
        <v>435</v>
      </c>
      <c r="G1" s="27" t="s">
        <v>281</v>
      </c>
      <c r="H1" s="27" t="s">
        <v>377</v>
      </c>
      <c r="I1" s="85" t="s">
        <v>517</v>
      </c>
      <c r="J1" s="27" t="s">
        <v>378</v>
      </c>
    </row>
    <row r="2" spans="1:12" x14ac:dyDescent="0.25">
      <c r="A2" s="55" t="s">
        <v>282</v>
      </c>
      <c r="B2" s="99" t="s">
        <v>436</v>
      </c>
      <c r="C2" s="99" t="s">
        <v>437</v>
      </c>
      <c r="D2" s="99" t="s">
        <v>438</v>
      </c>
      <c r="E2" s="99" t="s">
        <v>438</v>
      </c>
      <c r="F2" s="99" t="s">
        <v>439</v>
      </c>
      <c r="G2" s="99" t="s">
        <v>440</v>
      </c>
      <c r="H2" s="56" t="s">
        <v>166</v>
      </c>
      <c r="I2" s="87" t="s">
        <v>167</v>
      </c>
      <c r="J2" s="56" t="s">
        <v>168</v>
      </c>
    </row>
    <row r="3" spans="1:12" x14ac:dyDescent="0.25">
      <c r="A3" s="28" t="s">
        <v>176</v>
      </c>
      <c r="B3" s="53" t="s">
        <v>283</v>
      </c>
      <c r="C3" s="53" t="s">
        <v>283</v>
      </c>
      <c r="D3" s="53" t="s">
        <v>353</v>
      </c>
      <c r="E3" s="151" t="s">
        <v>283</v>
      </c>
      <c r="F3" s="101" t="s">
        <v>441</v>
      </c>
      <c r="G3" s="53" t="s">
        <v>545</v>
      </c>
      <c r="H3" s="64" t="s">
        <v>277</v>
      </c>
      <c r="I3" s="91" t="s">
        <v>277</v>
      </c>
      <c r="J3" s="53" t="s">
        <v>277</v>
      </c>
      <c r="L3" s="39" t="s">
        <v>365</v>
      </c>
    </row>
    <row r="4" spans="1:12" ht="30" x14ac:dyDescent="0.25">
      <c r="A4" s="47" t="s">
        <v>370</v>
      </c>
      <c r="B4" s="48" t="s">
        <v>277</v>
      </c>
      <c r="C4" s="48" t="s">
        <v>277</v>
      </c>
      <c r="D4" s="48" t="s">
        <v>277</v>
      </c>
      <c r="E4" s="149" t="s">
        <v>277</v>
      </c>
      <c r="F4" s="102" t="s">
        <v>277</v>
      </c>
      <c r="G4" s="149" t="s">
        <v>538</v>
      </c>
      <c r="H4" s="48" t="s">
        <v>277</v>
      </c>
      <c r="I4" s="148" t="s">
        <v>277</v>
      </c>
      <c r="J4" s="48" t="s">
        <v>277</v>
      </c>
      <c r="L4" s="73" t="s">
        <v>407</v>
      </c>
    </row>
    <row r="5" spans="1:12" s="10" customFormat="1" ht="30" x14ac:dyDescent="0.25">
      <c r="A5" s="47" t="s">
        <v>371</v>
      </c>
      <c r="B5" s="49" t="s">
        <v>277</v>
      </c>
      <c r="C5" s="48" t="s">
        <v>277</v>
      </c>
      <c r="D5" s="49" t="s">
        <v>277</v>
      </c>
      <c r="E5" s="149" t="s">
        <v>277</v>
      </c>
      <c r="F5" s="102" t="s">
        <v>277</v>
      </c>
      <c r="G5" s="149" t="s">
        <v>539</v>
      </c>
      <c r="H5" s="49" t="s">
        <v>277</v>
      </c>
      <c r="I5" s="149" t="s">
        <v>277</v>
      </c>
      <c r="J5" s="49" t="s">
        <v>277</v>
      </c>
      <c r="L5" s="74" t="s">
        <v>408</v>
      </c>
    </row>
    <row r="6" spans="1:12" x14ac:dyDescent="0.25">
      <c r="A6" s="28" t="s">
        <v>198</v>
      </c>
      <c r="B6" s="53" t="s">
        <v>354</v>
      </c>
      <c r="C6" s="53" t="s">
        <v>355</v>
      </c>
      <c r="D6" s="53" t="s">
        <v>283</v>
      </c>
      <c r="E6" s="151" t="s">
        <v>277</v>
      </c>
      <c r="F6" s="101" t="s">
        <v>442</v>
      </c>
      <c r="G6" s="53" t="s">
        <v>540</v>
      </c>
      <c r="H6" s="53" t="s">
        <v>277</v>
      </c>
      <c r="I6" s="151" t="s">
        <v>277</v>
      </c>
      <c r="J6" s="53" t="s">
        <v>277</v>
      </c>
      <c r="L6" s="75" t="s">
        <v>409</v>
      </c>
    </row>
    <row r="7" spans="1:12" x14ac:dyDescent="0.25">
      <c r="A7" s="52" t="s">
        <v>285</v>
      </c>
      <c r="B7" s="64" t="s">
        <v>277</v>
      </c>
      <c r="C7" s="53" t="s">
        <v>283</v>
      </c>
      <c r="D7" s="64" t="s">
        <v>277</v>
      </c>
      <c r="E7" s="91" t="s">
        <v>277</v>
      </c>
      <c r="F7" s="103" t="s">
        <v>283</v>
      </c>
      <c r="G7" s="64" t="s">
        <v>277</v>
      </c>
      <c r="H7" s="64" t="s">
        <v>277</v>
      </c>
      <c r="I7" s="91" t="s">
        <v>518</v>
      </c>
      <c r="J7" s="64" t="s">
        <v>277</v>
      </c>
      <c r="L7" s="75" t="s">
        <v>410</v>
      </c>
    </row>
    <row r="8" spans="1:12" s="10" customFormat="1" x14ac:dyDescent="0.25">
      <c r="A8" s="47" t="s">
        <v>547</v>
      </c>
      <c r="B8" s="49" t="s">
        <v>277</v>
      </c>
      <c r="C8" s="48" t="s">
        <v>283</v>
      </c>
      <c r="D8" s="49" t="s">
        <v>277</v>
      </c>
      <c r="E8" s="149" t="s">
        <v>277</v>
      </c>
      <c r="F8" s="104" t="s">
        <v>283</v>
      </c>
      <c r="G8" s="49" t="s">
        <v>277</v>
      </c>
      <c r="H8" s="49" t="s">
        <v>277</v>
      </c>
      <c r="I8" s="149" t="s">
        <v>518</v>
      </c>
      <c r="J8" s="49" t="s">
        <v>277</v>
      </c>
    </row>
    <row r="9" spans="1:12" s="10" customFormat="1" x14ac:dyDescent="0.25">
      <c r="A9" s="29" t="s">
        <v>379</v>
      </c>
      <c r="B9" s="49" t="s">
        <v>277</v>
      </c>
      <c r="C9" s="48" t="s">
        <v>277</v>
      </c>
      <c r="D9" s="49" t="s">
        <v>277</v>
      </c>
      <c r="E9" s="149" t="s">
        <v>277</v>
      </c>
      <c r="F9" s="104" t="s">
        <v>277</v>
      </c>
      <c r="G9" s="49" t="s">
        <v>277</v>
      </c>
      <c r="H9" s="49" t="s">
        <v>382</v>
      </c>
      <c r="I9" s="149" t="s">
        <v>277</v>
      </c>
      <c r="J9" s="149" t="s">
        <v>277</v>
      </c>
    </row>
    <row r="10" spans="1:12" x14ac:dyDescent="0.25">
      <c r="A10" s="29" t="s">
        <v>380</v>
      </c>
      <c r="B10" s="49" t="s">
        <v>277</v>
      </c>
      <c r="C10" s="48" t="s">
        <v>277</v>
      </c>
      <c r="D10" s="49" t="s">
        <v>277</v>
      </c>
      <c r="E10" s="149" t="s">
        <v>277</v>
      </c>
      <c r="F10" s="104" t="s">
        <v>277</v>
      </c>
      <c r="G10" s="49" t="s">
        <v>277</v>
      </c>
      <c r="H10" s="49" t="s">
        <v>382</v>
      </c>
      <c r="I10" s="149" t="s">
        <v>277</v>
      </c>
      <c r="J10" s="49" t="s">
        <v>277</v>
      </c>
    </row>
    <row r="11" spans="1:12" x14ac:dyDescent="0.25">
      <c r="A11" s="29" t="s">
        <v>381</v>
      </c>
      <c r="B11" s="49" t="s">
        <v>277</v>
      </c>
      <c r="C11" s="48" t="s">
        <v>277</v>
      </c>
      <c r="D11" s="49" t="s">
        <v>277</v>
      </c>
      <c r="E11" s="149" t="s">
        <v>277</v>
      </c>
      <c r="F11" s="104" t="s">
        <v>277</v>
      </c>
      <c r="G11" s="49" t="s">
        <v>277</v>
      </c>
      <c r="H11" s="49" t="s">
        <v>382</v>
      </c>
      <c r="I11" s="149" t="s">
        <v>277</v>
      </c>
      <c r="J11" s="49" t="s">
        <v>277</v>
      </c>
    </row>
    <row r="12" spans="1:12" x14ac:dyDescent="0.25">
      <c r="A12" s="29" t="s">
        <v>383</v>
      </c>
      <c r="B12" s="49" t="s">
        <v>277</v>
      </c>
      <c r="C12" s="48" t="s">
        <v>277</v>
      </c>
      <c r="D12" s="49" t="s">
        <v>277</v>
      </c>
      <c r="E12" s="149" t="s">
        <v>277</v>
      </c>
      <c r="F12" s="104" t="s">
        <v>277</v>
      </c>
      <c r="G12" s="49" t="s">
        <v>277</v>
      </c>
      <c r="H12" s="49" t="s">
        <v>384</v>
      </c>
      <c r="I12" s="149" t="s">
        <v>277</v>
      </c>
      <c r="J12" s="49" t="s">
        <v>277</v>
      </c>
    </row>
    <row r="13" spans="1:12" x14ac:dyDescent="0.25">
      <c r="A13" s="29" t="s">
        <v>550</v>
      </c>
      <c r="B13" s="49" t="s">
        <v>277</v>
      </c>
      <c r="C13" s="49" t="s">
        <v>277</v>
      </c>
      <c r="D13" s="49" t="s">
        <v>277</v>
      </c>
      <c r="E13" s="149" t="s">
        <v>277</v>
      </c>
      <c r="F13" s="104" t="s">
        <v>277</v>
      </c>
      <c r="G13" s="49" t="s">
        <v>277</v>
      </c>
      <c r="H13" s="49" t="s">
        <v>277</v>
      </c>
      <c r="I13" s="149" t="s">
        <v>277</v>
      </c>
      <c r="J13" s="49" t="s">
        <v>421</v>
      </c>
    </row>
    <row r="14" spans="1:12" x14ac:dyDescent="0.25">
      <c r="A14" s="29" t="s">
        <v>551</v>
      </c>
      <c r="B14" s="149" t="s">
        <v>277</v>
      </c>
      <c r="C14" s="149" t="s">
        <v>277</v>
      </c>
      <c r="D14" s="149" t="s">
        <v>277</v>
      </c>
      <c r="E14" s="149" t="s">
        <v>277</v>
      </c>
      <c r="F14" s="104" t="s">
        <v>277</v>
      </c>
      <c r="G14" s="149" t="s">
        <v>277</v>
      </c>
      <c r="H14" s="149" t="s">
        <v>277</v>
      </c>
      <c r="I14" s="149" t="s">
        <v>277</v>
      </c>
      <c r="J14" s="149" t="s">
        <v>421</v>
      </c>
    </row>
    <row r="15" spans="1:12" s="84" customFormat="1" ht="30" x14ac:dyDescent="0.25">
      <c r="A15" s="47" t="s">
        <v>419</v>
      </c>
      <c r="B15" s="49" t="s">
        <v>277</v>
      </c>
      <c r="C15" s="49" t="s">
        <v>277</v>
      </c>
      <c r="D15" s="49" t="s">
        <v>277</v>
      </c>
      <c r="E15" s="149" t="s">
        <v>277</v>
      </c>
      <c r="F15" s="104" t="s">
        <v>277</v>
      </c>
      <c r="G15" s="49" t="s">
        <v>277</v>
      </c>
      <c r="H15" s="49" t="s">
        <v>422</v>
      </c>
      <c r="I15" s="149" t="s">
        <v>277</v>
      </c>
      <c r="J15" s="49" t="s">
        <v>420</v>
      </c>
    </row>
    <row r="16" spans="1:12" s="10" customFormat="1" x14ac:dyDescent="0.25">
      <c r="A16" s="29" t="s">
        <v>418</v>
      </c>
      <c r="B16" s="49" t="s">
        <v>277</v>
      </c>
      <c r="C16" s="48" t="s">
        <v>417</v>
      </c>
      <c r="D16" s="48" t="s">
        <v>417</v>
      </c>
      <c r="E16" s="148" t="s">
        <v>277</v>
      </c>
      <c r="F16" s="102" t="s">
        <v>417</v>
      </c>
      <c r="G16" s="49" t="s">
        <v>277</v>
      </c>
      <c r="H16" s="49" t="s">
        <v>417</v>
      </c>
      <c r="I16" s="149" t="s">
        <v>277</v>
      </c>
      <c r="J16" s="49" t="s">
        <v>277</v>
      </c>
    </row>
    <row r="17" spans="1:18" x14ac:dyDescent="0.25">
      <c r="A17" s="29" t="s">
        <v>415</v>
      </c>
      <c r="B17" s="49" t="s">
        <v>277</v>
      </c>
      <c r="C17" s="48" t="s">
        <v>416</v>
      </c>
      <c r="D17" s="48" t="s">
        <v>416</v>
      </c>
      <c r="E17" s="148" t="s">
        <v>277</v>
      </c>
      <c r="F17" s="102" t="s">
        <v>416</v>
      </c>
      <c r="G17" s="149" t="s">
        <v>277</v>
      </c>
      <c r="H17" s="48" t="s">
        <v>416</v>
      </c>
      <c r="I17" s="148" t="s">
        <v>277</v>
      </c>
      <c r="J17" s="49" t="s">
        <v>277</v>
      </c>
    </row>
    <row r="18" spans="1:18" x14ac:dyDescent="0.25">
      <c r="A18" s="29" t="s">
        <v>413</v>
      </c>
      <c r="B18" s="49" t="s">
        <v>277</v>
      </c>
      <c r="C18" s="48" t="s">
        <v>414</v>
      </c>
      <c r="D18" s="48" t="s">
        <v>414</v>
      </c>
      <c r="E18" s="148" t="s">
        <v>277</v>
      </c>
      <c r="F18" s="102" t="s">
        <v>414</v>
      </c>
      <c r="G18" s="49" t="s">
        <v>277</v>
      </c>
      <c r="H18" s="48" t="s">
        <v>414</v>
      </c>
      <c r="I18" s="148" t="s">
        <v>277</v>
      </c>
      <c r="J18" s="49" t="s">
        <v>277</v>
      </c>
    </row>
    <row r="19" spans="1:18" x14ac:dyDescent="0.25">
      <c r="A19" s="29" t="s">
        <v>385</v>
      </c>
      <c r="B19" s="49" t="s">
        <v>277</v>
      </c>
      <c r="C19" s="48" t="s">
        <v>277</v>
      </c>
      <c r="D19" s="49" t="s">
        <v>277</v>
      </c>
      <c r="E19" s="149" t="s">
        <v>277</v>
      </c>
      <c r="F19" s="104" t="s">
        <v>277</v>
      </c>
      <c r="G19" s="49" t="s">
        <v>277</v>
      </c>
      <c r="H19" s="149" t="s">
        <v>532</v>
      </c>
      <c r="I19" s="149" t="s">
        <v>277</v>
      </c>
      <c r="J19" s="49" t="s">
        <v>277</v>
      </c>
    </row>
    <row r="20" spans="1:18" x14ac:dyDescent="0.25">
      <c r="A20" s="29" t="s">
        <v>548</v>
      </c>
      <c r="B20" s="49" t="s">
        <v>277</v>
      </c>
      <c r="C20" s="48" t="s">
        <v>277</v>
      </c>
      <c r="D20" s="49" t="s">
        <v>277</v>
      </c>
      <c r="E20" s="149" t="s">
        <v>277</v>
      </c>
      <c r="F20" s="104" t="s">
        <v>443</v>
      </c>
      <c r="G20" s="149" t="s">
        <v>541</v>
      </c>
      <c r="H20" s="49" t="s">
        <v>386</v>
      </c>
      <c r="I20" s="149" t="s">
        <v>277</v>
      </c>
      <c r="J20" s="49" t="s">
        <v>283</v>
      </c>
    </row>
    <row r="21" spans="1:18" x14ac:dyDescent="0.25">
      <c r="A21" s="29" t="s">
        <v>549</v>
      </c>
      <c r="B21" s="149" t="s">
        <v>277</v>
      </c>
      <c r="C21" s="148" t="s">
        <v>277</v>
      </c>
      <c r="D21" s="149" t="s">
        <v>277</v>
      </c>
      <c r="E21" s="149" t="s">
        <v>277</v>
      </c>
      <c r="F21" s="104" t="s">
        <v>443</v>
      </c>
      <c r="G21" s="149" t="s">
        <v>541</v>
      </c>
      <c r="H21" s="149" t="s">
        <v>386</v>
      </c>
      <c r="I21" s="149" t="s">
        <v>277</v>
      </c>
      <c r="J21" s="149" t="s">
        <v>283</v>
      </c>
    </row>
    <row r="22" spans="1:18" s="84" customFormat="1" ht="30" x14ac:dyDescent="0.25">
      <c r="A22" s="47" t="s">
        <v>372</v>
      </c>
      <c r="B22" s="49" t="s">
        <v>277</v>
      </c>
      <c r="C22" s="48" t="s">
        <v>277</v>
      </c>
      <c r="D22" s="49" t="s">
        <v>277</v>
      </c>
      <c r="E22" s="149" t="s">
        <v>277</v>
      </c>
      <c r="F22" s="104" t="s">
        <v>283</v>
      </c>
      <c r="G22" s="149" t="s">
        <v>538</v>
      </c>
      <c r="H22" s="49" t="s">
        <v>382</v>
      </c>
      <c r="I22" s="149" t="s">
        <v>519</v>
      </c>
      <c r="J22" s="49" t="s">
        <v>283</v>
      </c>
    </row>
    <row r="23" spans="1:18" x14ac:dyDescent="0.25">
      <c r="A23" s="28" t="s">
        <v>520</v>
      </c>
      <c r="B23" s="64" t="s">
        <v>277</v>
      </c>
      <c r="C23" s="64" t="s">
        <v>277</v>
      </c>
      <c r="D23" s="64" t="s">
        <v>277</v>
      </c>
      <c r="E23" s="91" t="s">
        <v>277</v>
      </c>
      <c r="F23" s="103" t="s">
        <v>277</v>
      </c>
      <c r="G23" s="53" t="s">
        <v>277</v>
      </c>
      <c r="H23" s="64" t="s">
        <v>277</v>
      </c>
      <c r="I23" s="91" t="s">
        <v>277</v>
      </c>
      <c r="J23" s="64" t="s">
        <v>283</v>
      </c>
    </row>
    <row r="24" spans="1:18" x14ac:dyDescent="0.25">
      <c r="A24" s="29" t="s">
        <v>306</v>
      </c>
      <c r="B24" s="49" t="s">
        <v>277</v>
      </c>
      <c r="C24" s="48" t="s">
        <v>283</v>
      </c>
      <c r="D24" s="49" t="s">
        <v>277</v>
      </c>
      <c r="E24" s="149" t="s">
        <v>277</v>
      </c>
      <c r="F24" s="103" t="s">
        <v>427</v>
      </c>
      <c r="G24" s="49" t="s">
        <v>277</v>
      </c>
      <c r="H24" s="49" t="s">
        <v>277</v>
      </c>
      <c r="I24" s="149" t="s">
        <v>518</v>
      </c>
      <c r="J24" s="49" t="s">
        <v>277</v>
      </c>
    </row>
    <row r="25" spans="1:18" x14ac:dyDescent="0.25">
      <c r="A25" s="29" t="s">
        <v>307</v>
      </c>
      <c r="B25" s="49" t="s">
        <v>277</v>
      </c>
      <c r="C25" s="49" t="s">
        <v>283</v>
      </c>
      <c r="D25" s="49" t="s">
        <v>277</v>
      </c>
      <c r="E25" s="149" t="s">
        <v>277</v>
      </c>
      <c r="F25" s="103" t="s">
        <v>425</v>
      </c>
      <c r="G25" s="48" t="s">
        <v>277</v>
      </c>
      <c r="H25" s="49" t="s">
        <v>277</v>
      </c>
      <c r="I25" s="149" t="s">
        <v>518</v>
      </c>
      <c r="J25" s="49" t="s">
        <v>277</v>
      </c>
    </row>
    <row r="26" spans="1:18" x14ac:dyDescent="0.25">
      <c r="A26" s="137" t="s">
        <v>168</v>
      </c>
      <c r="B26" s="103" t="s">
        <v>277</v>
      </c>
      <c r="C26" s="103" t="s">
        <v>277</v>
      </c>
      <c r="D26" s="103" t="s">
        <v>277</v>
      </c>
      <c r="E26" s="103" t="s">
        <v>277</v>
      </c>
      <c r="F26" s="103" t="s">
        <v>277</v>
      </c>
      <c r="G26" s="103" t="s">
        <v>277</v>
      </c>
      <c r="H26" s="103" t="s">
        <v>277</v>
      </c>
      <c r="I26" s="103" t="s">
        <v>277</v>
      </c>
      <c r="J26" s="103" t="s">
        <v>283</v>
      </c>
    </row>
    <row r="27" spans="1:18" s="97" customFormat="1" x14ac:dyDescent="0.25">
      <c r="A27" s="105" t="s">
        <v>536</v>
      </c>
      <c r="B27" s="104" t="s">
        <v>277</v>
      </c>
      <c r="C27" s="104" t="s">
        <v>277</v>
      </c>
      <c r="D27" s="104" t="s">
        <v>277</v>
      </c>
      <c r="E27" s="104" t="s">
        <v>283</v>
      </c>
      <c r="F27" s="104" t="s">
        <v>277</v>
      </c>
      <c r="G27" s="104" t="s">
        <v>277</v>
      </c>
      <c r="H27" s="104" t="s">
        <v>277</v>
      </c>
      <c r="I27" s="104" t="s">
        <v>277</v>
      </c>
      <c r="J27" s="104" t="s">
        <v>277</v>
      </c>
    </row>
    <row r="28" spans="1:18" s="97" customFormat="1" x14ac:dyDescent="0.25">
      <c r="A28" s="105" t="s">
        <v>537</v>
      </c>
      <c r="B28" s="104" t="s">
        <v>277</v>
      </c>
      <c r="C28" s="104" t="s">
        <v>277</v>
      </c>
      <c r="D28" s="104" t="s">
        <v>277</v>
      </c>
      <c r="E28" s="104" t="s">
        <v>283</v>
      </c>
      <c r="F28" s="104" t="s">
        <v>277</v>
      </c>
      <c r="G28" s="104" t="s">
        <v>277</v>
      </c>
      <c r="H28" s="104" t="s">
        <v>277</v>
      </c>
      <c r="I28" s="104" t="s">
        <v>277</v>
      </c>
      <c r="J28" s="104" t="s">
        <v>277</v>
      </c>
    </row>
    <row r="29" spans="1:18" s="97" customFormat="1" x14ac:dyDescent="0.25">
      <c r="A29" s="98" t="s">
        <v>167</v>
      </c>
      <c r="B29" s="95" t="s">
        <v>277</v>
      </c>
      <c r="C29" s="95" t="s">
        <v>277</v>
      </c>
      <c r="D29" s="95" t="s">
        <v>277</v>
      </c>
      <c r="E29" s="95" t="s">
        <v>277</v>
      </c>
      <c r="F29" s="95" t="s">
        <v>277</v>
      </c>
      <c r="G29" s="95" t="s">
        <v>277</v>
      </c>
      <c r="H29" s="95" t="s">
        <v>277</v>
      </c>
      <c r="I29" s="95" t="s">
        <v>283</v>
      </c>
      <c r="J29" s="95" t="s">
        <v>277</v>
      </c>
    </row>
    <row r="30" spans="1:18" s="97" customFormat="1" x14ac:dyDescent="0.25">
      <c r="A30" s="55" t="s">
        <v>286</v>
      </c>
      <c r="B30" s="56"/>
      <c r="C30" s="57"/>
      <c r="D30" s="57"/>
      <c r="E30" s="88"/>
      <c r="F30" s="88"/>
      <c r="G30" s="57"/>
      <c r="H30" s="56"/>
      <c r="I30" s="87"/>
      <c r="J30" s="56"/>
    </row>
    <row r="31" spans="1:18" x14ac:dyDescent="0.25">
      <c r="A31" s="28" t="s">
        <v>182</v>
      </c>
      <c r="B31" s="53" t="s">
        <v>356</v>
      </c>
      <c r="C31" s="53" t="s">
        <v>356</v>
      </c>
      <c r="D31" s="53" t="s">
        <v>356</v>
      </c>
      <c r="E31" s="151" t="s">
        <v>534</v>
      </c>
      <c r="F31" s="101" t="s">
        <v>356</v>
      </c>
      <c r="G31" s="53" t="s">
        <v>283</v>
      </c>
      <c r="H31" s="64" t="s">
        <v>277</v>
      </c>
      <c r="I31" s="91" t="s">
        <v>277</v>
      </c>
      <c r="J31" s="64" t="s">
        <v>277</v>
      </c>
    </row>
    <row r="32" spans="1:18" x14ac:dyDescent="0.25">
      <c r="A32" s="28" t="s">
        <v>389</v>
      </c>
      <c r="B32" s="53" t="s">
        <v>283</v>
      </c>
      <c r="C32" s="53" t="s">
        <v>283</v>
      </c>
      <c r="D32" s="53" t="s">
        <v>283</v>
      </c>
      <c r="E32" s="151" t="s">
        <v>283</v>
      </c>
      <c r="F32" s="101" t="s">
        <v>283</v>
      </c>
      <c r="G32" s="53" t="s">
        <v>283</v>
      </c>
      <c r="H32" s="53" t="s">
        <v>283</v>
      </c>
      <c r="I32" s="151" t="s">
        <v>283</v>
      </c>
      <c r="J32" s="53" t="s">
        <v>283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363</v>
      </c>
      <c r="B33" s="53" t="s">
        <v>283</v>
      </c>
      <c r="C33" s="53" t="s">
        <v>283</v>
      </c>
      <c r="D33" s="53" t="s">
        <v>283</v>
      </c>
      <c r="E33" s="151" t="s">
        <v>283</v>
      </c>
      <c r="F33" s="101" t="s">
        <v>283</v>
      </c>
      <c r="G33" s="53" t="s">
        <v>283</v>
      </c>
      <c r="H33" s="64" t="s">
        <v>277</v>
      </c>
      <c r="I33" s="91" t="s">
        <v>283</v>
      </c>
      <c r="J33" s="53" t="s">
        <v>277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183</v>
      </c>
      <c r="B34" s="53" t="s">
        <v>283</v>
      </c>
      <c r="C34" s="53" t="s">
        <v>283</v>
      </c>
      <c r="D34" s="53" t="s">
        <v>283</v>
      </c>
      <c r="E34" s="151" t="s">
        <v>283</v>
      </c>
      <c r="F34" s="101" t="s">
        <v>283</v>
      </c>
      <c r="G34" s="53" t="s">
        <v>283</v>
      </c>
      <c r="H34" s="53" t="s">
        <v>283</v>
      </c>
      <c r="I34" s="151" t="s">
        <v>283</v>
      </c>
      <c r="J34" s="53" t="s">
        <v>283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184</v>
      </c>
      <c r="B35" s="53" t="s">
        <v>283</v>
      </c>
      <c r="C35" s="53" t="s">
        <v>283</v>
      </c>
      <c r="D35" s="53" t="s">
        <v>283</v>
      </c>
      <c r="E35" s="151" t="s">
        <v>283</v>
      </c>
      <c r="F35" s="101" t="s">
        <v>283</v>
      </c>
      <c r="G35" s="53" t="s">
        <v>283</v>
      </c>
      <c r="H35" s="91" t="s">
        <v>277</v>
      </c>
      <c r="I35" s="151" t="s">
        <v>283</v>
      </c>
      <c r="J35" s="91" t="s">
        <v>277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89" t="s">
        <v>568</v>
      </c>
      <c r="B36" s="151" t="s">
        <v>277</v>
      </c>
      <c r="C36" s="151" t="s">
        <v>277</v>
      </c>
      <c r="D36" s="151" t="s">
        <v>277</v>
      </c>
      <c r="E36" s="151" t="s">
        <v>277</v>
      </c>
      <c r="F36" s="101" t="s">
        <v>277</v>
      </c>
      <c r="G36" s="151" t="s">
        <v>277</v>
      </c>
      <c r="H36" s="91" t="s">
        <v>382</v>
      </c>
      <c r="I36" s="151" t="s">
        <v>519</v>
      </c>
      <c r="J36" s="91" t="s">
        <v>421</v>
      </c>
      <c r="K36" s="30"/>
      <c r="L36" s="30"/>
      <c r="M36" s="30"/>
      <c r="N36" s="30"/>
      <c r="O36" s="30"/>
      <c r="P36" s="30"/>
      <c r="Q36" s="30"/>
      <c r="R36" s="30"/>
    </row>
    <row r="37" spans="1:18" s="84" customFormat="1" x14ac:dyDescent="0.25">
      <c r="A37" s="89" t="s">
        <v>567</v>
      </c>
      <c r="B37" s="151" t="s">
        <v>277</v>
      </c>
      <c r="C37" s="151" t="s">
        <v>277</v>
      </c>
      <c r="D37" s="151" t="s">
        <v>277</v>
      </c>
      <c r="E37" s="151" t="s">
        <v>277</v>
      </c>
      <c r="F37" s="101" t="s">
        <v>277</v>
      </c>
      <c r="G37" s="151" t="s">
        <v>277</v>
      </c>
      <c r="H37" s="91" t="s">
        <v>277</v>
      </c>
      <c r="I37" s="151" t="s">
        <v>277</v>
      </c>
      <c r="J37" s="91" t="s">
        <v>421</v>
      </c>
      <c r="K37" s="30"/>
      <c r="L37" s="30"/>
      <c r="M37" s="30"/>
      <c r="N37" s="30"/>
      <c r="O37" s="30"/>
      <c r="P37" s="30"/>
      <c r="Q37" s="30"/>
      <c r="R37" s="30"/>
    </row>
    <row r="38" spans="1:18" s="84" customFormat="1" x14ac:dyDescent="0.25">
      <c r="A38" s="89" t="s">
        <v>569</v>
      </c>
      <c r="B38" s="151" t="s">
        <v>277</v>
      </c>
      <c r="C38" s="151" t="s">
        <v>277</v>
      </c>
      <c r="D38" s="151" t="s">
        <v>277</v>
      </c>
      <c r="E38" s="151" t="s">
        <v>277</v>
      </c>
      <c r="F38" s="101" t="s">
        <v>277</v>
      </c>
      <c r="G38" s="151" t="s">
        <v>277</v>
      </c>
      <c r="H38" s="91" t="s">
        <v>277</v>
      </c>
      <c r="I38" s="151" t="s">
        <v>277</v>
      </c>
      <c r="J38" s="91" t="s">
        <v>283</v>
      </c>
      <c r="K38" s="30"/>
      <c r="L38" s="30"/>
      <c r="M38" s="30"/>
      <c r="N38" s="30"/>
      <c r="O38" s="30"/>
      <c r="P38" s="30"/>
      <c r="Q38" s="30"/>
      <c r="R38" s="30"/>
    </row>
    <row r="39" spans="1:18" s="84" customFormat="1" x14ac:dyDescent="0.25">
      <c r="A39" s="28" t="s">
        <v>193</v>
      </c>
      <c r="B39" s="64" t="s">
        <v>277</v>
      </c>
      <c r="C39" s="64" t="s">
        <v>283</v>
      </c>
      <c r="D39" s="64" t="s">
        <v>283</v>
      </c>
      <c r="E39" s="91" t="s">
        <v>277</v>
      </c>
      <c r="F39" s="103" t="s">
        <v>283</v>
      </c>
      <c r="G39" s="64" t="s">
        <v>277</v>
      </c>
      <c r="H39" s="64" t="s">
        <v>283</v>
      </c>
      <c r="I39" s="91" t="s">
        <v>283</v>
      </c>
      <c r="J39" s="64" t="s">
        <v>277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287</v>
      </c>
      <c r="B40" s="64" t="s">
        <v>277</v>
      </c>
      <c r="C40" s="64" t="s">
        <v>283</v>
      </c>
      <c r="D40" s="64" t="s">
        <v>283</v>
      </c>
      <c r="E40" s="91" t="s">
        <v>283</v>
      </c>
      <c r="F40" s="103" t="s">
        <v>283</v>
      </c>
      <c r="G40" s="64" t="s">
        <v>277</v>
      </c>
      <c r="H40" s="64" t="s">
        <v>283</v>
      </c>
      <c r="I40" s="91" t="s">
        <v>283</v>
      </c>
      <c r="J40" s="64" t="s">
        <v>277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194</v>
      </c>
      <c r="B41" s="64" t="s">
        <v>277</v>
      </c>
      <c r="C41" s="64" t="s">
        <v>277</v>
      </c>
      <c r="D41" s="64" t="s">
        <v>277</v>
      </c>
      <c r="E41" s="91" t="s">
        <v>277</v>
      </c>
      <c r="F41" s="103" t="s">
        <v>283</v>
      </c>
      <c r="G41" s="91" t="s">
        <v>541</v>
      </c>
      <c r="H41" s="64" t="s">
        <v>283</v>
      </c>
      <c r="I41" s="91" t="s">
        <v>277</v>
      </c>
      <c r="J41" s="64" t="s">
        <v>283</v>
      </c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A42" s="28" t="s">
        <v>195</v>
      </c>
      <c r="B42" s="64" t="s">
        <v>277</v>
      </c>
      <c r="C42" s="64" t="s">
        <v>277</v>
      </c>
      <c r="D42" s="64" t="s">
        <v>277</v>
      </c>
      <c r="E42" s="91" t="s">
        <v>277</v>
      </c>
      <c r="F42" s="103" t="s">
        <v>277</v>
      </c>
      <c r="G42" s="64" t="s">
        <v>277</v>
      </c>
      <c r="H42" s="64" t="s">
        <v>390</v>
      </c>
      <c r="I42" s="91" t="s">
        <v>277</v>
      </c>
      <c r="J42" s="64" t="s">
        <v>390</v>
      </c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A43" s="28" t="s">
        <v>196</v>
      </c>
      <c r="B43" s="64" t="s">
        <v>277</v>
      </c>
      <c r="C43" s="64" t="s">
        <v>277</v>
      </c>
      <c r="D43" s="64" t="s">
        <v>277</v>
      </c>
      <c r="E43" s="91" t="s">
        <v>277</v>
      </c>
      <c r="F43" s="103" t="s">
        <v>283</v>
      </c>
      <c r="G43" s="91" t="s">
        <v>541</v>
      </c>
      <c r="H43" s="64" t="s">
        <v>283</v>
      </c>
      <c r="I43" s="91" t="s">
        <v>277</v>
      </c>
      <c r="J43" s="64" t="s">
        <v>283</v>
      </c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A44" s="29" t="s">
        <v>197</v>
      </c>
      <c r="B44" s="49" t="s">
        <v>277</v>
      </c>
      <c r="C44" s="49" t="s">
        <v>357</v>
      </c>
      <c r="D44" s="49" t="s">
        <v>357</v>
      </c>
      <c r="E44" s="149" t="s">
        <v>283</v>
      </c>
      <c r="F44" s="104" t="s">
        <v>283</v>
      </c>
      <c r="G44" s="149" t="s">
        <v>541</v>
      </c>
      <c r="H44" s="49" t="s">
        <v>283</v>
      </c>
      <c r="I44" s="149" t="s">
        <v>277</v>
      </c>
      <c r="J44" s="49" t="s">
        <v>283</v>
      </c>
      <c r="K44" s="30"/>
      <c r="L44" s="34" t="s">
        <v>308</v>
      </c>
      <c r="M44" s="33">
        <v>300</v>
      </c>
      <c r="N44" t="s">
        <v>309</v>
      </c>
      <c r="Q44" s="30"/>
      <c r="R44" s="30"/>
    </row>
    <row r="45" spans="1:18" x14ac:dyDescent="0.25">
      <c r="A45" s="105" t="s">
        <v>423</v>
      </c>
      <c r="B45" s="104" t="s">
        <v>277</v>
      </c>
      <c r="C45" s="104" t="s">
        <v>277</v>
      </c>
      <c r="D45" s="104" t="s">
        <v>277</v>
      </c>
      <c r="E45" s="104" t="s">
        <v>277</v>
      </c>
      <c r="F45" s="104" t="s">
        <v>277</v>
      </c>
      <c r="G45" s="104" t="s">
        <v>277</v>
      </c>
      <c r="H45" s="131" t="s">
        <v>428</v>
      </c>
      <c r="I45" s="164" t="s">
        <v>277</v>
      </c>
      <c r="J45" s="104" t="s">
        <v>283</v>
      </c>
      <c r="K45" s="30"/>
      <c r="L45" s="30"/>
      <c r="M45" s="30"/>
      <c r="N45" s="30"/>
    </row>
    <row r="46" spans="1:18" s="97" customFormat="1" x14ac:dyDescent="0.25">
      <c r="A46" s="98" t="s">
        <v>444</v>
      </c>
      <c r="B46" s="95" t="s">
        <v>445</v>
      </c>
      <c r="C46" s="95" t="s">
        <v>445</v>
      </c>
      <c r="D46" s="95" t="s">
        <v>445</v>
      </c>
      <c r="E46" s="95" t="s">
        <v>277</v>
      </c>
      <c r="F46" s="95" t="s">
        <v>445</v>
      </c>
      <c r="G46" s="95" t="s">
        <v>445</v>
      </c>
      <c r="H46" s="106" t="s">
        <v>277</v>
      </c>
      <c r="I46" s="165" t="s">
        <v>277</v>
      </c>
      <c r="J46" s="95" t="s">
        <v>277</v>
      </c>
      <c r="K46" s="96"/>
      <c r="L46" s="96"/>
      <c r="M46" s="96"/>
      <c r="N46" s="96"/>
      <c r="O46" s="181" t="s">
        <v>369</v>
      </c>
      <c r="P46" s="182"/>
    </row>
    <row r="47" spans="1:18" s="97" customFormat="1" x14ac:dyDescent="0.25">
      <c r="A47" s="55" t="s">
        <v>288</v>
      </c>
      <c r="B47" s="56"/>
      <c r="C47" s="57"/>
      <c r="D47" s="57"/>
      <c r="E47" s="88"/>
      <c r="F47" s="88"/>
      <c r="G47" s="57"/>
      <c r="H47" s="56"/>
      <c r="I47" s="87"/>
      <c r="J47" s="56"/>
      <c r="K47" s="96"/>
      <c r="L47" s="58" t="s">
        <v>311</v>
      </c>
      <c r="M47" s="59" t="s">
        <v>314</v>
      </c>
      <c r="N47" s="60" t="s">
        <v>368</v>
      </c>
      <c r="O47" s="58" t="s">
        <v>366</v>
      </c>
      <c r="P47" s="59" t="s">
        <v>367</v>
      </c>
      <c r="Q47"/>
    </row>
    <row r="48" spans="1:18" x14ac:dyDescent="0.25">
      <c r="A48" s="52" t="s">
        <v>187</v>
      </c>
      <c r="B48" s="53" t="s">
        <v>283</v>
      </c>
      <c r="C48" s="53" t="s">
        <v>283</v>
      </c>
      <c r="D48" s="53" t="s">
        <v>283</v>
      </c>
      <c r="E48" s="151" t="s">
        <v>277</v>
      </c>
      <c r="F48" s="101" t="s">
        <v>283</v>
      </c>
      <c r="G48" s="53" t="s">
        <v>543</v>
      </c>
      <c r="H48" s="53" t="s">
        <v>277</v>
      </c>
      <c r="I48" s="151" t="s">
        <v>277</v>
      </c>
      <c r="J48" s="53" t="s">
        <v>277</v>
      </c>
      <c r="L48" s="66" t="s">
        <v>573</v>
      </c>
      <c r="M48" s="67" t="s">
        <v>602</v>
      </c>
      <c r="N48" s="44">
        <v>0.2</v>
      </c>
      <c r="O48" s="40">
        <v>1</v>
      </c>
      <c r="P48" s="41">
        <v>1</v>
      </c>
      <c r="Q48" s="10"/>
    </row>
    <row r="49" spans="1:18" s="10" customFormat="1" x14ac:dyDescent="0.25">
      <c r="A49" s="52" t="s">
        <v>187</v>
      </c>
      <c r="B49" s="53" t="s">
        <v>277</v>
      </c>
      <c r="C49" s="53" t="s">
        <v>277</v>
      </c>
      <c r="D49" s="53" t="s">
        <v>277</v>
      </c>
      <c r="E49" s="151" t="s">
        <v>277</v>
      </c>
      <c r="F49" s="101" t="s">
        <v>277</v>
      </c>
      <c r="G49" s="53" t="s">
        <v>542</v>
      </c>
      <c r="H49" s="53" t="s">
        <v>277</v>
      </c>
      <c r="I49" s="151" t="s">
        <v>277</v>
      </c>
      <c r="J49" s="53" t="s">
        <v>277</v>
      </c>
      <c r="K49" s="54"/>
      <c r="L49" s="123" t="s">
        <v>375</v>
      </c>
      <c r="M49" s="124" t="s">
        <v>376</v>
      </c>
      <c r="N49" s="44">
        <v>0.2</v>
      </c>
      <c r="O49" s="40">
        <v>1</v>
      </c>
      <c r="P49" s="41">
        <v>1</v>
      </c>
    </row>
    <row r="50" spans="1:18" s="10" customFormat="1" x14ac:dyDescent="0.25">
      <c r="A50" s="52" t="s">
        <v>187</v>
      </c>
      <c r="B50" s="53" t="s">
        <v>277</v>
      </c>
      <c r="C50" s="53" t="s">
        <v>277</v>
      </c>
      <c r="D50" s="53" t="s">
        <v>277</v>
      </c>
      <c r="E50" s="151" t="s">
        <v>277</v>
      </c>
      <c r="F50" s="101" t="s">
        <v>277</v>
      </c>
      <c r="G50" s="91" t="s">
        <v>277</v>
      </c>
      <c r="H50" s="64" t="s">
        <v>277</v>
      </c>
      <c r="I50" s="91" t="s">
        <v>277</v>
      </c>
      <c r="J50" s="53" t="s">
        <v>277</v>
      </c>
      <c r="K50" s="122"/>
      <c r="L50" s="123" t="s">
        <v>373</v>
      </c>
      <c r="M50" s="124" t="s">
        <v>374</v>
      </c>
      <c r="N50" s="44">
        <v>0.25</v>
      </c>
      <c r="O50" s="40">
        <v>2</v>
      </c>
      <c r="P50" s="41">
        <v>2</v>
      </c>
    </row>
    <row r="51" spans="1:18" s="10" customFormat="1" x14ac:dyDescent="0.25">
      <c r="A51" s="150" t="s">
        <v>556</v>
      </c>
      <c r="B51" s="151" t="s">
        <v>277</v>
      </c>
      <c r="C51" s="151" t="s">
        <v>277</v>
      </c>
      <c r="D51" s="151" t="s">
        <v>277</v>
      </c>
      <c r="E51" s="151" t="s">
        <v>283</v>
      </c>
      <c r="F51" s="103" t="s">
        <v>277</v>
      </c>
      <c r="G51" s="91" t="s">
        <v>277</v>
      </c>
      <c r="H51" s="91" t="s">
        <v>277</v>
      </c>
      <c r="I51" s="91" t="s">
        <v>277</v>
      </c>
      <c r="J51" s="151" t="s">
        <v>277</v>
      </c>
      <c r="K51" s="122"/>
      <c r="L51" s="123" t="s">
        <v>554</v>
      </c>
      <c r="M51" s="155" t="s">
        <v>555</v>
      </c>
      <c r="N51" s="146">
        <v>0.1</v>
      </c>
      <c r="O51" s="40">
        <v>1</v>
      </c>
      <c r="P51" s="41">
        <v>1</v>
      </c>
    </row>
    <row r="52" spans="1:18" s="10" customFormat="1" ht="30" x14ac:dyDescent="0.25">
      <c r="A52" s="52" t="s">
        <v>188</v>
      </c>
      <c r="B52" s="53" t="s">
        <v>528</v>
      </c>
      <c r="C52" s="53" t="s">
        <v>528</v>
      </c>
      <c r="D52" s="157" t="s">
        <v>528</v>
      </c>
      <c r="E52" s="157" t="s">
        <v>277</v>
      </c>
      <c r="F52" s="158" t="s">
        <v>528</v>
      </c>
      <c r="G52" s="63" t="s">
        <v>352</v>
      </c>
      <c r="H52" s="53" t="s">
        <v>277</v>
      </c>
      <c r="I52" s="151" t="s">
        <v>283</v>
      </c>
      <c r="J52" s="53" t="s">
        <v>277</v>
      </c>
      <c r="K52" s="122"/>
      <c r="L52" s="123" t="s">
        <v>310</v>
      </c>
      <c r="M52" s="125"/>
      <c r="N52" s="46">
        <f t="shared" ref="N52:N57" si="0">IF(CELLREF&lt;76,(_xlfn.CEILING.MATH(CELLREF/25)*0.025),IF(CELLREF&gt;=76,(_xlfn.CEILING.MATH((CELLREF-76)/25)*0.013)+0.075))</f>
        <v>0.192</v>
      </c>
      <c r="O52" s="40">
        <v>2</v>
      </c>
      <c r="P52" s="41">
        <v>2</v>
      </c>
    </row>
    <row r="53" spans="1:18" s="10" customFormat="1" ht="15" customHeight="1" x14ac:dyDescent="0.25">
      <c r="A53" s="52" t="s">
        <v>189</v>
      </c>
      <c r="B53" s="157" t="s">
        <v>528</v>
      </c>
      <c r="C53" s="157" t="s">
        <v>528</v>
      </c>
      <c r="D53" s="157" t="s">
        <v>528</v>
      </c>
      <c r="E53" s="157" t="s">
        <v>277</v>
      </c>
      <c r="F53" s="158" t="s">
        <v>528</v>
      </c>
      <c r="G53" s="63" t="s">
        <v>352</v>
      </c>
      <c r="H53" s="53" t="s">
        <v>277</v>
      </c>
      <c r="I53" s="151" t="s">
        <v>283</v>
      </c>
      <c r="J53" s="53" t="s">
        <v>277</v>
      </c>
      <c r="K53" s="122"/>
      <c r="L53" s="123" t="s">
        <v>310</v>
      </c>
      <c r="M53" s="125"/>
      <c r="N53" s="46">
        <f t="shared" si="0"/>
        <v>0.192</v>
      </c>
      <c r="O53" s="40">
        <v>2</v>
      </c>
      <c r="P53" s="41">
        <v>2</v>
      </c>
      <c r="R53" s="156"/>
    </row>
    <row r="54" spans="1:18" s="10" customFormat="1" x14ac:dyDescent="0.25">
      <c r="A54" s="52" t="s">
        <v>190</v>
      </c>
      <c r="B54" s="158" t="s">
        <v>528</v>
      </c>
      <c r="C54" s="158" t="s">
        <v>528</v>
      </c>
      <c r="D54" s="158" t="s">
        <v>528</v>
      </c>
      <c r="E54" s="157" t="s">
        <v>277</v>
      </c>
      <c r="F54" s="158" t="s">
        <v>528</v>
      </c>
      <c r="G54" s="63" t="s">
        <v>352</v>
      </c>
      <c r="H54" s="53" t="s">
        <v>277</v>
      </c>
      <c r="I54" s="151" t="s">
        <v>283</v>
      </c>
      <c r="J54" s="53" t="s">
        <v>277</v>
      </c>
      <c r="K54" s="122"/>
      <c r="L54" s="123" t="s">
        <v>310</v>
      </c>
      <c r="M54" s="124"/>
      <c r="N54" s="46">
        <f t="shared" si="0"/>
        <v>0.192</v>
      </c>
      <c r="O54" s="40">
        <v>2</v>
      </c>
      <c r="P54" s="41">
        <v>2</v>
      </c>
    </row>
    <row r="55" spans="1:18" s="10" customFormat="1" x14ac:dyDescent="0.25">
      <c r="A55" s="150" t="s">
        <v>557</v>
      </c>
      <c r="B55" s="158" t="s">
        <v>277</v>
      </c>
      <c r="C55" s="158" t="s">
        <v>277</v>
      </c>
      <c r="D55" s="158" t="s">
        <v>277</v>
      </c>
      <c r="E55" s="157" t="s">
        <v>534</v>
      </c>
      <c r="F55" s="158" t="s">
        <v>277</v>
      </c>
      <c r="G55" s="101" t="s">
        <v>277</v>
      </c>
      <c r="H55" s="151" t="s">
        <v>277</v>
      </c>
      <c r="I55" s="151" t="s">
        <v>277</v>
      </c>
      <c r="J55" s="151" t="s">
        <v>277</v>
      </c>
      <c r="K55" s="122"/>
      <c r="L55" s="123" t="s">
        <v>552</v>
      </c>
      <c r="M55" s="155" t="s">
        <v>553</v>
      </c>
      <c r="N55" s="46">
        <f t="shared" si="0"/>
        <v>0.192</v>
      </c>
      <c r="O55" s="40">
        <v>2</v>
      </c>
      <c r="P55" s="41">
        <v>2</v>
      </c>
    </row>
    <row r="56" spans="1:18" s="10" customFormat="1" x14ac:dyDescent="0.25">
      <c r="A56" s="150" t="s">
        <v>558</v>
      </c>
      <c r="B56" s="158" t="s">
        <v>277</v>
      </c>
      <c r="C56" s="158" t="s">
        <v>277</v>
      </c>
      <c r="D56" s="158" t="s">
        <v>277</v>
      </c>
      <c r="E56" s="157" t="s">
        <v>534</v>
      </c>
      <c r="F56" s="158" t="s">
        <v>277</v>
      </c>
      <c r="G56" s="101" t="s">
        <v>277</v>
      </c>
      <c r="H56" s="151" t="s">
        <v>277</v>
      </c>
      <c r="I56" s="151" t="s">
        <v>277</v>
      </c>
      <c r="J56" s="151" t="s">
        <v>277</v>
      </c>
      <c r="K56" s="122"/>
      <c r="L56" s="123" t="s">
        <v>552</v>
      </c>
      <c r="M56" s="155" t="s">
        <v>553</v>
      </c>
      <c r="N56" s="46">
        <f t="shared" si="0"/>
        <v>0.192</v>
      </c>
      <c r="O56" s="40">
        <v>2</v>
      </c>
      <c r="P56" s="41">
        <v>2</v>
      </c>
    </row>
    <row r="57" spans="1:18" s="10" customFormat="1" x14ac:dyDescent="0.25">
      <c r="A57" s="150" t="s">
        <v>559</v>
      </c>
      <c r="B57" s="158" t="s">
        <v>277</v>
      </c>
      <c r="C57" s="158" t="s">
        <v>277</v>
      </c>
      <c r="D57" s="158" t="s">
        <v>277</v>
      </c>
      <c r="E57" s="157" t="s">
        <v>534</v>
      </c>
      <c r="F57" s="158" t="s">
        <v>277</v>
      </c>
      <c r="G57" s="101" t="s">
        <v>277</v>
      </c>
      <c r="H57" s="151" t="s">
        <v>277</v>
      </c>
      <c r="I57" s="151" t="s">
        <v>277</v>
      </c>
      <c r="J57" s="151" t="s">
        <v>277</v>
      </c>
      <c r="K57" s="122"/>
      <c r="L57" s="123" t="s">
        <v>552</v>
      </c>
      <c r="M57" s="155" t="s">
        <v>553</v>
      </c>
      <c r="N57" s="46">
        <f t="shared" si="0"/>
        <v>0.192</v>
      </c>
      <c r="O57" s="40">
        <v>2</v>
      </c>
      <c r="P57" s="41">
        <v>2</v>
      </c>
    </row>
    <row r="58" spans="1:18" s="10" customFormat="1" x14ac:dyDescent="0.25">
      <c r="A58" s="150" t="s">
        <v>521</v>
      </c>
      <c r="B58" s="101" t="s">
        <v>529</v>
      </c>
      <c r="C58" s="101" t="s">
        <v>529</v>
      </c>
      <c r="D58" s="101" t="s">
        <v>529</v>
      </c>
      <c r="E58" s="157" t="s">
        <v>535</v>
      </c>
      <c r="F58" s="101" t="s">
        <v>529</v>
      </c>
      <c r="G58" s="151" t="s">
        <v>277</v>
      </c>
      <c r="H58" s="151" t="s">
        <v>277</v>
      </c>
      <c r="I58" s="151" t="s">
        <v>277</v>
      </c>
      <c r="J58" s="151" t="s">
        <v>277</v>
      </c>
      <c r="K58" s="122"/>
      <c r="L58" s="123" t="s">
        <v>610</v>
      </c>
      <c r="M58" s="155" t="s">
        <v>611</v>
      </c>
      <c r="N58" s="46">
        <v>0.25</v>
      </c>
      <c r="O58" s="40">
        <v>1</v>
      </c>
      <c r="P58" s="41">
        <v>1</v>
      </c>
    </row>
    <row r="59" spans="1:18" s="10" customFormat="1" x14ac:dyDescent="0.25">
      <c r="A59" s="150" t="s">
        <v>522</v>
      </c>
      <c r="B59" s="101" t="s">
        <v>529</v>
      </c>
      <c r="C59" s="101" t="s">
        <v>529</v>
      </c>
      <c r="D59" s="101" t="s">
        <v>529</v>
      </c>
      <c r="E59" s="157" t="s">
        <v>535</v>
      </c>
      <c r="F59" s="101" t="s">
        <v>529</v>
      </c>
      <c r="G59" s="151" t="s">
        <v>277</v>
      </c>
      <c r="H59" s="151" t="s">
        <v>277</v>
      </c>
      <c r="I59" s="151" t="s">
        <v>277</v>
      </c>
      <c r="J59" s="151" t="s">
        <v>277</v>
      </c>
      <c r="K59" s="122"/>
      <c r="L59" s="123" t="s">
        <v>612</v>
      </c>
      <c r="M59" s="155" t="s">
        <v>613</v>
      </c>
      <c r="N59" s="46">
        <v>0.25</v>
      </c>
      <c r="O59" s="40">
        <v>1</v>
      </c>
      <c r="P59" s="41">
        <v>1</v>
      </c>
    </row>
    <row r="60" spans="1:18" s="10" customFormat="1" x14ac:dyDescent="0.25">
      <c r="A60" s="150" t="s">
        <v>523</v>
      </c>
      <c r="B60" s="101" t="s">
        <v>529</v>
      </c>
      <c r="C60" s="101" t="s">
        <v>529</v>
      </c>
      <c r="D60" s="101" t="s">
        <v>529</v>
      </c>
      <c r="E60" s="157" t="s">
        <v>535</v>
      </c>
      <c r="F60" s="101" t="s">
        <v>529</v>
      </c>
      <c r="G60" s="151" t="s">
        <v>277</v>
      </c>
      <c r="H60" s="151" t="s">
        <v>277</v>
      </c>
      <c r="I60" s="151" t="s">
        <v>277</v>
      </c>
      <c r="J60" s="151" t="s">
        <v>277</v>
      </c>
      <c r="K60" s="122"/>
      <c r="L60" s="123" t="s">
        <v>612</v>
      </c>
      <c r="M60" s="155" t="s">
        <v>613</v>
      </c>
      <c r="N60" s="46">
        <v>0.25</v>
      </c>
      <c r="O60" s="40">
        <v>1</v>
      </c>
      <c r="P60" s="41">
        <v>1</v>
      </c>
    </row>
    <row r="61" spans="1:18" s="10" customFormat="1" x14ac:dyDescent="0.25">
      <c r="A61" s="150" t="s">
        <v>524</v>
      </c>
      <c r="B61" s="101" t="s">
        <v>529</v>
      </c>
      <c r="C61" s="101" t="s">
        <v>529</v>
      </c>
      <c r="D61" s="101" t="s">
        <v>529</v>
      </c>
      <c r="E61" s="157" t="s">
        <v>535</v>
      </c>
      <c r="F61" s="101" t="s">
        <v>529</v>
      </c>
      <c r="G61" s="151" t="s">
        <v>277</v>
      </c>
      <c r="H61" s="151" t="s">
        <v>277</v>
      </c>
      <c r="I61" s="151" t="s">
        <v>277</v>
      </c>
      <c r="J61" s="151" t="s">
        <v>277</v>
      </c>
      <c r="K61" s="122"/>
      <c r="L61" s="123" t="s">
        <v>612</v>
      </c>
      <c r="M61" s="155" t="s">
        <v>613</v>
      </c>
      <c r="N61" s="46">
        <v>0.25</v>
      </c>
      <c r="O61" s="40">
        <v>1</v>
      </c>
      <c r="P61" s="41">
        <v>1</v>
      </c>
    </row>
    <row r="62" spans="1:18" s="10" customFormat="1" x14ac:dyDescent="0.25">
      <c r="A62" s="150" t="s">
        <v>525</v>
      </c>
      <c r="B62" s="101" t="s">
        <v>529</v>
      </c>
      <c r="C62" s="101" t="s">
        <v>529</v>
      </c>
      <c r="D62" s="101" t="s">
        <v>529</v>
      </c>
      <c r="E62" s="157" t="s">
        <v>535</v>
      </c>
      <c r="F62" s="101" t="s">
        <v>529</v>
      </c>
      <c r="G62" s="151" t="s">
        <v>277</v>
      </c>
      <c r="H62" s="151" t="s">
        <v>277</v>
      </c>
      <c r="I62" s="151" t="s">
        <v>277</v>
      </c>
      <c r="J62" s="151" t="s">
        <v>277</v>
      </c>
      <c r="K62" s="122"/>
      <c r="L62" s="123" t="s">
        <v>612</v>
      </c>
      <c r="M62" s="155" t="s">
        <v>613</v>
      </c>
      <c r="N62" s="46">
        <v>0.25</v>
      </c>
      <c r="O62" s="40">
        <v>1</v>
      </c>
      <c r="P62" s="41">
        <v>1</v>
      </c>
    </row>
    <row r="63" spans="1:18" s="10" customFormat="1" x14ac:dyDescent="0.25">
      <c r="A63" s="150" t="s">
        <v>526</v>
      </c>
      <c r="B63" s="101" t="s">
        <v>529</v>
      </c>
      <c r="C63" s="101" t="s">
        <v>529</v>
      </c>
      <c r="D63" s="101" t="s">
        <v>529</v>
      </c>
      <c r="E63" s="157" t="s">
        <v>535</v>
      </c>
      <c r="F63" s="101" t="s">
        <v>529</v>
      </c>
      <c r="G63" s="151" t="s">
        <v>277</v>
      </c>
      <c r="H63" s="151" t="s">
        <v>277</v>
      </c>
      <c r="I63" s="151" t="s">
        <v>277</v>
      </c>
      <c r="J63" s="151" t="s">
        <v>277</v>
      </c>
      <c r="K63" s="122"/>
      <c r="L63" s="123" t="s">
        <v>612</v>
      </c>
      <c r="M63" s="155" t="s">
        <v>613</v>
      </c>
      <c r="N63" s="46">
        <v>0.25</v>
      </c>
      <c r="O63" s="40">
        <v>1</v>
      </c>
      <c r="P63" s="41">
        <v>1</v>
      </c>
    </row>
    <row r="64" spans="1:18" s="10" customFormat="1" x14ac:dyDescent="0.25">
      <c r="A64" s="150" t="s">
        <v>527</v>
      </c>
      <c r="B64" s="101" t="s">
        <v>529</v>
      </c>
      <c r="C64" s="101" t="s">
        <v>529</v>
      </c>
      <c r="D64" s="101" t="s">
        <v>529</v>
      </c>
      <c r="E64" s="157" t="s">
        <v>535</v>
      </c>
      <c r="F64" s="101" t="s">
        <v>529</v>
      </c>
      <c r="G64" s="151" t="s">
        <v>277</v>
      </c>
      <c r="H64" s="151" t="s">
        <v>277</v>
      </c>
      <c r="I64" s="151" t="s">
        <v>277</v>
      </c>
      <c r="J64" s="151" t="s">
        <v>277</v>
      </c>
      <c r="K64" s="122"/>
      <c r="L64" s="123" t="s">
        <v>612</v>
      </c>
      <c r="M64" s="155" t="s">
        <v>613</v>
      </c>
      <c r="N64" s="46">
        <v>0.25</v>
      </c>
      <c r="O64" s="40">
        <v>1</v>
      </c>
      <c r="P64" s="41">
        <v>1</v>
      </c>
    </row>
    <row r="65" spans="1:16" s="10" customFormat="1" x14ac:dyDescent="0.25">
      <c r="A65" s="52" t="s">
        <v>191</v>
      </c>
      <c r="B65" s="101" t="s">
        <v>283</v>
      </c>
      <c r="C65" s="101" t="s">
        <v>283</v>
      </c>
      <c r="D65" s="101" t="s">
        <v>283</v>
      </c>
      <c r="E65" s="101" t="s">
        <v>277</v>
      </c>
      <c r="F65" s="101" t="s">
        <v>283</v>
      </c>
      <c r="G65" s="63" t="s">
        <v>352</v>
      </c>
      <c r="H65" s="53" t="s">
        <v>277</v>
      </c>
      <c r="I65" s="151" t="s">
        <v>277</v>
      </c>
      <c r="J65" s="53" t="s">
        <v>277</v>
      </c>
      <c r="K65" s="122"/>
      <c r="L65" s="123" t="s">
        <v>200</v>
      </c>
      <c r="M65" s="124" t="s">
        <v>312</v>
      </c>
      <c r="N65" s="44">
        <f>IF(CELLREF&lt;=6, 0.25, 1.5)</f>
        <v>1.5</v>
      </c>
      <c r="O65" s="40">
        <v>1</v>
      </c>
      <c r="P65" s="41">
        <v>1</v>
      </c>
    </row>
    <row r="66" spans="1:16" s="10" customFormat="1" x14ac:dyDescent="0.25">
      <c r="A66" s="52" t="s">
        <v>391</v>
      </c>
      <c r="B66" s="101" t="s">
        <v>446</v>
      </c>
      <c r="C66" s="101" t="s">
        <v>446</v>
      </c>
      <c r="D66" s="101" t="s">
        <v>446</v>
      </c>
      <c r="E66" s="101" t="s">
        <v>277</v>
      </c>
      <c r="F66" s="101" t="s">
        <v>447</v>
      </c>
      <c r="G66" s="64" t="s">
        <v>277</v>
      </c>
      <c r="H66" s="53" t="s">
        <v>277</v>
      </c>
      <c r="I66" s="151" t="s">
        <v>277</v>
      </c>
      <c r="J66" s="53" t="s">
        <v>277</v>
      </c>
      <c r="K66" s="122"/>
      <c r="L66" s="142" t="s">
        <v>457</v>
      </c>
      <c r="M66" s="143" t="s">
        <v>458</v>
      </c>
      <c r="N66" s="44">
        <v>0.25</v>
      </c>
      <c r="O66" s="40">
        <v>1</v>
      </c>
      <c r="P66" s="41">
        <v>1</v>
      </c>
    </row>
    <row r="67" spans="1:16" s="10" customFormat="1" x14ac:dyDescent="0.25">
      <c r="A67" s="52" t="s">
        <v>364</v>
      </c>
      <c r="B67" s="101" t="s">
        <v>358</v>
      </c>
      <c r="C67" s="101" t="s">
        <v>358</v>
      </c>
      <c r="D67" s="101" t="s">
        <v>358</v>
      </c>
      <c r="E67" s="101" t="s">
        <v>277</v>
      </c>
      <c r="F67" s="101" t="s">
        <v>358</v>
      </c>
      <c r="G67" s="64" t="s">
        <v>277</v>
      </c>
      <c r="H67" s="53" t="s">
        <v>277</v>
      </c>
      <c r="I67" s="151" t="s">
        <v>277</v>
      </c>
      <c r="J67" s="53" t="s">
        <v>277</v>
      </c>
      <c r="K67" s="122"/>
      <c r="L67" s="127" t="s">
        <v>233</v>
      </c>
      <c r="M67" s="124" t="s">
        <v>313</v>
      </c>
      <c r="N67" s="44">
        <v>0.5</v>
      </c>
      <c r="O67" s="40">
        <v>1</v>
      </c>
      <c r="P67" s="41">
        <v>1</v>
      </c>
    </row>
    <row r="68" spans="1:16" s="10" customFormat="1" x14ac:dyDescent="0.25">
      <c r="A68" s="52" t="s">
        <v>392</v>
      </c>
      <c r="B68" s="53" t="s">
        <v>358</v>
      </c>
      <c r="C68" s="53" t="s">
        <v>358</v>
      </c>
      <c r="D68" s="53" t="s">
        <v>358</v>
      </c>
      <c r="E68" s="151" t="s">
        <v>277</v>
      </c>
      <c r="F68" s="101" t="s">
        <v>358</v>
      </c>
      <c r="G68" s="64" t="s">
        <v>277</v>
      </c>
      <c r="H68" s="53" t="s">
        <v>277</v>
      </c>
      <c r="I68" s="151" t="s">
        <v>277</v>
      </c>
      <c r="J68" s="53" t="s">
        <v>277</v>
      </c>
      <c r="K68" s="122"/>
      <c r="L68" s="126" t="s">
        <v>455</v>
      </c>
      <c r="M68" s="124" t="s">
        <v>456</v>
      </c>
      <c r="N68" s="44">
        <v>1</v>
      </c>
      <c r="O68" s="40">
        <v>2</v>
      </c>
      <c r="P68" s="41">
        <v>2</v>
      </c>
    </row>
    <row r="69" spans="1:16" s="10" customFormat="1" x14ac:dyDescent="0.25">
      <c r="A69" s="52" t="s">
        <v>393</v>
      </c>
      <c r="B69" s="53" t="s">
        <v>544</v>
      </c>
      <c r="C69" s="53" t="s">
        <v>544</v>
      </c>
      <c r="D69" s="53" t="s">
        <v>544</v>
      </c>
      <c r="E69" s="151" t="s">
        <v>277</v>
      </c>
      <c r="F69" s="101" t="s">
        <v>277</v>
      </c>
      <c r="G69" s="53" t="s">
        <v>544</v>
      </c>
      <c r="H69" s="53" t="s">
        <v>277</v>
      </c>
      <c r="I69" s="151" t="s">
        <v>277</v>
      </c>
      <c r="J69" s="53" t="s">
        <v>277</v>
      </c>
      <c r="K69" s="122"/>
      <c r="L69" s="128" t="s">
        <v>429</v>
      </c>
      <c r="M69" s="124"/>
      <c r="N69" s="44">
        <v>0</v>
      </c>
      <c r="O69" s="40">
        <v>0</v>
      </c>
      <c r="P69" s="41">
        <v>0</v>
      </c>
    </row>
    <row r="70" spans="1:16" s="10" customFormat="1" x14ac:dyDescent="0.25">
      <c r="A70" s="52" t="s">
        <v>394</v>
      </c>
      <c r="B70" s="53" t="s">
        <v>544</v>
      </c>
      <c r="C70" s="53" t="s">
        <v>544</v>
      </c>
      <c r="D70" s="53" t="s">
        <v>544</v>
      </c>
      <c r="E70" s="151" t="s">
        <v>277</v>
      </c>
      <c r="F70" s="101" t="s">
        <v>277</v>
      </c>
      <c r="G70" s="53" t="s">
        <v>544</v>
      </c>
      <c r="H70" s="53" t="s">
        <v>277</v>
      </c>
      <c r="I70" s="151" t="s">
        <v>277</v>
      </c>
      <c r="J70" s="53" t="s">
        <v>277</v>
      </c>
      <c r="K70" s="122"/>
      <c r="L70" s="127" t="s">
        <v>430</v>
      </c>
      <c r="M70" s="124"/>
      <c r="N70" s="44"/>
      <c r="O70" s="40"/>
      <c r="P70" s="41"/>
    </row>
    <row r="71" spans="1:16" s="10" customFormat="1" x14ac:dyDescent="0.25">
      <c r="A71" s="52" t="s">
        <v>395</v>
      </c>
      <c r="B71" s="53" t="s">
        <v>544</v>
      </c>
      <c r="C71" s="53" t="s">
        <v>544</v>
      </c>
      <c r="D71" s="53" t="s">
        <v>544</v>
      </c>
      <c r="E71" s="151" t="s">
        <v>277</v>
      </c>
      <c r="F71" s="101" t="s">
        <v>277</v>
      </c>
      <c r="G71" s="53" t="s">
        <v>544</v>
      </c>
      <c r="H71" s="53" t="s">
        <v>277</v>
      </c>
      <c r="I71" s="151" t="s">
        <v>277</v>
      </c>
      <c r="J71" s="90" t="s">
        <v>277</v>
      </c>
      <c r="K71" s="122"/>
      <c r="L71" s="127" t="s">
        <v>431</v>
      </c>
      <c r="M71" s="124" t="s">
        <v>432</v>
      </c>
      <c r="N71" s="44">
        <v>0.15</v>
      </c>
      <c r="O71" s="40">
        <v>2</v>
      </c>
      <c r="P71" s="41">
        <v>2</v>
      </c>
    </row>
    <row r="72" spans="1:16" s="10" customFormat="1" x14ac:dyDescent="0.25">
      <c r="A72" s="52" t="s">
        <v>396</v>
      </c>
      <c r="B72" s="53" t="s">
        <v>359</v>
      </c>
      <c r="C72" s="53" t="s">
        <v>360</v>
      </c>
      <c r="D72" s="53" t="s">
        <v>361</v>
      </c>
      <c r="E72" s="151" t="s">
        <v>277</v>
      </c>
      <c r="F72" s="101" t="s">
        <v>448</v>
      </c>
      <c r="G72" s="53" t="s">
        <v>542</v>
      </c>
      <c r="H72" s="53" t="s">
        <v>277</v>
      </c>
      <c r="I72" s="151" t="s">
        <v>277</v>
      </c>
      <c r="J72" s="53" t="s">
        <v>277</v>
      </c>
      <c r="K72" s="101"/>
      <c r="L72" s="127" t="s">
        <v>574</v>
      </c>
      <c r="M72" s="124" t="s">
        <v>575</v>
      </c>
      <c r="N72" s="44">
        <v>0.25</v>
      </c>
      <c r="O72" s="40">
        <v>2</v>
      </c>
      <c r="P72" s="41">
        <v>2</v>
      </c>
    </row>
    <row r="73" spans="1:16" s="10" customFormat="1" x14ac:dyDescent="0.25">
      <c r="A73" s="52" t="s">
        <v>397</v>
      </c>
      <c r="B73" s="53" t="s">
        <v>359</v>
      </c>
      <c r="C73" s="53" t="s">
        <v>360</v>
      </c>
      <c r="D73" s="64" t="s">
        <v>277</v>
      </c>
      <c r="E73" s="91" t="s">
        <v>277</v>
      </c>
      <c r="F73" s="101" t="s">
        <v>448</v>
      </c>
      <c r="G73" s="64" t="s">
        <v>277</v>
      </c>
      <c r="H73" s="53" t="s">
        <v>277</v>
      </c>
      <c r="I73" s="151" t="s">
        <v>277</v>
      </c>
      <c r="J73" s="53" t="s">
        <v>277</v>
      </c>
      <c r="K73" s="122"/>
      <c r="L73" s="127" t="s">
        <v>576</v>
      </c>
      <c r="M73" s="124" t="s">
        <v>577</v>
      </c>
      <c r="N73" s="44">
        <v>0.25</v>
      </c>
      <c r="O73" s="40">
        <v>2</v>
      </c>
      <c r="P73" s="41">
        <v>2</v>
      </c>
    </row>
    <row r="74" spans="1:16" s="10" customFormat="1" x14ac:dyDescent="0.25">
      <c r="A74" s="47" t="s">
        <v>398</v>
      </c>
      <c r="B74" s="48" t="s">
        <v>359</v>
      </c>
      <c r="C74" s="48" t="s">
        <v>360</v>
      </c>
      <c r="D74" s="49" t="s">
        <v>283</v>
      </c>
      <c r="E74" s="149" t="s">
        <v>277</v>
      </c>
      <c r="F74" s="104" t="s">
        <v>283</v>
      </c>
      <c r="G74" s="149" t="s">
        <v>542</v>
      </c>
      <c r="H74" s="49" t="s">
        <v>277</v>
      </c>
      <c r="I74" s="149" t="s">
        <v>277</v>
      </c>
      <c r="J74" s="48" t="s">
        <v>277</v>
      </c>
      <c r="K74" s="122"/>
      <c r="L74" s="129" t="s">
        <v>350</v>
      </c>
      <c r="M74" s="130" t="s">
        <v>351</v>
      </c>
      <c r="N74" s="70">
        <v>0.25</v>
      </c>
      <c r="O74" s="71">
        <v>2</v>
      </c>
      <c r="P74" s="72">
        <v>2</v>
      </c>
    </row>
    <row r="75" spans="1:16" s="10" customFormat="1" x14ac:dyDescent="0.25">
      <c r="A75" s="47" t="s">
        <v>398</v>
      </c>
      <c r="B75" s="48" t="s">
        <v>277</v>
      </c>
      <c r="C75" s="48" t="s">
        <v>277</v>
      </c>
      <c r="D75" s="49" t="s">
        <v>277</v>
      </c>
      <c r="E75" s="149" t="s">
        <v>277</v>
      </c>
      <c r="F75" s="104" t="s">
        <v>277</v>
      </c>
      <c r="G75" s="49" t="s">
        <v>277</v>
      </c>
      <c r="H75" s="48" t="s">
        <v>283</v>
      </c>
      <c r="I75" s="148" t="s">
        <v>277</v>
      </c>
      <c r="J75" s="48" t="s">
        <v>283</v>
      </c>
      <c r="K75" s="122"/>
      <c r="L75" s="129" t="s">
        <v>350</v>
      </c>
      <c r="M75" s="130" t="s">
        <v>351</v>
      </c>
      <c r="N75" s="70">
        <f>0.01*CELLREF</f>
        <v>3</v>
      </c>
      <c r="O75" s="71">
        <v>2</v>
      </c>
      <c r="P75" s="72">
        <v>2</v>
      </c>
    </row>
    <row r="76" spans="1:16" s="10" customFormat="1" x14ac:dyDescent="0.25">
      <c r="A76" s="147" t="s">
        <v>560</v>
      </c>
      <c r="B76" s="148" t="s">
        <v>277</v>
      </c>
      <c r="C76" s="148" t="s">
        <v>277</v>
      </c>
      <c r="D76" s="149" t="s">
        <v>277</v>
      </c>
      <c r="E76" s="149" t="s">
        <v>283</v>
      </c>
      <c r="F76" s="104" t="s">
        <v>277</v>
      </c>
      <c r="G76" s="149" t="s">
        <v>277</v>
      </c>
      <c r="H76" s="148" t="s">
        <v>277</v>
      </c>
      <c r="I76" s="148" t="s">
        <v>277</v>
      </c>
      <c r="J76" s="148" t="s">
        <v>277</v>
      </c>
      <c r="K76" s="122"/>
      <c r="L76" s="129" t="s">
        <v>561</v>
      </c>
      <c r="M76" s="130" t="s">
        <v>562</v>
      </c>
      <c r="N76" s="154">
        <v>0.05</v>
      </c>
      <c r="O76" s="71">
        <v>2</v>
      </c>
      <c r="P76" s="72">
        <v>2</v>
      </c>
    </row>
    <row r="77" spans="1:16" s="10" customFormat="1" x14ac:dyDescent="0.25">
      <c r="A77" s="47" t="s">
        <v>399</v>
      </c>
      <c r="B77" s="48" t="s">
        <v>277</v>
      </c>
      <c r="C77" s="48" t="s">
        <v>277</v>
      </c>
      <c r="D77" s="49" t="s">
        <v>277</v>
      </c>
      <c r="E77" s="149" t="s">
        <v>277</v>
      </c>
      <c r="F77" s="104" t="s">
        <v>277</v>
      </c>
      <c r="G77" s="49" t="s">
        <v>277</v>
      </c>
      <c r="H77" s="48" t="s">
        <v>283</v>
      </c>
      <c r="I77" s="148" t="s">
        <v>277</v>
      </c>
      <c r="J77" s="49" t="s">
        <v>277</v>
      </c>
      <c r="K77" s="122"/>
      <c r="L77" s="129" t="s">
        <v>310</v>
      </c>
      <c r="M77" s="130"/>
      <c r="N77" s="70">
        <f>0.001*CELLREF</f>
        <v>0.3</v>
      </c>
      <c r="O77" s="118">
        <v>2</v>
      </c>
      <c r="P77" s="119">
        <v>2</v>
      </c>
    </row>
    <row r="78" spans="1:16" s="10" customFormat="1" x14ac:dyDescent="0.25">
      <c r="A78" s="47" t="s">
        <v>400</v>
      </c>
      <c r="B78" s="48" t="s">
        <v>277</v>
      </c>
      <c r="C78" s="48" t="s">
        <v>277</v>
      </c>
      <c r="D78" s="49" t="s">
        <v>277</v>
      </c>
      <c r="E78" s="149" t="s">
        <v>277</v>
      </c>
      <c r="F78" s="104" t="s">
        <v>277</v>
      </c>
      <c r="G78" s="49" t="s">
        <v>277</v>
      </c>
      <c r="H78" s="48" t="s">
        <v>277</v>
      </c>
      <c r="I78" s="148" t="s">
        <v>277</v>
      </c>
      <c r="J78" s="49" t="s">
        <v>283</v>
      </c>
      <c r="K78" s="122"/>
      <c r="L78" s="126" t="s">
        <v>433</v>
      </c>
      <c r="M78" s="130" t="s">
        <v>434</v>
      </c>
      <c r="N78" s="179">
        <f>IF(CELLREF/50 &gt; 1, CELLREF/50, 1)</f>
        <v>6</v>
      </c>
      <c r="O78" s="118">
        <v>1</v>
      </c>
      <c r="P78" s="119">
        <v>1</v>
      </c>
    </row>
    <row r="79" spans="1:16" s="10" customFormat="1" x14ac:dyDescent="0.25">
      <c r="A79" s="47" t="s">
        <v>401</v>
      </c>
      <c r="B79" s="48" t="s">
        <v>277</v>
      </c>
      <c r="C79" s="48" t="s">
        <v>277</v>
      </c>
      <c r="D79" s="49" t="s">
        <v>277</v>
      </c>
      <c r="E79" s="149" t="s">
        <v>277</v>
      </c>
      <c r="F79" s="104" t="s">
        <v>283</v>
      </c>
      <c r="G79" s="104" t="s">
        <v>277</v>
      </c>
      <c r="H79" s="48" t="s">
        <v>277</v>
      </c>
      <c r="I79" s="148" t="s">
        <v>277</v>
      </c>
      <c r="J79" s="48" t="s">
        <v>277</v>
      </c>
      <c r="K79" s="122"/>
      <c r="L79" s="129" t="s">
        <v>387</v>
      </c>
      <c r="M79" s="130" t="s">
        <v>388</v>
      </c>
      <c r="N79" s="145">
        <v>12</v>
      </c>
      <c r="O79" s="71">
        <v>0</v>
      </c>
      <c r="P79" s="72">
        <v>0</v>
      </c>
    </row>
    <row r="80" spans="1:16" s="10" customFormat="1" x14ac:dyDescent="0.25">
      <c r="A80" s="147" t="s">
        <v>401</v>
      </c>
      <c r="B80" s="148" t="s">
        <v>277</v>
      </c>
      <c r="C80" s="148" t="s">
        <v>277</v>
      </c>
      <c r="D80" s="149" t="s">
        <v>277</v>
      </c>
      <c r="E80" s="149" t="s">
        <v>277</v>
      </c>
      <c r="F80" s="104" t="s">
        <v>277</v>
      </c>
      <c r="G80" s="104" t="s">
        <v>277</v>
      </c>
      <c r="H80" s="148" t="s">
        <v>277</v>
      </c>
      <c r="I80" s="148" t="s">
        <v>277</v>
      </c>
      <c r="J80" s="148" t="s">
        <v>283</v>
      </c>
      <c r="K80" s="122"/>
      <c r="L80" s="129" t="s">
        <v>586</v>
      </c>
      <c r="M80" s="130" t="s">
        <v>587</v>
      </c>
      <c r="N80" s="145">
        <v>12</v>
      </c>
      <c r="O80" s="71">
        <v>0</v>
      </c>
      <c r="P80" s="72">
        <v>0</v>
      </c>
    </row>
    <row r="81" spans="1:17" s="10" customFormat="1" x14ac:dyDescent="0.25">
      <c r="A81" s="47" t="s">
        <v>401</v>
      </c>
      <c r="B81" s="48" t="s">
        <v>277</v>
      </c>
      <c r="C81" s="48" t="s">
        <v>277</v>
      </c>
      <c r="D81" s="49" t="s">
        <v>277</v>
      </c>
      <c r="E81" s="149" t="s">
        <v>277</v>
      </c>
      <c r="F81" s="104" t="s">
        <v>283</v>
      </c>
      <c r="G81" s="104" t="s">
        <v>541</v>
      </c>
      <c r="H81" s="48" t="s">
        <v>277</v>
      </c>
      <c r="I81" s="148" t="s">
        <v>277</v>
      </c>
      <c r="J81" s="102" t="s">
        <v>277</v>
      </c>
      <c r="K81" s="122"/>
      <c r="L81" s="129" t="s">
        <v>387</v>
      </c>
      <c r="M81" s="130" t="s">
        <v>388</v>
      </c>
      <c r="N81" s="145">
        <v>6</v>
      </c>
      <c r="O81" s="71">
        <v>0</v>
      </c>
      <c r="P81" s="72">
        <v>0</v>
      </c>
    </row>
    <row r="82" spans="1:17" s="10" customFormat="1" x14ac:dyDescent="0.25">
      <c r="A82" s="147" t="s">
        <v>401</v>
      </c>
      <c r="B82" s="148" t="s">
        <v>277</v>
      </c>
      <c r="C82" s="148" t="s">
        <v>277</v>
      </c>
      <c r="D82" s="149" t="s">
        <v>277</v>
      </c>
      <c r="E82" s="149" t="s">
        <v>277</v>
      </c>
      <c r="F82" s="104" t="s">
        <v>277</v>
      </c>
      <c r="G82" s="104" t="s">
        <v>277</v>
      </c>
      <c r="H82" s="148" t="s">
        <v>515</v>
      </c>
      <c r="I82" s="148" t="s">
        <v>277</v>
      </c>
      <c r="J82" s="102" t="s">
        <v>277</v>
      </c>
      <c r="K82" s="122"/>
      <c r="L82" s="129" t="s">
        <v>578</v>
      </c>
      <c r="M82" s="130" t="s">
        <v>579</v>
      </c>
      <c r="N82" s="145">
        <v>12</v>
      </c>
      <c r="O82" s="71">
        <v>0</v>
      </c>
      <c r="P82" s="72">
        <v>0</v>
      </c>
    </row>
    <row r="83" spans="1:17" s="10" customFormat="1" x14ac:dyDescent="0.25">
      <c r="A83" s="147" t="s">
        <v>401</v>
      </c>
      <c r="B83" s="148" t="s">
        <v>277</v>
      </c>
      <c r="C83" s="148" t="s">
        <v>277</v>
      </c>
      <c r="D83" s="149" t="s">
        <v>277</v>
      </c>
      <c r="E83" s="149" t="s">
        <v>277</v>
      </c>
      <c r="F83" s="104" t="s">
        <v>277</v>
      </c>
      <c r="G83" s="104" t="s">
        <v>277</v>
      </c>
      <c r="H83" s="148" t="s">
        <v>516</v>
      </c>
      <c r="I83" s="148" t="s">
        <v>277</v>
      </c>
      <c r="J83" s="102" t="s">
        <v>277</v>
      </c>
      <c r="K83" s="122"/>
      <c r="L83" s="129" t="s">
        <v>578</v>
      </c>
      <c r="M83" s="130" t="s">
        <v>579</v>
      </c>
      <c r="N83" s="145">
        <v>6</v>
      </c>
      <c r="O83" s="71">
        <v>0</v>
      </c>
      <c r="P83" s="72">
        <v>0</v>
      </c>
    </row>
    <row r="84" spans="1:17" s="10" customFormat="1" x14ac:dyDescent="0.25">
      <c r="A84" s="47" t="s">
        <v>402</v>
      </c>
      <c r="B84" s="48" t="s">
        <v>277</v>
      </c>
      <c r="C84" s="48" t="s">
        <v>277</v>
      </c>
      <c r="D84" s="49" t="s">
        <v>277</v>
      </c>
      <c r="E84" s="149" t="s">
        <v>277</v>
      </c>
      <c r="F84" s="104" t="s">
        <v>277</v>
      </c>
      <c r="G84" s="49" t="s">
        <v>277</v>
      </c>
      <c r="H84" s="102" t="s">
        <v>283</v>
      </c>
      <c r="I84" s="102" t="s">
        <v>277</v>
      </c>
      <c r="J84" s="48" t="s">
        <v>277</v>
      </c>
      <c r="K84" s="122"/>
      <c r="L84" s="129" t="s">
        <v>580</v>
      </c>
      <c r="M84" s="130" t="s">
        <v>581</v>
      </c>
      <c r="N84" s="70">
        <v>3</v>
      </c>
      <c r="O84" s="71">
        <v>0</v>
      </c>
      <c r="P84" s="72">
        <v>0</v>
      </c>
    </row>
    <row r="85" spans="1:17" s="10" customFormat="1" x14ac:dyDescent="0.25">
      <c r="A85" s="47" t="s">
        <v>403</v>
      </c>
      <c r="B85" s="48" t="s">
        <v>277</v>
      </c>
      <c r="C85" s="48" t="s">
        <v>277</v>
      </c>
      <c r="D85" s="49" t="s">
        <v>277</v>
      </c>
      <c r="E85" s="149" t="s">
        <v>277</v>
      </c>
      <c r="F85" s="104" t="s">
        <v>277</v>
      </c>
      <c r="G85" s="49" t="s">
        <v>277</v>
      </c>
      <c r="H85" s="102" t="s">
        <v>283</v>
      </c>
      <c r="I85" s="102" t="s">
        <v>277</v>
      </c>
      <c r="J85" s="48" t="s">
        <v>277</v>
      </c>
      <c r="K85" s="122"/>
      <c r="L85" s="129" t="s">
        <v>582</v>
      </c>
      <c r="M85" s="130" t="s">
        <v>583</v>
      </c>
      <c r="N85" s="70">
        <v>3</v>
      </c>
      <c r="O85" s="71">
        <v>0</v>
      </c>
      <c r="P85" s="72">
        <v>0</v>
      </c>
    </row>
    <row r="86" spans="1:17" s="10" customFormat="1" x14ac:dyDescent="0.25">
      <c r="A86" s="47" t="s">
        <v>404</v>
      </c>
      <c r="B86" s="48" t="s">
        <v>277</v>
      </c>
      <c r="C86" s="48" t="s">
        <v>277</v>
      </c>
      <c r="D86" s="49" t="s">
        <v>277</v>
      </c>
      <c r="E86" s="149" t="s">
        <v>277</v>
      </c>
      <c r="F86" s="104" t="s">
        <v>277</v>
      </c>
      <c r="G86" s="49" t="s">
        <v>277</v>
      </c>
      <c r="H86" s="102" t="s">
        <v>283</v>
      </c>
      <c r="I86" s="102" t="s">
        <v>277</v>
      </c>
      <c r="J86" s="48" t="s">
        <v>277</v>
      </c>
      <c r="K86" s="122"/>
      <c r="L86" s="129" t="s">
        <v>584</v>
      </c>
      <c r="M86" s="130" t="s">
        <v>585</v>
      </c>
      <c r="N86" s="70">
        <v>3</v>
      </c>
      <c r="O86" s="71">
        <v>0</v>
      </c>
      <c r="P86" s="72">
        <v>0</v>
      </c>
    </row>
    <row r="87" spans="1:17" s="10" customFormat="1" x14ac:dyDescent="0.25">
      <c r="A87" s="47" t="s">
        <v>450</v>
      </c>
      <c r="B87" s="48" t="s">
        <v>277</v>
      </c>
      <c r="C87" s="48" t="s">
        <v>277</v>
      </c>
      <c r="D87" s="49" t="s">
        <v>277</v>
      </c>
      <c r="E87" s="149" t="s">
        <v>277</v>
      </c>
      <c r="F87" s="104" t="s">
        <v>277</v>
      </c>
      <c r="G87" s="49" t="s">
        <v>277</v>
      </c>
      <c r="H87" s="48" t="s">
        <v>283</v>
      </c>
      <c r="I87" s="148" t="s">
        <v>277</v>
      </c>
      <c r="J87" s="49" t="s">
        <v>277</v>
      </c>
      <c r="K87" s="122"/>
      <c r="L87" s="142" t="s">
        <v>451</v>
      </c>
      <c r="M87" s="144" t="s">
        <v>452</v>
      </c>
      <c r="N87" s="70">
        <v>0.25</v>
      </c>
      <c r="O87" s="71">
        <v>1</v>
      </c>
      <c r="P87" s="72">
        <v>1</v>
      </c>
    </row>
    <row r="88" spans="1:17" s="10" customFormat="1" x14ac:dyDescent="0.25">
      <c r="A88" s="47" t="s">
        <v>449</v>
      </c>
      <c r="B88" s="48" t="s">
        <v>277</v>
      </c>
      <c r="C88" s="48" t="s">
        <v>277</v>
      </c>
      <c r="D88" s="49" t="s">
        <v>277</v>
      </c>
      <c r="E88" s="149" t="s">
        <v>277</v>
      </c>
      <c r="F88" s="104" t="s">
        <v>277</v>
      </c>
      <c r="G88" s="49" t="s">
        <v>277</v>
      </c>
      <c r="H88" s="48" t="s">
        <v>283</v>
      </c>
      <c r="I88" s="148" t="s">
        <v>277</v>
      </c>
      <c r="J88" s="49" t="s">
        <v>277</v>
      </c>
      <c r="K88" s="122"/>
      <c r="L88" s="142" t="s">
        <v>453</v>
      </c>
      <c r="M88" s="143" t="s">
        <v>454</v>
      </c>
      <c r="N88" s="70">
        <v>0.25</v>
      </c>
      <c r="O88" s="71">
        <v>1</v>
      </c>
      <c r="P88" s="72">
        <v>1</v>
      </c>
    </row>
    <row r="89" spans="1:17" s="10" customFormat="1" x14ac:dyDescent="0.25">
      <c r="A89" s="47" t="s">
        <v>405</v>
      </c>
      <c r="B89" s="48" t="s">
        <v>277</v>
      </c>
      <c r="C89" s="48" t="s">
        <v>277</v>
      </c>
      <c r="D89" s="49" t="s">
        <v>277</v>
      </c>
      <c r="E89" s="149" t="s">
        <v>277</v>
      </c>
      <c r="F89" s="104" t="s">
        <v>277</v>
      </c>
      <c r="G89" s="49" t="s">
        <v>277</v>
      </c>
      <c r="H89" s="48" t="s">
        <v>277</v>
      </c>
      <c r="I89" s="148" t="s">
        <v>277</v>
      </c>
      <c r="J89" s="48" t="s">
        <v>421</v>
      </c>
      <c r="K89" s="122"/>
      <c r="L89" s="129" t="s">
        <v>590</v>
      </c>
      <c r="M89" s="130" t="s">
        <v>591</v>
      </c>
      <c r="N89" s="70">
        <v>12</v>
      </c>
      <c r="O89" s="118">
        <v>0</v>
      </c>
      <c r="P89" s="119">
        <v>0</v>
      </c>
    </row>
    <row r="90" spans="1:17" s="10" customFormat="1" x14ac:dyDescent="0.25">
      <c r="A90" s="152" t="s">
        <v>406</v>
      </c>
      <c r="B90" s="153" t="s">
        <v>277</v>
      </c>
      <c r="C90" s="153" t="s">
        <v>277</v>
      </c>
      <c r="D90" s="65" t="s">
        <v>277</v>
      </c>
      <c r="E90" s="65" t="s">
        <v>277</v>
      </c>
      <c r="F90" s="95" t="s">
        <v>277</v>
      </c>
      <c r="G90" s="65" t="s">
        <v>277</v>
      </c>
      <c r="H90" s="153" t="s">
        <v>277</v>
      </c>
      <c r="I90" s="153" t="s">
        <v>277</v>
      </c>
      <c r="J90" s="153" t="s">
        <v>283</v>
      </c>
      <c r="K90" s="122"/>
      <c r="L90" s="68" t="s">
        <v>588</v>
      </c>
      <c r="M90" s="69" t="s">
        <v>589</v>
      </c>
      <c r="N90" s="45">
        <v>5</v>
      </c>
      <c r="O90" s="42">
        <v>0</v>
      </c>
      <c r="P90" s="43">
        <v>0</v>
      </c>
    </row>
    <row r="91" spans="1:17" s="10" customFormat="1" x14ac:dyDescent="0.25">
      <c r="A91"/>
      <c r="B91" s="30"/>
      <c r="C91"/>
      <c r="D91"/>
      <c r="E91" s="84"/>
      <c r="F91" s="97"/>
      <c r="G91"/>
      <c r="H91" s="30"/>
      <c r="I91" s="30"/>
      <c r="J91" s="30"/>
      <c r="K91" s="54"/>
      <c r="L91"/>
      <c r="M91"/>
      <c r="N91"/>
      <c r="O91"/>
      <c r="P91"/>
      <c r="Q91"/>
    </row>
    <row r="92" spans="1:17" x14ac:dyDescent="0.25">
      <c r="L92" s="35" t="s">
        <v>362</v>
      </c>
    </row>
  </sheetData>
  <mergeCells count="1">
    <mergeCell ref="O46:P46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D34" sqref="D34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4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4"/>
      <c r="B1" s="85" t="s">
        <v>278</v>
      </c>
      <c r="C1" s="85" t="s">
        <v>279</v>
      </c>
      <c r="D1" s="85" t="s">
        <v>280</v>
      </c>
      <c r="E1" s="85" t="s">
        <v>533</v>
      </c>
      <c r="F1" s="85" t="s">
        <v>435</v>
      </c>
      <c r="G1" s="85" t="s">
        <v>281</v>
      </c>
      <c r="H1" s="85" t="s">
        <v>377</v>
      </c>
      <c r="I1" s="85" t="s">
        <v>517</v>
      </c>
      <c r="J1" s="85" t="s">
        <v>378</v>
      </c>
    </row>
    <row r="2" spans="1:10" x14ac:dyDescent="0.25">
      <c r="A2" s="86" t="s">
        <v>282</v>
      </c>
      <c r="B2" s="87"/>
      <c r="C2" s="88"/>
      <c r="D2" s="88"/>
      <c r="E2" s="88"/>
      <c r="F2" s="88"/>
      <c r="G2" s="88"/>
      <c r="H2" s="87"/>
      <c r="I2" s="87"/>
      <c r="J2" s="87"/>
    </row>
    <row r="3" spans="1:10" x14ac:dyDescent="0.25">
      <c r="A3" s="89" t="s">
        <v>176</v>
      </c>
      <c r="B3" s="93" t="s">
        <v>424</v>
      </c>
      <c r="C3" s="93" t="s">
        <v>424</v>
      </c>
      <c r="D3" s="93" t="s">
        <v>424</v>
      </c>
      <c r="E3" s="162" t="s">
        <v>277</v>
      </c>
      <c r="F3" s="93" t="s">
        <v>424</v>
      </c>
      <c r="G3" s="93" t="s">
        <v>424</v>
      </c>
      <c r="H3" s="91" t="s">
        <v>277</v>
      </c>
      <c r="I3" s="91" t="s">
        <v>277</v>
      </c>
      <c r="J3" s="90" t="s">
        <v>277</v>
      </c>
    </row>
    <row r="4" spans="1:10" x14ac:dyDescent="0.25">
      <c r="A4" s="92" t="s">
        <v>370</v>
      </c>
      <c r="B4" s="90" t="s">
        <v>277</v>
      </c>
      <c r="C4" s="90" t="s">
        <v>277</v>
      </c>
      <c r="D4" s="90" t="s">
        <v>277</v>
      </c>
      <c r="E4" s="151" t="s">
        <v>277</v>
      </c>
      <c r="F4" s="91" t="s">
        <v>277</v>
      </c>
      <c r="G4" s="93" t="s">
        <v>424</v>
      </c>
      <c r="H4" s="90" t="s">
        <v>277</v>
      </c>
      <c r="I4" s="151" t="s">
        <v>277</v>
      </c>
      <c r="J4" s="90" t="s">
        <v>277</v>
      </c>
    </row>
    <row r="5" spans="1:10" x14ac:dyDescent="0.25">
      <c r="A5" s="92" t="s">
        <v>371</v>
      </c>
      <c r="B5" s="91" t="s">
        <v>277</v>
      </c>
      <c r="C5" s="90" t="s">
        <v>277</v>
      </c>
      <c r="D5" s="91" t="s">
        <v>277</v>
      </c>
      <c r="E5" s="91" t="s">
        <v>277</v>
      </c>
      <c r="F5" s="91" t="s">
        <v>277</v>
      </c>
      <c r="G5" s="93" t="s">
        <v>424</v>
      </c>
      <c r="H5" s="91" t="s">
        <v>277</v>
      </c>
      <c r="I5" s="91" t="s">
        <v>277</v>
      </c>
      <c r="J5" s="91" t="s">
        <v>277</v>
      </c>
    </row>
    <row r="6" spans="1:10" x14ac:dyDescent="0.25">
      <c r="A6" s="89" t="s">
        <v>198</v>
      </c>
      <c r="B6" s="93" t="s">
        <v>425</v>
      </c>
      <c r="C6" s="93" t="s">
        <v>425</v>
      </c>
      <c r="D6" s="93" t="s">
        <v>426</v>
      </c>
      <c r="E6" s="161" t="s">
        <v>277</v>
      </c>
      <c r="F6" s="93" t="s">
        <v>426</v>
      </c>
      <c r="G6" s="93" t="s">
        <v>424</v>
      </c>
      <c r="H6" s="90" t="s">
        <v>277</v>
      </c>
      <c r="I6" s="151" t="s">
        <v>277</v>
      </c>
      <c r="J6" s="90" t="s">
        <v>277</v>
      </c>
    </row>
    <row r="7" spans="1:10" x14ac:dyDescent="0.25">
      <c r="A7" s="89" t="s">
        <v>177</v>
      </c>
      <c r="B7" s="93" t="s">
        <v>424</v>
      </c>
      <c r="C7" s="93" t="s">
        <v>424</v>
      </c>
      <c r="D7" s="93" t="s">
        <v>424</v>
      </c>
      <c r="E7" s="161" t="s">
        <v>277</v>
      </c>
      <c r="F7" s="93" t="s">
        <v>424</v>
      </c>
      <c r="G7" s="93" t="s">
        <v>424</v>
      </c>
      <c r="H7" s="90" t="s">
        <v>277</v>
      </c>
      <c r="I7" s="151" t="s">
        <v>277</v>
      </c>
      <c r="J7" s="90" t="s">
        <v>277</v>
      </c>
    </row>
    <row r="8" spans="1:10" x14ac:dyDescent="0.25">
      <c r="A8" s="92" t="s">
        <v>285</v>
      </c>
      <c r="B8" s="91" t="s">
        <v>277</v>
      </c>
      <c r="C8" s="93" t="s">
        <v>426</v>
      </c>
      <c r="D8" s="91" t="s">
        <v>277</v>
      </c>
      <c r="E8" s="91" t="s">
        <v>277</v>
      </c>
      <c r="F8" s="93" t="s">
        <v>426</v>
      </c>
      <c r="G8" s="91" t="s">
        <v>277</v>
      </c>
      <c r="H8" s="91" t="s">
        <v>277</v>
      </c>
      <c r="I8" s="134" t="s">
        <v>426</v>
      </c>
      <c r="J8" s="91" t="s">
        <v>277</v>
      </c>
    </row>
    <row r="9" spans="1:10" x14ac:dyDescent="0.25">
      <c r="A9" s="92" t="s">
        <v>547</v>
      </c>
      <c r="B9" s="91" t="s">
        <v>277</v>
      </c>
      <c r="C9" s="93" t="s">
        <v>426</v>
      </c>
      <c r="D9" s="91" t="s">
        <v>277</v>
      </c>
      <c r="E9" s="91" t="s">
        <v>277</v>
      </c>
      <c r="F9" s="93" t="s">
        <v>426</v>
      </c>
      <c r="G9" s="91" t="s">
        <v>277</v>
      </c>
      <c r="H9" s="91" t="s">
        <v>277</v>
      </c>
      <c r="I9" s="134" t="s">
        <v>426</v>
      </c>
      <c r="J9" s="91" t="s">
        <v>277</v>
      </c>
    </row>
    <row r="10" spans="1:10" x14ac:dyDescent="0.25">
      <c r="A10" s="89" t="s">
        <v>379</v>
      </c>
      <c r="B10" s="91" t="s">
        <v>277</v>
      </c>
      <c r="C10" s="90" t="s">
        <v>277</v>
      </c>
      <c r="D10" s="91" t="s">
        <v>277</v>
      </c>
      <c r="E10" s="91" t="s">
        <v>277</v>
      </c>
      <c r="F10" s="91" t="s">
        <v>277</v>
      </c>
      <c r="G10" s="91" t="s">
        <v>277</v>
      </c>
      <c r="H10" s="93" t="s">
        <v>426</v>
      </c>
      <c r="I10" s="161" t="s">
        <v>277</v>
      </c>
      <c r="J10" s="91" t="s">
        <v>277</v>
      </c>
    </row>
    <row r="11" spans="1:10" x14ac:dyDescent="0.25">
      <c r="A11" s="89" t="s">
        <v>380</v>
      </c>
      <c r="B11" s="91" t="s">
        <v>277</v>
      </c>
      <c r="C11" s="90" t="s">
        <v>277</v>
      </c>
      <c r="D11" s="91" t="s">
        <v>277</v>
      </c>
      <c r="E11" s="91" t="s">
        <v>277</v>
      </c>
      <c r="F11" s="91" t="s">
        <v>277</v>
      </c>
      <c r="G11" s="91" t="s">
        <v>277</v>
      </c>
      <c r="H11" s="93" t="s">
        <v>426</v>
      </c>
      <c r="I11" s="161" t="s">
        <v>277</v>
      </c>
      <c r="J11" s="91" t="s">
        <v>277</v>
      </c>
    </row>
    <row r="12" spans="1:10" x14ac:dyDescent="0.25">
      <c r="A12" s="89" t="s">
        <v>381</v>
      </c>
      <c r="B12" s="91" t="s">
        <v>277</v>
      </c>
      <c r="C12" s="90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3" t="s">
        <v>424</v>
      </c>
      <c r="I12" s="161" t="s">
        <v>277</v>
      </c>
      <c r="J12" s="91" t="s">
        <v>277</v>
      </c>
    </row>
    <row r="13" spans="1:10" x14ac:dyDescent="0.25">
      <c r="A13" s="89" t="s">
        <v>383</v>
      </c>
      <c r="B13" s="91" t="s">
        <v>277</v>
      </c>
      <c r="C13" s="90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3" t="s">
        <v>424</v>
      </c>
      <c r="I13" s="161" t="s">
        <v>277</v>
      </c>
      <c r="J13" s="91" t="s">
        <v>277</v>
      </c>
    </row>
    <row r="14" spans="1:10" x14ac:dyDescent="0.25">
      <c r="A14" s="89" t="s">
        <v>550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277</v>
      </c>
      <c r="G14" s="91" t="s">
        <v>277</v>
      </c>
      <c r="H14" s="91" t="s">
        <v>277</v>
      </c>
      <c r="I14" s="103" t="s">
        <v>277</v>
      </c>
      <c r="J14" s="93" t="s">
        <v>426</v>
      </c>
    </row>
    <row r="15" spans="1:10" s="84" customFormat="1" x14ac:dyDescent="0.25">
      <c r="A15" s="89" t="s">
        <v>551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277</v>
      </c>
      <c r="G15" s="91" t="s">
        <v>277</v>
      </c>
      <c r="H15" s="91" t="s">
        <v>277</v>
      </c>
      <c r="I15" s="103" t="s">
        <v>277</v>
      </c>
      <c r="J15" s="93" t="s">
        <v>426</v>
      </c>
    </row>
    <row r="16" spans="1:10" x14ac:dyDescent="0.25">
      <c r="A16" s="92" t="s">
        <v>419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277</v>
      </c>
      <c r="G16" s="91" t="s">
        <v>277</v>
      </c>
      <c r="H16" s="93" t="s">
        <v>426</v>
      </c>
      <c r="I16" s="161" t="s">
        <v>277</v>
      </c>
      <c r="J16" s="93" t="s">
        <v>426</v>
      </c>
    </row>
    <row r="17" spans="1:10" x14ac:dyDescent="0.25">
      <c r="A17" s="89" t="s">
        <v>418</v>
      </c>
      <c r="B17" s="91" t="s">
        <v>277</v>
      </c>
      <c r="C17" s="93" t="s">
        <v>426</v>
      </c>
      <c r="D17" s="93" t="s">
        <v>426</v>
      </c>
      <c r="E17" s="161" t="s">
        <v>277</v>
      </c>
      <c r="F17" s="93" t="s">
        <v>426</v>
      </c>
      <c r="G17" s="91" t="s">
        <v>277</v>
      </c>
      <c r="H17" s="93" t="s">
        <v>426</v>
      </c>
      <c r="I17" s="161" t="s">
        <v>277</v>
      </c>
      <c r="J17" s="91" t="s">
        <v>277</v>
      </c>
    </row>
    <row r="18" spans="1:10" x14ac:dyDescent="0.25">
      <c r="A18" s="89" t="s">
        <v>415</v>
      </c>
      <c r="B18" s="91" t="s">
        <v>277</v>
      </c>
      <c r="C18" s="93" t="s">
        <v>426</v>
      </c>
      <c r="D18" s="93" t="s">
        <v>426</v>
      </c>
      <c r="E18" s="161" t="s">
        <v>277</v>
      </c>
      <c r="F18" s="93" t="s">
        <v>426</v>
      </c>
      <c r="G18" s="91" t="s">
        <v>277</v>
      </c>
      <c r="H18" s="93" t="s">
        <v>426</v>
      </c>
      <c r="I18" s="161" t="s">
        <v>277</v>
      </c>
      <c r="J18" s="91" t="s">
        <v>277</v>
      </c>
    </row>
    <row r="19" spans="1:10" x14ac:dyDescent="0.25">
      <c r="A19" s="89" t="s">
        <v>413</v>
      </c>
      <c r="B19" s="91" t="s">
        <v>277</v>
      </c>
      <c r="C19" s="93" t="s">
        <v>426</v>
      </c>
      <c r="D19" s="93" t="s">
        <v>426</v>
      </c>
      <c r="E19" s="161" t="s">
        <v>277</v>
      </c>
      <c r="F19" s="93" t="s">
        <v>426</v>
      </c>
      <c r="G19" s="91" t="s">
        <v>277</v>
      </c>
      <c r="H19" s="93" t="s">
        <v>426</v>
      </c>
      <c r="I19" s="161" t="s">
        <v>277</v>
      </c>
      <c r="J19" s="91" t="s">
        <v>277</v>
      </c>
    </row>
    <row r="20" spans="1:10" x14ac:dyDescent="0.25">
      <c r="A20" s="89" t="s">
        <v>385</v>
      </c>
      <c r="B20" s="91" t="s">
        <v>277</v>
      </c>
      <c r="C20" s="90" t="s">
        <v>277</v>
      </c>
      <c r="D20" s="91" t="s">
        <v>277</v>
      </c>
      <c r="E20" s="91" t="s">
        <v>277</v>
      </c>
      <c r="F20" s="91" t="s">
        <v>277</v>
      </c>
      <c r="G20" s="91" t="s">
        <v>277</v>
      </c>
      <c r="H20" s="93" t="s">
        <v>426</v>
      </c>
      <c r="I20" s="161" t="s">
        <v>277</v>
      </c>
      <c r="J20" s="91" t="s">
        <v>277</v>
      </c>
    </row>
    <row r="21" spans="1:10" x14ac:dyDescent="0.25">
      <c r="A21" s="89" t="s">
        <v>548</v>
      </c>
      <c r="B21" s="91" t="s">
        <v>277</v>
      </c>
      <c r="C21" s="90" t="s">
        <v>277</v>
      </c>
      <c r="D21" s="91" t="s">
        <v>277</v>
      </c>
      <c r="E21" s="91" t="s">
        <v>277</v>
      </c>
      <c r="F21" s="93" t="s">
        <v>426</v>
      </c>
      <c r="G21" s="93" t="s">
        <v>426</v>
      </c>
      <c r="H21" s="93" t="s">
        <v>426</v>
      </c>
      <c r="I21" s="161" t="s">
        <v>277</v>
      </c>
      <c r="J21" s="93" t="s">
        <v>426</v>
      </c>
    </row>
    <row r="22" spans="1:10" s="84" customFormat="1" x14ac:dyDescent="0.25">
      <c r="A22" s="89" t="s">
        <v>549</v>
      </c>
      <c r="B22" s="91"/>
      <c r="C22" s="151"/>
      <c r="D22" s="91"/>
      <c r="E22" s="91"/>
      <c r="F22" s="93" t="s">
        <v>426</v>
      </c>
      <c r="G22" s="93" t="s">
        <v>426</v>
      </c>
      <c r="H22" s="93" t="s">
        <v>426</v>
      </c>
      <c r="I22" s="161" t="s">
        <v>277</v>
      </c>
      <c r="J22" s="93" t="s">
        <v>426</v>
      </c>
    </row>
    <row r="23" spans="1:10" x14ac:dyDescent="0.25">
      <c r="A23" s="92" t="s">
        <v>372</v>
      </c>
      <c r="B23" s="91" t="s">
        <v>277</v>
      </c>
      <c r="C23" s="90" t="s">
        <v>277</v>
      </c>
      <c r="D23" s="91" t="s">
        <v>277</v>
      </c>
      <c r="E23" s="91" t="s">
        <v>277</v>
      </c>
      <c r="F23" s="93" t="s">
        <v>426</v>
      </c>
      <c r="G23" s="93" t="s">
        <v>426</v>
      </c>
      <c r="H23" s="93" t="s">
        <v>426</v>
      </c>
      <c r="I23" s="162" t="s">
        <v>426</v>
      </c>
      <c r="J23" s="93" t="s">
        <v>426</v>
      </c>
    </row>
    <row r="24" spans="1:10" x14ac:dyDescent="0.25">
      <c r="A24" s="89" t="s">
        <v>284</v>
      </c>
      <c r="B24" s="91" t="s">
        <v>277</v>
      </c>
      <c r="C24" s="91" t="s">
        <v>277</v>
      </c>
      <c r="D24" s="91" t="s">
        <v>277</v>
      </c>
      <c r="E24" s="91" t="s">
        <v>277</v>
      </c>
      <c r="F24" s="91" t="s">
        <v>277</v>
      </c>
      <c r="G24" s="93" t="s">
        <v>426</v>
      </c>
      <c r="H24" s="93" t="s">
        <v>426</v>
      </c>
      <c r="I24" s="161" t="s">
        <v>277</v>
      </c>
      <c r="J24" s="93" t="s">
        <v>426</v>
      </c>
    </row>
    <row r="25" spans="1:10" x14ac:dyDescent="0.25">
      <c r="A25" s="89" t="s">
        <v>306</v>
      </c>
      <c r="B25" s="91" t="s">
        <v>277</v>
      </c>
      <c r="C25" s="93" t="s">
        <v>427</v>
      </c>
      <c r="D25" s="91" t="s">
        <v>277</v>
      </c>
      <c r="E25" s="91" t="s">
        <v>277</v>
      </c>
      <c r="F25" s="93" t="s">
        <v>427</v>
      </c>
      <c r="G25" s="91" t="s">
        <v>277</v>
      </c>
      <c r="H25" s="91" t="s">
        <v>277</v>
      </c>
      <c r="I25" s="103" t="s">
        <v>277</v>
      </c>
      <c r="J25" s="91" t="s">
        <v>277</v>
      </c>
    </row>
    <row r="26" spans="1:10" x14ac:dyDescent="0.25">
      <c r="A26" s="89" t="s">
        <v>307</v>
      </c>
      <c r="B26" s="91" t="s">
        <v>277</v>
      </c>
      <c r="C26" s="93" t="s">
        <v>425</v>
      </c>
      <c r="D26" s="91" t="s">
        <v>277</v>
      </c>
      <c r="E26" s="91" t="s">
        <v>277</v>
      </c>
      <c r="F26" s="93" t="s">
        <v>425</v>
      </c>
      <c r="G26" s="90" t="s">
        <v>277</v>
      </c>
      <c r="H26" s="91" t="s">
        <v>277</v>
      </c>
      <c r="I26" s="91" t="s">
        <v>277</v>
      </c>
      <c r="J26" s="91" t="s">
        <v>277</v>
      </c>
    </row>
    <row r="27" spans="1:10" s="84" customFormat="1" x14ac:dyDescent="0.25">
      <c r="A27" s="89" t="s">
        <v>168</v>
      </c>
      <c r="B27" s="91" t="s">
        <v>277</v>
      </c>
      <c r="C27" s="91" t="s">
        <v>277</v>
      </c>
      <c r="D27" s="91" t="s">
        <v>277</v>
      </c>
      <c r="E27" s="91" t="s">
        <v>277</v>
      </c>
      <c r="F27" s="91" t="s">
        <v>277</v>
      </c>
      <c r="G27" s="91" t="s">
        <v>277</v>
      </c>
      <c r="H27" s="91" t="s">
        <v>277</v>
      </c>
      <c r="I27" s="91" t="s">
        <v>277</v>
      </c>
      <c r="J27" s="134" t="s">
        <v>424</v>
      </c>
    </row>
    <row r="28" spans="1:10" s="84" customFormat="1" x14ac:dyDescent="0.25">
      <c r="A28" s="29" t="s">
        <v>536</v>
      </c>
      <c r="B28" s="149" t="s">
        <v>277</v>
      </c>
      <c r="C28" s="149" t="s">
        <v>277</v>
      </c>
      <c r="D28" s="149" t="s">
        <v>277</v>
      </c>
      <c r="E28" s="168" t="s">
        <v>277</v>
      </c>
      <c r="F28" s="149" t="s">
        <v>277</v>
      </c>
      <c r="G28" s="149" t="s">
        <v>277</v>
      </c>
      <c r="H28" s="149" t="s">
        <v>277</v>
      </c>
      <c r="I28" s="149" t="s">
        <v>277</v>
      </c>
      <c r="J28" s="104" t="s">
        <v>277</v>
      </c>
    </row>
    <row r="29" spans="1:10" s="84" customFormat="1" x14ac:dyDescent="0.25">
      <c r="A29" s="29" t="s">
        <v>537</v>
      </c>
      <c r="B29" s="149" t="s">
        <v>277</v>
      </c>
      <c r="C29" s="149" t="s">
        <v>277</v>
      </c>
      <c r="D29" s="149" t="s">
        <v>277</v>
      </c>
      <c r="E29" s="168" t="s">
        <v>277</v>
      </c>
      <c r="F29" s="149" t="s">
        <v>277</v>
      </c>
      <c r="G29" s="149" t="s">
        <v>277</v>
      </c>
      <c r="H29" s="149" t="s">
        <v>277</v>
      </c>
      <c r="I29" s="149" t="s">
        <v>277</v>
      </c>
      <c r="J29" s="104" t="s">
        <v>277</v>
      </c>
    </row>
    <row r="30" spans="1:10" x14ac:dyDescent="0.25">
      <c r="A30" s="98" t="s">
        <v>167</v>
      </c>
      <c r="B30" s="65" t="s">
        <v>277</v>
      </c>
      <c r="C30" s="65" t="s">
        <v>277</v>
      </c>
      <c r="D30" s="65" t="s">
        <v>277</v>
      </c>
      <c r="E30" s="65" t="s">
        <v>277</v>
      </c>
      <c r="F30" s="65" t="s">
        <v>277</v>
      </c>
      <c r="G30" s="65" t="s">
        <v>277</v>
      </c>
      <c r="H30" s="65" t="s">
        <v>277</v>
      </c>
      <c r="I30" s="159" t="s">
        <v>424</v>
      </c>
      <c r="J30" s="160" t="s">
        <v>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L13" sqref="L13"/>
    </sheetView>
  </sheetViews>
  <sheetFormatPr defaultColWidth="9.140625" defaultRowHeight="15" x14ac:dyDescent="0.25"/>
  <cols>
    <col min="1" max="1" width="15.28515625" style="84" bestFit="1" customWidth="1"/>
    <col min="2" max="4" width="7.42578125" style="84" bestFit="1" customWidth="1"/>
    <col min="5" max="5" width="7.42578125" style="84" customWidth="1"/>
    <col min="6" max="10" width="7.42578125" style="84" bestFit="1" customWidth="1"/>
    <col min="11" max="16384" width="9.140625" style="84"/>
  </cols>
  <sheetData>
    <row r="1" spans="1:10" x14ac:dyDescent="0.25">
      <c r="B1" s="85" t="s">
        <v>278</v>
      </c>
      <c r="C1" s="85" t="s">
        <v>279</v>
      </c>
      <c r="D1" s="85" t="s">
        <v>280</v>
      </c>
      <c r="E1" s="85" t="s">
        <v>533</v>
      </c>
      <c r="F1" s="85" t="s">
        <v>435</v>
      </c>
      <c r="G1" s="85" t="s">
        <v>281</v>
      </c>
      <c r="H1" s="85" t="s">
        <v>377</v>
      </c>
      <c r="I1" s="85" t="s">
        <v>517</v>
      </c>
      <c r="J1" s="85" t="s">
        <v>378</v>
      </c>
    </row>
    <row r="2" spans="1:10" x14ac:dyDescent="0.25">
      <c r="A2" s="86" t="s">
        <v>512</v>
      </c>
      <c r="B2" s="133" t="s">
        <v>277</v>
      </c>
      <c r="C2" s="133" t="s">
        <v>277</v>
      </c>
      <c r="D2" s="133" t="s">
        <v>277</v>
      </c>
      <c r="E2" s="133" t="s">
        <v>277</v>
      </c>
      <c r="F2" s="99" t="s">
        <v>499</v>
      </c>
      <c r="G2" s="99" t="s">
        <v>499</v>
      </c>
      <c r="H2" s="99" t="s">
        <v>499</v>
      </c>
      <c r="I2" s="99" t="s">
        <v>499</v>
      </c>
      <c r="J2" s="99" t="s">
        <v>499</v>
      </c>
    </row>
    <row r="3" spans="1:10" x14ac:dyDescent="0.25">
      <c r="A3" s="84" t="s">
        <v>511</v>
      </c>
      <c r="B3" s="91" t="s">
        <v>277</v>
      </c>
      <c r="C3" s="91" t="s">
        <v>277</v>
      </c>
      <c r="D3" s="91" t="s">
        <v>277</v>
      </c>
      <c r="E3" s="91" t="s">
        <v>277</v>
      </c>
      <c r="F3" s="91">
        <v>3</v>
      </c>
      <c r="G3" s="91">
        <v>17</v>
      </c>
      <c r="H3" s="91">
        <v>28</v>
      </c>
      <c r="I3" s="91">
        <v>42</v>
      </c>
      <c r="J3" s="91">
        <v>55</v>
      </c>
    </row>
    <row r="4" spans="1:10" x14ac:dyDescent="0.25">
      <c r="A4" s="84" t="s">
        <v>513</v>
      </c>
      <c r="B4" s="91" t="s">
        <v>277</v>
      </c>
      <c r="C4" s="91" t="s">
        <v>277</v>
      </c>
      <c r="D4" s="91" t="s">
        <v>277</v>
      </c>
      <c r="E4" s="91" t="s">
        <v>277</v>
      </c>
      <c r="F4" s="91">
        <v>14</v>
      </c>
      <c r="G4" s="91">
        <v>25</v>
      </c>
      <c r="H4" s="91">
        <v>39</v>
      </c>
      <c r="I4" s="91">
        <v>52</v>
      </c>
      <c r="J4" s="91">
        <v>66</v>
      </c>
    </row>
    <row r="5" spans="1:10" x14ac:dyDescent="0.25">
      <c r="A5" s="89" t="s">
        <v>498</v>
      </c>
      <c r="B5" s="90" t="s">
        <v>277</v>
      </c>
      <c r="C5" s="90" t="s">
        <v>277</v>
      </c>
      <c r="D5" s="90" t="s">
        <v>277</v>
      </c>
      <c r="E5" s="151" t="s">
        <v>277</v>
      </c>
      <c r="F5" s="90" t="s">
        <v>499</v>
      </c>
      <c r="G5" s="90" t="s">
        <v>499</v>
      </c>
      <c r="H5" s="90" t="s">
        <v>499</v>
      </c>
      <c r="I5" s="151" t="s">
        <v>499</v>
      </c>
      <c r="J5" s="90" t="s">
        <v>499</v>
      </c>
    </row>
    <row r="6" spans="1:10" x14ac:dyDescent="0.25">
      <c r="A6" s="92" t="s">
        <v>500</v>
      </c>
      <c r="B6" s="91" t="s">
        <v>277</v>
      </c>
      <c r="C6" s="91" t="s">
        <v>277</v>
      </c>
      <c r="D6" s="91" t="s">
        <v>277</v>
      </c>
      <c r="E6" s="91" t="s">
        <v>277</v>
      </c>
      <c r="F6" s="91" t="s">
        <v>499</v>
      </c>
      <c r="G6" s="91" t="s">
        <v>499</v>
      </c>
      <c r="H6" s="91" t="s">
        <v>499</v>
      </c>
      <c r="I6" s="91" t="s">
        <v>499</v>
      </c>
      <c r="J6" s="91" t="s">
        <v>277</v>
      </c>
    </row>
    <row r="7" spans="1:10" x14ac:dyDescent="0.25">
      <c r="A7" s="132" t="s">
        <v>508</v>
      </c>
      <c r="B7" s="91" t="s">
        <v>277</v>
      </c>
      <c r="C7" s="91" t="s">
        <v>277</v>
      </c>
      <c r="D7" s="91" t="s">
        <v>277</v>
      </c>
      <c r="E7" s="91" t="s">
        <v>277</v>
      </c>
      <c r="F7" s="91" t="s">
        <v>277</v>
      </c>
      <c r="G7" s="91" t="s">
        <v>277</v>
      </c>
      <c r="H7" s="91" t="s">
        <v>277</v>
      </c>
      <c r="I7" s="91" t="s">
        <v>277</v>
      </c>
      <c r="J7" s="91" t="s">
        <v>499</v>
      </c>
    </row>
    <row r="8" spans="1:10" x14ac:dyDescent="0.25">
      <c r="A8" s="92" t="s">
        <v>155</v>
      </c>
      <c r="B8" s="90" t="s">
        <v>277</v>
      </c>
      <c r="C8" s="90" t="s">
        <v>277</v>
      </c>
      <c r="D8" s="90" t="s">
        <v>277</v>
      </c>
      <c r="E8" s="151" t="s">
        <v>277</v>
      </c>
      <c r="F8" s="90" t="s">
        <v>499</v>
      </c>
      <c r="G8" s="90" t="s">
        <v>499</v>
      </c>
      <c r="H8" s="90" t="s">
        <v>499</v>
      </c>
      <c r="I8" s="151" t="s">
        <v>499</v>
      </c>
      <c r="J8" s="90" t="s">
        <v>499</v>
      </c>
    </row>
    <row r="9" spans="1:10" x14ac:dyDescent="0.25">
      <c r="A9" s="89" t="s">
        <v>501</v>
      </c>
      <c r="B9" s="91" t="s">
        <v>277</v>
      </c>
      <c r="C9" s="91" t="s">
        <v>277</v>
      </c>
      <c r="D9" s="91" t="s">
        <v>277</v>
      </c>
      <c r="E9" s="91" t="s">
        <v>277</v>
      </c>
      <c r="F9" s="91" t="s">
        <v>499</v>
      </c>
      <c r="G9" s="91" t="s">
        <v>499</v>
      </c>
      <c r="H9" s="91" t="s">
        <v>499</v>
      </c>
      <c r="I9" s="91" t="s">
        <v>499</v>
      </c>
      <c r="J9" s="91" t="s">
        <v>499</v>
      </c>
    </row>
    <row r="10" spans="1:10" x14ac:dyDescent="0.25">
      <c r="A10" s="89" t="s">
        <v>503</v>
      </c>
      <c r="B10" s="91" t="s">
        <v>277</v>
      </c>
      <c r="C10" s="91" t="s">
        <v>277</v>
      </c>
      <c r="D10" s="91" t="s">
        <v>277</v>
      </c>
      <c r="E10" s="91" t="s">
        <v>277</v>
      </c>
      <c r="F10" s="91" t="s">
        <v>499</v>
      </c>
      <c r="G10" s="91" t="s">
        <v>499</v>
      </c>
      <c r="H10" s="91" t="s">
        <v>499</v>
      </c>
      <c r="I10" s="91" t="s">
        <v>499</v>
      </c>
      <c r="J10" s="91" t="s">
        <v>499</v>
      </c>
    </row>
    <row r="11" spans="1:10" x14ac:dyDescent="0.25">
      <c r="A11" s="92" t="s">
        <v>504</v>
      </c>
      <c r="B11" s="91" t="s">
        <v>277</v>
      </c>
      <c r="C11" s="91" t="s">
        <v>277</v>
      </c>
      <c r="D11" s="91" t="s">
        <v>277</v>
      </c>
      <c r="E11" s="91" t="s">
        <v>277</v>
      </c>
      <c r="F11" s="91" t="s">
        <v>499</v>
      </c>
      <c r="G11" s="91" t="s">
        <v>499</v>
      </c>
      <c r="H11" s="91" t="s">
        <v>499</v>
      </c>
      <c r="I11" s="91" t="s">
        <v>499</v>
      </c>
      <c r="J11" s="91" t="s">
        <v>499</v>
      </c>
    </row>
    <row r="12" spans="1:10" x14ac:dyDescent="0.25">
      <c r="A12" s="132" t="s">
        <v>509</v>
      </c>
      <c r="B12" s="91" t="s">
        <v>277</v>
      </c>
      <c r="C12" s="91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1" t="s">
        <v>277</v>
      </c>
      <c r="I12" s="91" t="s">
        <v>277</v>
      </c>
      <c r="J12" s="91" t="s">
        <v>499</v>
      </c>
    </row>
    <row r="13" spans="1:10" x14ac:dyDescent="0.25">
      <c r="A13" s="132" t="s">
        <v>502</v>
      </c>
      <c r="B13" s="91" t="s">
        <v>277</v>
      </c>
      <c r="C13" s="91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1" t="s">
        <v>277</v>
      </c>
      <c r="I13" s="91" t="s">
        <v>277</v>
      </c>
      <c r="J13" s="91" t="s">
        <v>499</v>
      </c>
    </row>
    <row r="14" spans="1:10" x14ac:dyDescent="0.25">
      <c r="A14" s="92" t="s">
        <v>505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499</v>
      </c>
      <c r="G14" s="91" t="s">
        <v>277</v>
      </c>
      <c r="H14" s="91" t="s">
        <v>499</v>
      </c>
      <c r="I14" s="91" t="s">
        <v>499</v>
      </c>
      <c r="J14" s="91" t="s">
        <v>277</v>
      </c>
    </row>
    <row r="15" spans="1:10" x14ac:dyDescent="0.25">
      <c r="A15" s="89" t="s">
        <v>506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499</v>
      </c>
      <c r="G15" s="134" t="s">
        <v>352</v>
      </c>
      <c r="H15" s="91" t="s">
        <v>499</v>
      </c>
      <c r="I15" s="91" t="s">
        <v>499</v>
      </c>
      <c r="J15" s="91" t="s">
        <v>277</v>
      </c>
    </row>
    <row r="16" spans="1:10" x14ac:dyDescent="0.25">
      <c r="A16" s="89" t="s">
        <v>507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499</v>
      </c>
      <c r="G16" s="91" t="s">
        <v>277</v>
      </c>
      <c r="H16" s="91" t="s">
        <v>499</v>
      </c>
      <c r="I16" s="91" t="s">
        <v>499</v>
      </c>
      <c r="J16" s="91" t="s">
        <v>499</v>
      </c>
    </row>
    <row r="17" spans="1:10" x14ac:dyDescent="0.25">
      <c r="A17" s="166" t="s">
        <v>531</v>
      </c>
      <c r="B17" s="167" t="s">
        <v>277</v>
      </c>
      <c r="C17" s="167" t="s">
        <v>277</v>
      </c>
      <c r="D17" s="167" t="s">
        <v>277</v>
      </c>
      <c r="E17" s="167" t="s">
        <v>277</v>
      </c>
      <c r="F17" s="167" t="s">
        <v>499</v>
      </c>
      <c r="G17" s="167" t="s">
        <v>277</v>
      </c>
      <c r="H17" s="167" t="s">
        <v>499</v>
      </c>
      <c r="I17" s="167" t="s">
        <v>277</v>
      </c>
      <c r="J17" s="167" t="s">
        <v>499</v>
      </c>
    </row>
    <row r="18" spans="1:10" x14ac:dyDescent="0.25">
      <c r="A18" s="83" t="s">
        <v>510</v>
      </c>
      <c r="B18" s="94" t="s">
        <v>277</v>
      </c>
      <c r="C18" s="94" t="s">
        <v>277</v>
      </c>
      <c r="D18" s="94" t="s">
        <v>277</v>
      </c>
      <c r="E18" s="94" t="s">
        <v>277</v>
      </c>
      <c r="F18" s="94" t="s">
        <v>499</v>
      </c>
      <c r="G18" s="94" t="s">
        <v>499</v>
      </c>
      <c r="H18" s="94" t="s">
        <v>499</v>
      </c>
      <c r="I18" s="94" t="s">
        <v>499</v>
      </c>
      <c r="J18" s="94" t="s">
        <v>499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14" sqref="C14"/>
    </sheetView>
  </sheetViews>
  <sheetFormatPr defaultColWidth="9.140625" defaultRowHeight="15" x14ac:dyDescent="0.25"/>
  <cols>
    <col min="1" max="1" width="5.7109375" style="171" customWidth="1"/>
    <col min="2" max="2" width="17.7109375" style="171" customWidth="1"/>
    <col min="3" max="3" width="26.7109375" style="171" customWidth="1"/>
    <col min="4" max="8" width="9.7109375" style="171" customWidth="1"/>
    <col min="9" max="16384" width="9.140625" style="82"/>
  </cols>
  <sheetData>
    <row r="1" spans="1:8" x14ac:dyDescent="0.25">
      <c r="A1" s="183" t="s">
        <v>170</v>
      </c>
      <c r="B1" s="184"/>
      <c r="C1" s="189">
        <f>Summary!E9</f>
        <v>0</v>
      </c>
      <c r="D1" s="189"/>
      <c r="E1" s="189"/>
      <c r="F1" s="189"/>
      <c r="G1" s="189"/>
      <c r="H1" s="190"/>
    </row>
    <row r="2" spans="1:8" x14ac:dyDescent="0.25">
      <c r="A2" s="185" t="s">
        <v>289</v>
      </c>
      <c r="B2" s="186"/>
      <c r="C2" s="191">
        <f>Summary!E10</f>
        <v>0</v>
      </c>
      <c r="D2" s="191"/>
      <c r="E2" s="191"/>
      <c r="F2" s="191"/>
      <c r="G2" s="191"/>
      <c r="H2" s="192"/>
    </row>
    <row r="3" spans="1:8" x14ac:dyDescent="0.25">
      <c r="A3" s="187" t="s">
        <v>565</v>
      </c>
      <c r="B3" s="188"/>
      <c r="C3" s="193">
        <f>Summary!E11</f>
        <v>0</v>
      </c>
      <c r="D3" s="193"/>
      <c r="E3" s="193"/>
      <c r="F3" s="193"/>
      <c r="G3" s="193"/>
      <c r="H3" s="194"/>
    </row>
    <row r="4" spans="1:8" x14ac:dyDescent="0.25">
      <c r="A4" s="82"/>
      <c r="B4" s="82"/>
      <c r="C4" s="82"/>
      <c r="D4" s="82"/>
      <c r="E4" s="82"/>
      <c r="F4" s="82"/>
      <c r="G4" s="82"/>
      <c r="H4" s="82"/>
    </row>
    <row r="5" spans="1:8" x14ac:dyDescent="0.25">
      <c r="A5" s="77" t="s">
        <v>7</v>
      </c>
      <c r="B5" s="77" t="s">
        <v>199</v>
      </c>
      <c r="C5" s="78" t="s">
        <v>288</v>
      </c>
      <c r="D5" s="78" t="s">
        <v>185</v>
      </c>
      <c r="E5" s="79" t="s">
        <v>298</v>
      </c>
      <c r="F5" s="79" t="s">
        <v>299</v>
      </c>
      <c r="G5" s="78" t="s">
        <v>186</v>
      </c>
      <c r="H5" s="78" t="s">
        <v>180</v>
      </c>
    </row>
    <row r="6" spans="1:8" s="81" customFormat="1" x14ac:dyDescent="0.25">
      <c r="A6" s="169"/>
      <c r="B6" s="169"/>
      <c r="C6" s="170"/>
      <c r="D6" s="170"/>
      <c r="E6" s="170"/>
      <c r="F6" s="170"/>
      <c r="G6" s="170"/>
      <c r="H6" s="170"/>
    </row>
    <row r="7" spans="1:8" s="81" customFormat="1" x14ac:dyDescent="0.25">
      <c r="A7" s="169"/>
      <c r="B7" s="169"/>
      <c r="C7" s="169"/>
      <c r="D7" s="169"/>
      <c r="E7" s="169"/>
      <c r="F7" s="169"/>
      <c r="G7" s="169"/>
      <c r="H7" s="169"/>
    </row>
    <row r="8" spans="1:8" s="81" customFormat="1" x14ac:dyDescent="0.25">
      <c r="A8" s="169"/>
      <c r="B8" s="169"/>
      <c r="C8" s="169"/>
      <c r="D8" s="169"/>
      <c r="E8" s="169"/>
      <c r="F8" s="169"/>
      <c r="G8" s="169"/>
      <c r="H8" s="169"/>
    </row>
    <row r="9" spans="1:8" s="81" customFormat="1" x14ac:dyDescent="0.25">
      <c r="A9" s="169"/>
      <c r="B9" s="169"/>
      <c r="C9" s="169"/>
      <c r="D9" s="169"/>
      <c r="E9" s="169"/>
      <c r="F9" s="169"/>
      <c r="G9" s="169"/>
      <c r="H9" s="169"/>
    </row>
    <row r="10" spans="1:8" s="81" customFormat="1" x14ac:dyDescent="0.25">
      <c r="A10" s="169"/>
      <c r="B10" s="169"/>
      <c r="C10" s="169"/>
      <c r="D10" s="169"/>
      <c r="E10" s="169"/>
      <c r="F10" s="169"/>
      <c r="G10" s="169"/>
      <c r="H10" s="169"/>
    </row>
    <row r="11" spans="1:8" s="81" customFormat="1" x14ac:dyDescent="0.25">
      <c r="A11" s="169"/>
      <c r="B11" s="169"/>
      <c r="C11" s="169"/>
      <c r="D11" s="169"/>
      <c r="E11" s="169"/>
      <c r="F11" s="169"/>
      <c r="G11" s="169"/>
      <c r="H11" s="169"/>
    </row>
    <row r="12" spans="1:8" s="81" customFormat="1" x14ac:dyDescent="0.25">
      <c r="A12" s="169"/>
      <c r="B12" s="169"/>
      <c r="C12" s="169"/>
      <c r="D12" s="169"/>
      <c r="E12" s="169"/>
      <c r="F12" s="169"/>
      <c r="G12" s="169"/>
      <c r="H12" s="169"/>
    </row>
    <row r="13" spans="1:8" s="81" customFormat="1" x14ac:dyDescent="0.25">
      <c r="A13" s="169"/>
      <c r="B13" s="169"/>
      <c r="C13" s="169"/>
      <c r="D13" s="169"/>
      <c r="E13" s="169"/>
      <c r="F13" s="169"/>
      <c r="G13" s="169"/>
      <c r="H13" s="169"/>
    </row>
    <row r="14" spans="1:8" s="81" customFormat="1" x14ac:dyDescent="0.25">
      <c r="A14" s="169"/>
      <c r="B14" s="169"/>
      <c r="C14" s="169"/>
      <c r="D14" s="169"/>
      <c r="E14" s="169"/>
      <c r="F14" s="169"/>
      <c r="G14" s="169"/>
      <c r="H14" s="169"/>
    </row>
    <row r="15" spans="1:8" s="81" customFormat="1" x14ac:dyDescent="0.25">
      <c r="A15" s="169"/>
      <c r="B15" s="169"/>
      <c r="C15" s="169"/>
      <c r="D15" s="169"/>
      <c r="E15" s="169"/>
      <c r="F15" s="169"/>
      <c r="G15" s="169"/>
      <c r="H15" s="169"/>
    </row>
    <row r="16" spans="1:8" s="81" customFormat="1" x14ac:dyDescent="0.25">
      <c r="A16" s="169"/>
      <c r="B16" s="169"/>
      <c r="C16" s="169"/>
      <c r="D16" s="169"/>
      <c r="E16" s="169"/>
      <c r="F16" s="169"/>
      <c r="G16" s="169"/>
      <c r="H16" s="169"/>
    </row>
    <row r="17" spans="1:8" s="81" customFormat="1" x14ac:dyDescent="0.25">
      <c r="A17" s="169"/>
      <c r="B17" s="169"/>
      <c r="C17" s="169"/>
      <c r="D17" s="169"/>
      <c r="E17" s="169"/>
      <c r="F17" s="169"/>
      <c r="G17" s="169"/>
      <c r="H17" s="169"/>
    </row>
    <row r="18" spans="1:8" s="81" customFormat="1" x14ac:dyDescent="0.25">
      <c r="A18" s="169"/>
      <c r="B18" s="169"/>
      <c r="C18" s="169"/>
      <c r="D18" s="169"/>
      <c r="E18" s="169"/>
      <c r="F18" s="169"/>
      <c r="G18" s="169"/>
      <c r="H18" s="169"/>
    </row>
    <row r="19" spans="1:8" s="81" customFormat="1" x14ac:dyDescent="0.25">
      <c r="A19" s="169"/>
      <c r="B19" s="169"/>
      <c r="C19" s="169"/>
      <c r="D19" s="169"/>
      <c r="E19" s="169"/>
      <c r="F19" s="169"/>
      <c r="G19" s="169"/>
      <c r="H19" s="169"/>
    </row>
    <row r="20" spans="1:8" s="81" customFormat="1" x14ac:dyDescent="0.25">
      <c r="A20" s="169"/>
      <c r="B20" s="169"/>
      <c r="C20" s="169"/>
      <c r="D20" s="169"/>
      <c r="E20" s="169"/>
      <c r="F20" s="169"/>
      <c r="G20" s="169"/>
      <c r="H20" s="169"/>
    </row>
    <row r="21" spans="1:8" s="81" customFormat="1" x14ac:dyDescent="0.25">
      <c r="A21" s="169"/>
      <c r="B21" s="169"/>
      <c r="C21" s="169"/>
      <c r="D21" s="169"/>
      <c r="E21" s="169"/>
      <c r="F21" s="169"/>
      <c r="G21" s="169"/>
      <c r="H21" s="169"/>
    </row>
    <row r="22" spans="1:8" s="81" customFormat="1" x14ac:dyDescent="0.25">
      <c r="A22" s="169"/>
      <c r="B22" s="169"/>
      <c r="C22" s="169"/>
      <c r="D22" s="169"/>
      <c r="E22" s="169"/>
      <c r="F22" s="169"/>
      <c r="G22" s="169"/>
      <c r="H22" s="169"/>
    </row>
    <row r="23" spans="1:8" s="81" customFormat="1" x14ac:dyDescent="0.25">
      <c r="A23" s="169"/>
      <c r="B23" s="169"/>
      <c r="C23" s="169"/>
      <c r="D23" s="169"/>
      <c r="E23" s="169"/>
      <c r="F23" s="169"/>
      <c r="G23" s="169"/>
      <c r="H23" s="169"/>
    </row>
    <row r="24" spans="1:8" s="81" customFormat="1" x14ac:dyDescent="0.25">
      <c r="A24" s="169"/>
      <c r="B24" s="169"/>
      <c r="C24" s="169"/>
      <c r="D24" s="169"/>
      <c r="E24" s="169"/>
      <c r="F24" s="169"/>
      <c r="G24" s="169"/>
      <c r="H24" s="169"/>
    </row>
    <row r="25" spans="1:8" s="81" customFormat="1" x14ac:dyDescent="0.25">
      <c r="A25" s="169"/>
      <c r="B25" s="169"/>
      <c r="C25" s="169"/>
      <c r="D25" s="169"/>
      <c r="E25" s="169"/>
      <c r="F25" s="169"/>
      <c r="G25" s="169"/>
      <c r="H25" s="169"/>
    </row>
    <row r="26" spans="1:8" s="81" customFormat="1" x14ac:dyDescent="0.25">
      <c r="A26" s="169"/>
      <c r="B26" s="169"/>
      <c r="C26" s="169"/>
      <c r="D26" s="169"/>
      <c r="E26" s="169"/>
      <c r="F26" s="169"/>
      <c r="G26" s="169"/>
      <c r="H26" s="169"/>
    </row>
    <row r="27" spans="1:8" s="81" customFormat="1" x14ac:dyDescent="0.25">
      <c r="A27" s="169"/>
      <c r="B27" s="169"/>
      <c r="C27" s="169"/>
      <c r="D27" s="169"/>
      <c r="E27" s="169"/>
      <c r="F27" s="169"/>
      <c r="G27" s="169"/>
      <c r="H27" s="169"/>
    </row>
    <row r="28" spans="1:8" s="81" customFormat="1" x14ac:dyDescent="0.25">
      <c r="A28" s="169"/>
      <c r="B28" s="169"/>
      <c r="C28" s="169"/>
      <c r="D28" s="169"/>
      <c r="E28" s="169"/>
      <c r="F28" s="169"/>
      <c r="G28" s="169"/>
      <c r="H28" s="169"/>
    </row>
    <row r="29" spans="1:8" s="81" customFormat="1" x14ac:dyDescent="0.25">
      <c r="A29" s="169"/>
      <c r="B29" s="169"/>
      <c r="C29" s="169"/>
      <c r="D29" s="169"/>
      <c r="E29" s="169"/>
      <c r="F29" s="169"/>
      <c r="G29" s="169"/>
      <c r="H29" s="169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D12" sqref="D12"/>
    </sheetView>
  </sheetViews>
  <sheetFormatPr defaultColWidth="9.140625" defaultRowHeight="15" x14ac:dyDescent="0.25"/>
  <cols>
    <col min="1" max="1" width="5.7109375" style="173" customWidth="1"/>
    <col min="2" max="2" width="17.7109375" style="173" customWidth="1"/>
    <col min="3" max="3" width="20.7109375" style="173" customWidth="1"/>
    <col min="4" max="5" width="18.28515625" style="173" customWidth="1"/>
    <col min="6" max="6" width="18.28515625" style="174" customWidth="1"/>
    <col min="7" max="8" width="17.85546875" style="80" customWidth="1"/>
    <col min="9" max="16384" width="9.140625" style="80"/>
  </cols>
  <sheetData>
    <row r="1" spans="1:7" x14ac:dyDescent="0.25">
      <c r="A1" s="195" t="s">
        <v>170</v>
      </c>
      <c r="B1" s="196"/>
      <c r="C1" s="201">
        <f>Summary!E9</f>
        <v>0</v>
      </c>
      <c r="D1" s="201"/>
      <c r="E1" s="201"/>
      <c r="F1" s="202"/>
    </row>
    <row r="2" spans="1:7" x14ac:dyDescent="0.25">
      <c r="A2" s="197" t="s">
        <v>289</v>
      </c>
      <c r="B2" s="198"/>
      <c r="C2" s="203">
        <f>Summary!E10</f>
        <v>0</v>
      </c>
      <c r="D2" s="203"/>
      <c r="E2" s="203"/>
      <c r="F2" s="204"/>
    </row>
    <row r="3" spans="1:7" x14ac:dyDescent="0.25">
      <c r="A3" s="199" t="s">
        <v>565</v>
      </c>
      <c r="B3" s="200"/>
      <c r="C3" s="205">
        <f>Summary!E11</f>
        <v>0</v>
      </c>
      <c r="D3" s="205"/>
      <c r="E3" s="205"/>
      <c r="F3" s="206"/>
    </row>
    <row r="4" spans="1:7" x14ac:dyDescent="0.25">
      <c r="A4" s="80"/>
      <c r="B4" s="80"/>
      <c r="C4" s="80"/>
      <c r="D4" s="80"/>
      <c r="E4" s="80"/>
      <c r="F4" s="107"/>
    </row>
    <row r="5" spans="1:7" x14ac:dyDescent="0.25">
      <c r="A5" s="77" t="s">
        <v>7</v>
      </c>
      <c r="B5" s="77" t="s">
        <v>199</v>
      </c>
      <c r="C5" s="78" t="s">
        <v>411</v>
      </c>
      <c r="D5" s="79" t="s">
        <v>530</v>
      </c>
      <c r="E5" s="79" t="s">
        <v>295</v>
      </c>
      <c r="F5" s="79" t="s">
        <v>294</v>
      </c>
      <c r="G5" s="81"/>
    </row>
    <row r="6" spans="1:7" s="81" customFormat="1" x14ac:dyDescent="0.25">
      <c r="A6" s="169"/>
      <c r="B6" s="169"/>
      <c r="C6" s="169"/>
      <c r="D6" s="169"/>
      <c r="E6" s="169"/>
      <c r="F6" s="172"/>
    </row>
    <row r="7" spans="1:7" s="81" customFormat="1" x14ac:dyDescent="0.25">
      <c r="A7" s="169"/>
      <c r="B7" s="169"/>
      <c r="C7" s="169"/>
      <c r="D7" s="169"/>
      <c r="E7" s="169"/>
      <c r="F7" s="172"/>
    </row>
    <row r="8" spans="1:7" s="81" customFormat="1" x14ac:dyDescent="0.25">
      <c r="A8" s="169"/>
      <c r="B8" s="169"/>
      <c r="C8" s="169"/>
      <c r="D8" s="169"/>
      <c r="E8" s="169"/>
      <c r="F8" s="172"/>
    </row>
    <row r="9" spans="1:7" s="81" customFormat="1" x14ac:dyDescent="0.25">
      <c r="A9" s="169"/>
      <c r="B9" s="169"/>
      <c r="C9" s="169"/>
      <c r="D9" s="169"/>
      <c r="E9" s="169"/>
      <c r="F9" s="172"/>
    </row>
    <row r="10" spans="1:7" s="81" customFormat="1" x14ac:dyDescent="0.25">
      <c r="A10" s="169"/>
      <c r="B10" s="169"/>
      <c r="C10" s="169"/>
      <c r="D10" s="169"/>
      <c r="E10" s="169"/>
      <c r="F10" s="172"/>
    </row>
    <row r="11" spans="1:7" s="81" customFormat="1" x14ac:dyDescent="0.25">
      <c r="A11" s="169"/>
      <c r="B11" s="169"/>
      <c r="C11" s="169"/>
      <c r="D11" s="169"/>
      <c r="E11" s="169"/>
      <c r="F11" s="172"/>
    </row>
    <row r="12" spans="1:7" s="81" customFormat="1" x14ac:dyDescent="0.25">
      <c r="A12" s="169"/>
      <c r="B12" s="169"/>
      <c r="C12" s="169"/>
      <c r="D12" s="169"/>
      <c r="E12" s="169"/>
      <c r="F12" s="172"/>
    </row>
    <row r="13" spans="1:7" s="81" customFormat="1" x14ac:dyDescent="0.25">
      <c r="A13" s="169"/>
      <c r="B13" s="169"/>
      <c r="C13" s="169"/>
      <c r="D13" s="169"/>
      <c r="E13" s="169"/>
      <c r="F13" s="172"/>
    </row>
    <row r="14" spans="1:7" s="81" customFormat="1" x14ac:dyDescent="0.25">
      <c r="A14" s="169"/>
      <c r="B14" s="169"/>
      <c r="C14" s="169"/>
      <c r="D14" s="169"/>
      <c r="E14" s="169"/>
      <c r="F14" s="172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I32" sqref="I32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8" t="s">
        <v>170</v>
      </c>
      <c r="B1" s="216"/>
      <c r="C1" s="216"/>
      <c r="D1" s="216"/>
      <c r="E1" s="216"/>
      <c r="F1" s="216"/>
      <c r="G1" s="217"/>
    </row>
    <row r="2" spans="1:7" x14ac:dyDescent="0.25">
      <c r="A2" s="109" t="s">
        <v>289</v>
      </c>
      <c r="B2" s="214"/>
      <c r="C2" s="214"/>
      <c r="D2" s="214"/>
      <c r="E2" s="214"/>
      <c r="F2" s="214"/>
      <c r="G2" s="215"/>
    </row>
    <row r="3" spans="1:7" x14ac:dyDescent="0.25">
      <c r="A3" s="109" t="s">
        <v>565</v>
      </c>
      <c r="B3" s="214"/>
      <c r="C3" s="214"/>
      <c r="D3" s="214"/>
      <c r="E3" s="214"/>
      <c r="F3" s="214"/>
      <c r="G3" s="215"/>
    </row>
    <row r="4" spans="1:7" x14ac:dyDescent="0.25">
      <c r="A4" s="109" t="s">
        <v>566</v>
      </c>
      <c r="B4" s="214"/>
      <c r="C4" s="214"/>
      <c r="D4" s="214"/>
      <c r="E4" s="214"/>
      <c r="F4" s="214"/>
      <c r="G4" s="215"/>
    </row>
    <row r="5" spans="1:7" x14ac:dyDescent="0.25">
      <c r="A5" s="109" t="s">
        <v>290</v>
      </c>
      <c r="B5" s="214"/>
      <c r="C5" s="214"/>
      <c r="D5" s="214"/>
      <c r="E5" s="214"/>
      <c r="F5" s="214"/>
      <c r="G5" s="215"/>
    </row>
    <row r="6" spans="1:7" x14ac:dyDescent="0.25">
      <c r="A6" s="109" t="s">
        <v>291</v>
      </c>
      <c r="B6" s="208"/>
      <c r="C6" s="208"/>
      <c r="D6" s="208"/>
      <c r="E6" s="208"/>
      <c r="F6" s="208"/>
      <c r="G6" s="209"/>
    </row>
    <row r="7" spans="1:7" s="84" customFormat="1" x14ac:dyDescent="0.25">
      <c r="A7" s="109" t="s">
        <v>292</v>
      </c>
      <c r="B7" s="214"/>
      <c r="C7" s="214"/>
      <c r="D7" s="214"/>
      <c r="E7" s="214"/>
      <c r="F7" s="214"/>
      <c r="G7" s="215"/>
    </row>
    <row r="8" spans="1:7" x14ac:dyDescent="0.25">
      <c r="A8" s="110" t="s">
        <v>175</v>
      </c>
      <c r="B8" s="210"/>
      <c r="C8" s="210"/>
      <c r="D8" s="210"/>
      <c r="E8" s="210"/>
      <c r="F8" s="210"/>
      <c r="G8" s="211"/>
    </row>
    <row r="10" spans="1:7" x14ac:dyDescent="0.25">
      <c r="A10" s="111" t="s">
        <v>282</v>
      </c>
      <c r="B10" s="61"/>
      <c r="C10" s="61"/>
      <c r="D10" s="61"/>
      <c r="E10" s="61"/>
      <c r="F10" s="61"/>
      <c r="G10" s="62"/>
    </row>
    <row r="11" spans="1:7" x14ac:dyDescent="0.25">
      <c r="A11" s="112" t="s">
        <v>293</v>
      </c>
      <c r="B11" s="207" t="s">
        <v>530</v>
      </c>
      <c r="C11" s="207"/>
      <c r="D11" s="213" t="s">
        <v>295</v>
      </c>
      <c r="E11" s="213"/>
      <c r="F11" s="207" t="s">
        <v>294</v>
      </c>
      <c r="G11" s="212"/>
    </row>
    <row r="13" spans="1:7" x14ac:dyDescent="0.25">
      <c r="A13" s="111" t="s">
        <v>286</v>
      </c>
      <c r="B13" s="61"/>
      <c r="C13" s="61"/>
      <c r="D13" s="61"/>
      <c r="E13" s="61"/>
      <c r="F13" s="61"/>
      <c r="G13" s="62"/>
    </row>
    <row r="14" spans="1:7" x14ac:dyDescent="0.25">
      <c r="A14" s="112" t="s">
        <v>178</v>
      </c>
      <c r="B14" s="207" t="s">
        <v>179</v>
      </c>
      <c r="C14" s="207"/>
      <c r="D14" s="207"/>
      <c r="E14" s="207"/>
      <c r="F14" s="76" t="s">
        <v>180</v>
      </c>
      <c r="G14" s="36" t="s">
        <v>300</v>
      </c>
    </row>
    <row r="16" spans="1:7" x14ac:dyDescent="0.25">
      <c r="A16" s="111" t="s">
        <v>296</v>
      </c>
      <c r="B16" s="61"/>
      <c r="C16" s="61"/>
      <c r="D16" s="61"/>
      <c r="E16" s="61"/>
      <c r="F16" s="61"/>
      <c r="G16" s="62"/>
    </row>
    <row r="17" spans="1:7" x14ac:dyDescent="0.25">
      <c r="A17" s="113" t="s">
        <v>297</v>
      </c>
      <c r="B17" s="37" t="s">
        <v>185</v>
      </c>
      <c r="C17" s="37" t="s">
        <v>298</v>
      </c>
      <c r="D17" s="37" t="s">
        <v>299</v>
      </c>
      <c r="E17" s="37" t="s">
        <v>186</v>
      </c>
      <c r="F17" s="76" t="s">
        <v>180</v>
      </c>
      <c r="G17" s="36" t="s">
        <v>181</v>
      </c>
    </row>
    <row r="19" spans="1:7" x14ac:dyDescent="0.25">
      <c r="A19" s="111" t="s">
        <v>192</v>
      </c>
      <c r="B19" s="61"/>
      <c r="C19" s="61"/>
      <c r="D19" s="61"/>
      <c r="E19" s="61"/>
      <c r="F19" s="61"/>
      <c r="G19" s="62"/>
    </row>
    <row r="20" spans="1:7" x14ac:dyDescent="0.25">
      <c r="A20" s="114" t="s">
        <v>301</v>
      </c>
      <c r="B20" s="214" t="s">
        <v>175</v>
      </c>
      <c r="C20" s="214"/>
      <c r="D20" s="214"/>
      <c r="E20" s="214" t="s">
        <v>302</v>
      </c>
      <c r="F20" s="214"/>
      <c r="G20" s="31" t="s">
        <v>181</v>
      </c>
    </row>
    <row r="21" spans="1:7" x14ac:dyDescent="0.25">
      <c r="A21" s="114"/>
      <c r="B21" s="214"/>
      <c r="C21" s="214"/>
      <c r="D21" s="214"/>
      <c r="E21" s="214"/>
      <c r="F21" s="214"/>
      <c r="G21" s="31"/>
    </row>
    <row r="22" spans="1:7" x14ac:dyDescent="0.25">
      <c r="A22" s="115"/>
      <c r="B22" s="210"/>
      <c r="C22" s="210"/>
      <c r="D22" s="210"/>
      <c r="E22" s="210"/>
      <c r="F22" s="210"/>
      <c r="G22" s="32"/>
    </row>
    <row r="24" spans="1:7" x14ac:dyDescent="0.25">
      <c r="A24" s="24" t="s">
        <v>303</v>
      </c>
      <c r="C24" t="s">
        <v>304</v>
      </c>
      <c r="F24" t="s">
        <v>305</v>
      </c>
    </row>
    <row r="26" spans="1:7" x14ac:dyDescent="0.25">
      <c r="A26" s="108" t="s">
        <v>170</v>
      </c>
      <c r="B26" s="216" t="str">
        <f t="shared" ref="B26:B31" si="0">IF(B1&lt;&gt;"",B1,"")</f>
        <v/>
      </c>
      <c r="C26" s="216"/>
      <c r="D26" s="216"/>
      <c r="E26" s="216"/>
      <c r="F26" s="216"/>
      <c r="G26" s="217"/>
    </row>
    <row r="27" spans="1:7" x14ac:dyDescent="0.25">
      <c r="A27" s="109" t="s">
        <v>289</v>
      </c>
      <c r="B27" s="214" t="str">
        <f t="shared" si="0"/>
        <v/>
      </c>
      <c r="C27" s="214"/>
      <c r="D27" s="214"/>
      <c r="E27" s="214"/>
      <c r="F27" s="214"/>
      <c r="G27" s="215"/>
    </row>
    <row r="28" spans="1:7" s="84" customFormat="1" x14ac:dyDescent="0.25">
      <c r="A28" s="109" t="s">
        <v>565</v>
      </c>
      <c r="B28" s="214" t="str">
        <f t="shared" si="0"/>
        <v/>
      </c>
      <c r="C28" s="214"/>
      <c r="D28" s="214"/>
      <c r="E28" s="214"/>
      <c r="F28" s="214"/>
      <c r="G28" s="215"/>
    </row>
    <row r="29" spans="1:7" s="84" customFormat="1" x14ac:dyDescent="0.25">
      <c r="A29" s="109" t="s">
        <v>566</v>
      </c>
      <c r="B29" s="214" t="str">
        <f t="shared" si="0"/>
        <v/>
      </c>
      <c r="C29" s="214"/>
      <c r="D29" s="214"/>
      <c r="E29" s="214"/>
      <c r="F29" s="214"/>
      <c r="G29" s="215"/>
    </row>
    <row r="30" spans="1:7" s="84" customFormat="1" x14ac:dyDescent="0.25">
      <c r="A30" s="109" t="s">
        <v>290</v>
      </c>
      <c r="B30" s="214" t="str">
        <f t="shared" si="0"/>
        <v/>
      </c>
      <c r="C30" s="214"/>
      <c r="D30" s="214"/>
      <c r="E30" s="214"/>
      <c r="F30" s="214"/>
      <c r="G30" s="215"/>
    </row>
    <row r="31" spans="1:7" s="84" customFormat="1" x14ac:dyDescent="0.25">
      <c r="A31" s="110" t="s">
        <v>291</v>
      </c>
      <c r="B31" s="210" t="str">
        <f t="shared" si="0"/>
        <v/>
      </c>
      <c r="C31" s="210"/>
      <c r="D31" s="210"/>
      <c r="E31" s="210"/>
      <c r="F31" s="210"/>
      <c r="G31" s="211"/>
    </row>
    <row r="32" spans="1:7" s="84" customFormat="1" x14ac:dyDescent="0.25">
      <c r="A32" s="120"/>
      <c r="B32" s="120"/>
      <c r="C32" s="120"/>
      <c r="D32" s="120"/>
      <c r="E32" s="120"/>
      <c r="F32" s="120"/>
      <c r="G32" s="120"/>
    </row>
    <row r="33" spans="1:7" s="84" customFormat="1" x14ac:dyDescent="0.25">
      <c r="A33" s="120" t="s">
        <v>470</v>
      </c>
      <c r="B33" s="120"/>
      <c r="C33" s="120"/>
      <c r="D33" s="120"/>
      <c r="E33" s="120"/>
      <c r="F33" s="120"/>
      <c r="G33" s="120"/>
    </row>
    <row r="34" spans="1:7" s="84" customFormat="1" x14ac:dyDescent="0.25">
      <c r="A34" s="120"/>
      <c r="B34" s="120"/>
      <c r="C34" s="120"/>
      <c r="D34" s="120"/>
      <c r="E34" s="120"/>
      <c r="F34" s="120"/>
      <c r="G34" s="120"/>
    </row>
    <row r="35" spans="1:7" s="84" customFormat="1" x14ac:dyDescent="0.25">
      <c r="A35" s="120"/>
      <c r="B35" s="120"/>
      <c r="C35" s="120"/>
      <c r="D35" s="120"/>
      <c r="E35" s="120"/>
      <c r="F35" s="120"/>
      <c r="G35" s="120"/>
    </row>
    <row r="36" spans="1:7" s="84" customFormat="1" x14ac:dyDescent="0.25">
      <c r="A36" s="120"/>
      <c r="B36" s="120"/>
      <c r="C36" s="120"/>
      <c r="D36" s="120"/>
      <c r="E36" s="120"/>
      <c r="F36" s="120"/>
      <c r="G36" s="120"/>
    </row>
    <row r="37" spans="1:7" s="84" customFormat="1" x14ac:dyDescent="0.25">
      <c r="A37" s="120"/>
      <c r="B37" s="120"/>
      <c r="C37" s="120"/>
      <c r="D37" s="120"/>
      <c r="E37" s="120"/>
      <c r="F37" s="120"/>
      <c r="G37" s="120"/>
    </row>
    <row r="38" spans="1:7" s="84" customFormat="1" x14ac:dyDescent="0.25">
      <c r="A38" s="120"/>
      <c r="B38" s="120"/>
      <c r="C38" s="120"/>
      <c r="D38" s="120"/>
      <c r="E38" s="120"/>
      <c r="F38" s="120"/>
      <c r="G38" s="120"/>
    </row>
    <row r="39" spans="1:7" s="84" customFormat="1" x14ac:dyDescent="0.25">
      <c r="A39" s="120"/>
      <c r="B39" s="120"/>
      <c r="C39" s="120"/>
      <c r="D39" s="120"/>
      <c r="E39" s="120"/>
      <c r="F39" s="120"/>
      <c r="G39" s="120"/>
    </row>
    <row r="40" spans="1:7" s="84" customFormat="1" x14ac:dyDescent="0.25">
      <c r="A40" s="120"/>
      <c r="B40" s="120"/>
      <c r="C40" s="120"/>
      <c r="D40" s="120"/>
      <c r="E40" s="120"/>
      <c r="F40" s="120"/>
      <c r="G40" s="120"/>
    </row>
    <row r="41" spans="1:7" s="84" customFormat="1" x14ac:dyDescent="0.25">
      <c r="A41" s="120"/>
      <c r="B41" s="120"/>
      <c r="C41" s="120"/>
      <c r="D41" s="120"/>
      <c r="E41" s="120"/>
      <c r="F41" s="120"/>
      <c r="G41" s="120"/>
    </row>
    <row r="42" spans="1:7" s="84" customFormat="1" x14ac:dyDescent="0.25">
      <c r="A42" s="120"/>
      <c r="B42" s="120"/>
      <c r="C42" s="120"/>
      <c r="D42" s="120"/>
      <c r="E42" s="120"/>
      <c r="F42" s="120"/>
      <c r="G42" s="120"/>
    </row>
    <row r="43" spans="1:7" s="84" customFormat="1" x14ac:dyDescent="0.25">
      <c r="A43" s="120"/>
      <c r="B43" s="120"/>
      <c r="C43" s="120"/>
      <c r="D43" s="120"/>
      <c r="E43" s="120"/>
      <c r="F43" s="120"/>
      <c r="G43" s="120"/>
    </row>
    <row r="44" spans="1:7" s="84" customFormat="1" x14ac:dyDescent="0.25">
      <c r="A44" s="120"/>
      <c r="B44" s="120"/>
      <c r="C44" s="120"/>
      <c r="D44" s="120"/>
      <c r="E44" s="120"/>
      <c r="F44" s="120"/>
      <c r="G44" s="120"/>
    </row>
    <row r="45" spans="1:7" s="84" customFormat="1" x14ac:dyDescent="0.25">
      <c r="A45" s="120"/>
      <c r="B45" s="120"/>
      <c r="C45" s="120"/>
      <c r="D45" s="120"/>
      <c r="E45" s="120"/>
      <c r="F45" s="120"/>
      <c r="G45" s="120"/>
    </row>
    <row r="46" spans="1:7" s="84" customFormat="1" x14ac:dyDescent="0.25">
      <c r="A46" s="120"/>
      <c r="B46" s="120"/>
      <c r="C46" s="120"/>
      <c r="D46" s="120"/>
      <c r="E46" s="120"/>
      <c r="F46" s="120"/>
      <c r="G46" s="120"/>
    </row>
    <row r="47" spans="1:7" s="84" customFormat="1" x14ac:dyDescent="0.25">
      <c r="A47" s="120"/>
      <c r="B47" s="120"/>
      <c r="C47" s="120"/>
      <c r="D47" s="120"/>
      <c r="E47" s="120"/>
      <c r="F47" s="120"/>
      <c r="G47" s="120"/>
    </row>
    <row r="48" spans="1:7" s="84" customFormat="1" x14ac:dyDescent="0.25">
      <c r="A48" s="120"/>
      <c r="B48" s="120"/>
      <c r="C48" s="120"/>
      <c r="D48" s="120"/>
      <c r="E48" s="120"/>
      <c r="F48" s="120"/>
      <c r="G48" s="120"/>
    </row>
    <row r="49" spans="1:7" s="84" customFormat="1" x14ac:dyDescent="0.25">
      <c r="A49" s="120"/>
      <c r="B49" s="120"/>
      <c r="C49" s="120"/>
      <c r="D49" s="120"/>
      <c r="E49" s="120"/>
      <c r="F49" s="120"/>
      <c r="G49" s="120"/>
    </row>
    <row r="50" spans="1:7" s="84" customFormat="1" x14ac:dyDescent="0.25">
      <c r="A50" s="120"/>
      <c r="B50" s="120"/>
      <c r="C50" s="120"/>
      <c r="D50" s="120"/>
      <c r="E50" s="120"/>
      <c r="F50" s="120"/>
      <c r="G50" s="120"/>
    </row>
    <row r="51" spans="1:7" s="84" customFormat="1" x14ac:dyDescent="0.25">
      <c r="A51" s="120"/>
      <c r="B51" s="120"/>
      <c r="C51" s="120"/>
      <c r="D51" s="120"/>
      <c r="E51" s="120"/>
      <c r="F51" s="120"/>
      <c r="G51" s="120"/>
    </row>
    <row r="52" spans="1:7" s="84" customFormat="1" x14ac:dyDescent="0.25">
      <c r="A52" s="120"/>
      <c r="B52" s="120"/>
      <c r="C52" s="120"/>
      <c r="D52" s="120"/>
      <c r="E52" s="120"/>
      <c r="F52" s="120"/>
      <c r="G52" s="120"/>
    </row>
    <row r="53" spans="1:7" s="84" customFormat="1" x14ac:dyDescent="0.25">
      <c r="A53" s="120"/>
      <c r="B53" s="120"/>
      <c r="C53" s="120"/>
      <c r="D53" s="120"/>
      <c r="E53" s="120"/>
      <c r="F53" s="120"/>
      <c r="G53" s="120"/>
    </row>
    <row r="54" spans="1:7" s="84" customFormat="1" x14ac:dyDescent="0.25">
      <c r="A54" s="120"/>
      <c r="B54" s="120"/>
      <c r="C54" s="120"/>
      <c r="D54" s="120"/>
      <c r="E54" s="120"/>
      <c r="F54" s="120"/>
      <c r="G54" s="120"/>
    </row>
  </sheetData>
  <mergeCells count="24">
    <mergeCell ref="B31:G31"/>
    <mergeCell ref="B26:G26"/>
    <mergeCell ref="B27:G27"/>
    <mergeCell ref="B28:G28"/>
    <mergeCell ref="B29:G29"/>
    <mergeCell ref="B30:G30"/>
    <mergeCell ref="E20:F20"/>
    <mergeCell ref="E21:F21"/>
    <mergeCell ref="E22:F22"/>
    <mergeCell ref="B21:D21"/>
    <mergeCell ref="B22:D22"/>
    <mergeCell ref="B20:D20"/>
    <mergeCell ref="B1:G1"/>
    <mergeCell ref="B2:G2"/>
    <mergeCell ref="B3:G3"/>
    <mergeCell ref="B4:G4"/>
    <mergeCell ref="B5:G5"/>
    <mergeCell ref="B14:E14"/>
    <mergeCell ref="B6:G6"/>
    <mergeCell ref="B8:G8"/>
    <mergeCell ref="B11:C11"/>
    <mergeCell ref="F11:G11"/>
    <mergeCell ref="D11:E11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>
      <selection activeCell="H25" sqref="H25"/>
    </sheetView>
  </sheetViews>
  <sheetFormatPr defaultColWidth="9.140625" defaultRowHeight="15" x14ac:dyDescent="0.25"/>
  <cols>
    <col min="1" max="1" width="16.85546875" style="84" bestFit="1" customWidth="1"/>
    <col min="2" max="2" width="25.28515625" style="138" customWidth="1"/>
    <col min="3" max="5" width="15.28515625" style="84" bestFit="1" customWidth="1"/>
    <col min="6" max="16384" width="9.140625" style="84"/>
  </cols>
  <sheetData>
    <row r="1" spans="1:2" x14ac:dyDescent="0.25">
      <c r="A1" s="100" t="s">
        <v>435</v>
      </c>
    </row>
    <row r="2" spans="1:2" x14ac:dyDescent="0.25">
      <c r="A2" s="99" t="s">
        <v>439</v>
      </c>
      <c r="B2" s="139"/>
    </row>
    <row r="3" spans="1:2" x14ac:dyDescent="0.25">
      <c r="A3" s="89" t="s">
        <v>498</v>
      </c>
      <c r="B3" s="140"/>
    </row>
    <row r="4" spans="1:2" x14ac:dyDescent="0.25">
      <c r="A4" s="89" t="s">
        <v>500</v>
      </c>
      <c r="B4" s="140"/>
    </row>
    <row r="5" spans="1:2" x14ac:dyDescent="0.25">
      <c r="A5" s="89" t="s">
        <v>155</v>
      </c>
      <c r="B5" s="141"/>
    </row>
    <row r="6" spans="1:2" x14ac:dyDescent="0.25">
      <c r="A6" s="137" t="s">
        <v>501</v>
      </c>
    </row>
    <row r="7" spans="1:2" x14ac:dyDescent="0.25">
      <c r="A7" s="137" t="s">
        <v>503</v>
      </c>
    </row>
    <row r="8" spans="1:2" x14ac:dyDescent="0.25">
      <c r="A8" s="137" t="s">
        <v>504</v>
      </c>
    </row>
    <row r="9" spans="1:2" x14ac:dyDescent="0.25">
      <c r="A9" s="137" t="s">
        <v>505</v>
      </c>
    </row>
    <row r="10" spans="1:2" x14ac:dyDescent="0.25">
      <c r="A10" s="137" t="s">
        <v>506</v>
      </c>
    </row>
    <row r="11" spans="1:2" x14ac:dyDescent="0.25">
      <c r="A11" s="137" t="s">
        <v>507</v>
      </c>
    </row>
    <row r="12" spans="1:2" x14ac:dyDescent="0.25">
      <c r="A12" s="105" t="s">
        <v>531</v>
      </c>
    </row>
    <row r="13" spans="1:2" x14ac:dyDescent="0.25">
      <c r="A13" s="98" t="s">
        <v>510</v>
      </c>
    </row>
    <row r="15" spans="1:2" x14ac:dyDescent="0.25">
      <c r="A15" s="85" t="s">
        <v>281</v>
      </c>
    </row>
    <row r="16" spans="1:2" x14ac:dyDescent="0.25">
      <c r="A16" s="99" t="s">
        <v>440</v>
      </c>
    </row>
    <row r="17" spans="1:6" x14ac:dyDescent="0.25">
      <c r="A17" s="89" t="s">
        <v>498</v>
      </c>
      <c r="B17" s="141"/>
      <c r="F17" s="121"/>
    </row>
    <row r="18" spans="1:6" x14ac:dyDescent="0.25">
      <c r="A18" s="89" t="s">
        <v>500</v>
      </c>
      <c r="B18" s="141"/>
    </row>
    <row r="19" spans="1:6" x14ac:dyDescent="0.25">
      <c r="A19" s="89" t="s">
        <v>155</v>
      </c>
      <c r="B19" s="141"/>
      <c r="C19" s="121"/>
      <c r="D19" s="121"/>
      <c r="E19" s="121"/>
      <c r="F19" s="121"/>
    </row>
    <row r="20" spans="1:6" x14ac:dyDescent="0.25">
      <c r="A20" s="137" t="s">
        <v>501</v>
      </c>
      <c r="C20" s="121"/>
      <c r="D20" s="121"/>
      <c r="E20" s="121"/>
      <c r="F20" s="121"/>
    </row>
    <row r="21" spans="1:6" x14ac:dyDescent="0.25">
      <c r="A21" s="137" t="s">
        <v>503</v>
      </c>
      <c r="C21" s="121"/>
      <c r="D21" s="121"/>
      <c r="E21" s="121"/>
      <c r="F21" s="121"/>
    </row>
    <row r="22" spans="1:6" x14ac:dyDescent="0.25">
      <c r="A22" s="137" t="s">
        <v>504</v>
      </c>
      <c r="C22" s="121"/>
      <c r="D22"/>
      <c r="E22" s="121"/>
      <c r="F22" s="121"/>
    </row>
    <row r="23" spans="1:6" x14ac:dyDescent="0.25">
      <c r="A23" s="137" t="s">
        <v>506</v>
      </c>
      <c r="C23" s="121"/>
      <c r="D23" s="121"/>
      <c r="E23" s="121"/>
      <c r="F23" s="121"/>
    </row>
    <row r="24" spans="1:6" x14ac:dyDescent="0.25">
      <c r="A24" s="98" t="s">
        <v>510</v>
      </c>
      <c r="C24" s="121"/>
      <c r="E24" s="121"/>
      <c r="F24" s="121"/>
    </row>
    <row r="25" spans="1:6" x14ac:dyDescent="0.25">
      <c r="C25" s="121"/>
      <c r="E25" s="121"/>
      <c r="F25" s="121"/>
    </row>
    <row r="26" spans="1:6" x14ac:dyDescent="0.25">
      <c r="A26" s="85" t="s">
        <v>377</v>
      </c>
    </row>
    <row r="27" spans="1:6" x14ac:dyDescent="0.25">
      <c r="A27" s="87" t="s">
        <v>166</v>
      </c>
    </row>
    <row r="28" spans="1:6" x14ac:dyDescent="0.25">
      <c r="A28" s="89" t="s">
        <v>498</v>
      </c>
      <c r="B28" s="141"/>
    </row>
    <row r="29" spans="1:6" x14ac:dyDescent="0.25">
      <c r="A29" s="89" t="s">
        <v>500</v>
      </c>
      <c r="B29" s="141"/>
    </row>
    <row r="30" spans="1:6" x14ac:dyDescent="0.25">
      <c r="A30" s="89" t="s">
        <v>155</v>
      </c>
      <c r="B30" s="141"/>
    </row>
    <row r="31" spans="1:6" x14ac:dyDescent="0.25">
      <c r="A31" s="137" t="s">
        <v>501</v>
      </c>
    </row>
    <row r="32" spans="1:6" x14ac:dyDescent="0.25">
      <c r="A32" s="137" t="s">
        <v>503</v>
      </c>
    </row>
    <row r="33" spans="1:1" x14ac:dyDescent="0.25">
      <c r="A33" s="137" t="s">
        <v>504</v>
      </c>
    </row>
    <row r="34" spans="1:1" x14ac:dyDescent="0.25">
      <c r="A34" s="137" t="s">
        <v>505</v>
      </c>
    </row>
    <row r="35" spans="1:1" x14ac:dyDescent="0.25">
      <c r="A35" s="137" t="s">
        <v>506</v>
      </c>
    </row>
    <row r="36" spans="1:1" x14ac:dyDescent="0.25">
      <c r="A36" s="137" t="s">
        <v>507</v>
      </c>
    </row>
    <row r="37" spans="1:1" x14ac:dyDescent="0.25">
      <c r="A37" s="105" t="s">
        <v>531</v>
      </c>
    </row>
    <row r="38" spans="1:1" x14ac:dyDescent="0.25">
      <c r="A38" s="98" t="s">
        <v>510</v>
      </c>
    </row>
    <row r="40" spans="1:1" x14ac:dyDescent="0.25">
      <c r="A40" s="136" t="s">
        <v>517</v>
      </c>
    </row>
    <row r="41" spans="1:1" x14ac:dyDescent="0.25">
      <c r="A41" s="135" t="s">
        <v>167</v>
      </c>
    </row>
    <row r="42" spans="1:1" x14ac:dyDescent="0.25">
      <c r="A42" s="89" t="s">
        <v>498</v>
      </c>
    </row>
    <row r="43" spans="1:1" x14ac:dyDescent="0.25">
      <c r="A43" s="137" t="s">
        <v>500</v>
      </c>
    </row>
    <row r="44" spans="1:1" x14ac:dyDescent="0.25">
      <c r="A44" s="89" t="s">
        <v>155</v>
      </c>
    </row>
    <row r="45" spans="1:1" x14ac:dyDescent="0.25">
      <c r="A45" s="137" t="s">
        <v>501</v>
      </c>
    </row>
    <row r="46" spans="1:1" x14ac:dyDescent="0.25">
      <c r="A46" s="137" t="s">
        <v>503</v>
      </c>
    </row>
    <row r="47" spans="1:1" x14ac:dyDescent="0.25">
      <c r="A47" s="137" t="s">
        <v>504</v>
      </c>
    </row>
    <row r="48" spans="1:1" x14ac:dyDescent="0.25">
      <c r="A48" s="137" t="s">
        <v>505</v>
      </c>
    </row>
    <row r="49" spans="1:2" x14ac:dyDescent="0.25">
      <c r="A49" s="137" t="s">
        <v>506</v>
      </c>
    </row>
    <row r="50" spans="1:2" x14ac:dyDescent="0.25">
      <c r="A50" s="137" t="s">
        <v>507</v>
      </c>
    </row>
    <row r="51" spans="1:2" x14ac:dyDescent="0.25">
      <c r="A51" s="98" t="s">
        <v>510</v>
      </c>
    </row>
    <row r="52" spans="1:2" x14ac:dyDescent="0.25">
      <c r="A52" s="163"/>
    </row>
    <row r="53" spans="1:2" x14ac:dyDescent="0.25">
      <c r="A53" s="136" t="s">
        <v>378</v>
      </c>
    </row>
    <row r="54" spans="1:2" x14ac:dyDescent="0.25">
      <c r="A54" s="135" t="s">
        <v>168</v>
      </c>
    </row>
    <row r="55" spans="1:2" x14ac:dyDescent="0.25">
      <c r="A55" s="89" t="s">
        <v>498</v>
      </c>
      <c r="B55" s="141"/>
    </row>
    <row r="56" spans="1:2" x14ac:dyDescent="0.25">
      <c r="A56" s="137" t="s">
        <v>508</v>
      </c>
      <c r="B56" s="141"/>
    </row>
    <row r="57" spans="1:2" x14ac:dyDescent="0.25">
      <c r="A57" s="89" t="s">
        <v>155</v>
      </c>
      <c r="B57" s="141"/>
    </row>
    <row r="58" spans="1:2" x14ac:dyDescent="0.25">
      <c r="A58" s="137" t="s">
        <v>501</v>
      </c>
      <c r="B58" s="121"/>
    </row>
    <row r="59" spans="1:2" x14ac:dyDescent="0.25">
      <c r="A59" s="137" t="s">
        <v>503</v>
      </c>
    </row>
    <row r="60" spans="1:2" x14ac:dyDescent="0.25">
      <c r="A60" s="137" t="s">
        <v>504</v>
      </c>
    </row>
    <row r="61" spans="1:2" x14ac:dyDescent="0.25">
      <c r="A61" s="137" t="s">
        <v>509</v>
      </c>
      <c r="B61" s="141"/>
    </row>
    <row r="62" spans="1:2" x14ac:dyDescent="0.25">
      <c r="A62" s="137" t="s">
        <v>502</v>
      </c>
      <c r="B62" s="141"/>
    </row>
    <row r="63" spans="1:2" x14ac:dyDescent="0.25">
      <c r="A63" s="137" t="s">
        <v>507</v>
      </c>
    </row>
    <row r="64" spans="1:2" x14ac:dyDescent="0.25">
      <c r="A64" s="105" t="s">
        <v>531</v>
      </c>
    </row>
    <row r="65" spans="1:1" x14ac:dyDescent="0.25">
      <c r="A65" s="98" t="s">
        <v>510</v>
      </c>
    </row>
  </sheetData>
  <pageMargins left="0.70866141732283472" right="0.70866141732283472" top="0.74803149606299213" bottom="0.74803149606299213" header="0.31496062992125984" footer="0.31496062992125984"/>
  <pageSetup paperSize="8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ColWidth="9.140625"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232</v>
      </c>
    </row>
    <row r="3" spans="1:9" x14ac:dyDescent="0.25">
      <c r="A3" s="12" t="s">
        <v>200</v>
      </c>
      <c r="B3" s="22" t="s">
        <v>149</v>
      </c>
      <c r="C3" s="22" t="s">
        <v>231</v>
      </c>
      <c r="G3"/>
      <c r="H3"/>
      <c r="I3"/>
    </row>
    <row r="4" spans="1:9" x14ac:dyDescent="0.25">
      <c r="A4" t="s">
        <v>201</v>
      </c>
      <c r="B4" t="s">
        <v>202</v>
      </c>
      <c r="C4" s="38">
        <v>1.5</v>
      </c>
      <c r="G4"/>
      <c r="H4"/>
      <c r="I4"/>
    </row>
    <row r="5" spans="1:9" x14ac:dyDescent="0.25">
      <c r="A5" t="s">
        <v>203</v>
      </c>
      <c r="B5" t="s">
        <v>204</v>
      </c>
      <c r="C5" s="38">
        <v>2</v>
      </c>
      <c r="G5"/>
      <c r="H5"/>
      <c r="I5"/>
    </row>
    <row r="6" spans="1:9" x14ac:dyDescent="0.25">
      <c r="A6" t="s">
        <v>205</v>
      </c>
      <c r="B6" t="s">
        <v>206</v>
      </c>
      <c r="C6" s="38">
        <v>3</v>
      </c>
      <c r="G6"/>
      <c r="H6"/>
      <c r="I6"/>
    </row>
    <row r="7" spans="1:9" x14ac:dyDescent="0.25">
      <c r="A7" t="s">
        <v>207</v>
      </c>
      <c r="B7" t="s">
        <v>208</v>
      </c>
      <c r="C7" s="38">
        <v>4</v>
      </c>
      <c r="G7"/>
      <c r="H7"/>
      <c r="I7"/>
    </row>
    <row r="8" spans="1:9" x14ac:dyDescent="0.25">
      <c r="A8" t="s">
        <v>209</v>
      </c>
      <c r="B8" t="s">
        <v>210</v>
      </c>
      <c r="C8" s="38">
        <v>6</v>
      </c>
      <c r="G8"/>
      <c r="H8"/>
      <c r="I8"/>
    </row>
    <row r="9" spans="1:9" x14ac:dyDescent="0.25">
      <c r="A9" t="s">
        <v>211</v>
      </c>
      <c r="B9" t="s">
        <v>212</v>
      </c>
      <c r="C9" s="38">
        <v>8</v>
      </c>
      <c r="G9"/>
      <c r="H9"/>
      <c r="I9"/>
    </row>
    <row r="10" spans="1:9" x14ac:dyDescent="0.25">
      <c r="A10" t="s">
        <v>213</v>
      </c>
      <c r="B10" t="s">
        <v>214</v>
      </c>
      <c r="C10" s="38">
        <v>10</v>
      </c>
      <c r="G10"/>
      <c r="H10"/>
      <c r="I10"/>
    </row>
    <row r="11" spans="1:9" x14ac:dyDescent="0.25">
      <c r="A11" t="s">
        <v>215</v>
      </c>
      <c r="B11" t="s">
        <v>216</v>
      </c>
      <c r="C11" s="38">
        <v>12</v>
      </c>
      <c r="G11"/>
      <c r="H11"/>
      <c r="I11"/>
    </row>
    <row r="12" spans="1:9" x14ac:dyDescent="0.25">
      <c r="A12" t="s">
        <v>217</v>
      </c>
      <c r="B12" t="s">
        <v>218</v>
      </c>
      <c r="C12" s="38">
        <v>15</v>
      </c>
      <c r="G12"/>
      <c r="H12"/>
      <c r="I12"/>
    </row>
    <row r="13" spans="1:9" x14ac:dyDescent="0.25">
      <c r="A13" t="s">
        <v>219</v>
      </c>
      <c r="B13" t="s">
        <v>220</v>
      </c>
      <c r="C13" s="38">
        <v>16</v>
      </c>
      <c r="G13"/>
      <c r="H13"/>
      <c r="I13"/>
    </row>
    <row r="14" spans="1:9" x14ac:dyDescent="0.25">
      <c r="A14" t="s">
        <v>315</v>
      </c>
      <c r="B14" t="s">
        <v>329</v>
      </c>
      <c r="C14" s="38">
        <v>18</v>
      </c>
      <c r="G14"/>
      <c r="H14"/>
      <c r="I14"/>
    </row>
    <row r="15" spans="1:9" x14ac:dyDescent="0.25">
      <c r="A15" t="s">
        <v>316</v>
      </c>
      <c r="B15" t="s">
        <v>330</v>
      </c>
      <c r="C15" s="38">
        <v>20</v>
      </c>
      <c r="G15"/>
      <c r="H15"/>
      <c r="I15"/>
    </row>
    <row r="16" spans="1:9" x14ac:dyDescent="0.25">
      <c r="A16" t="s">
        <v>317</v>
      </c>
      <c r="B16" t="s">
        <v>331</v>
      </c>
      <c r="C16" s="38">
        <v>25</v>
      </c>
      <c r="G16"/>
      <c r="H16"/>
      <c r="I16"/>
    </row>
    <row r="17" spans="1:9" x14ac:dyDescent="0.25">
      <c r="A17" t="s">
        <v>318</v>
      </c>
      <c r="B17" t="s">
        <v>332</v>
      </c>
      <c r="C17" s="38">
        <v>30</v>
      </c>
      <c r="G17"/>
      <c r="H17"/>
      <c r="I17"/>
    </row>
    <row r="18" spans="1:9" x14ac:dyDescent="0.25">
      <c r="A18" t="s">
        <v>319</v>
      </c>
      <c r="B18" t="s">
        <v>333</v>
      </c>
      <c r="C18" s="38">
        <v>35</v>
      </c>
      <c r="G18"/>
      <c r="H18"/>
      <c r="I18"/>
    </row>
    <row r="19" spans="1:9" x14ac:dyDescent="0.25">
      <c r="A19" t="s">
        <v>320</v>
      </c>
      <c r="B19" t="s">
        <v>334</v>
      </c>
      <c r="C19" s="38">
        <v>40</v>
      </c>
      <c r="G19"/>
      <c r="H19"/>
      <c r="I19"/>
    </row>
    <row r="20" spans="1:9" x14ac:dyDescent="0.25">
      <c r="A20" t="s">
        <v>321</v>
      </c>
      <c r="B20" t="s">
        <v>335</v>
      </c>
      <c r="C20" s="38">
        <v>45</v>
      </c>
      <c r="G20"/>
      <c r="H20"/>
      <c r="I20"/>
    </row>
    <row r="21" spans="1:9" x14ac:dyDescent="0.25">
      <c r="A21" t="s">
        <v>322</v>
      </c>
      <c r="B21" t="s">
        <v>336</v>
      </c>
      <c r="C21" s="38">
        <v>50</v>
      </c>
      <c r="G21"/>
      <c r="H21"/>
      <c r="I21"/>
    </row>
    <row r="22" spans="1:9" x14ac:dyDescent="0.25">
      <c r="A22" t="s">
        <v>323</v>
      </c>
      <c r="B22" t="s">
        <v>337</v>
      </c>
      <c r="C22" s="38">
        <v>55</v>
      </c>
      <c r="G22"/>
      <c r="H22"/>
      <c r="I22"/>
    </row>
    <row r="23" spans="1:9" x14ac:dyDescent="0.25">
      <c r="A23" t="s">
        <v>324</v>
      </c>
      <c r="B23" t="s">
        <v>338</v>
      </c>
      <c r="C23" s="38">
        <v>60</v>
      </c>
      <c r="G23"/>
      <c r="H23"/>
      <c r="I23"/>
    </row>
    <row r="24" spans="1:9" x14ac:dyDescent="0.25">
      <c r="A24" t="s">
        <v>325</v>
      </c>
      <c r="B24" t="s">
        <v>339</v>
      </c>
      <c r="C24" s="38">
        <v>70</v>
      </c>
      <c r="G24"/>
      <c r="H24"/>
      <c r="I24"/>
    </row>
    <row r="25" spans="1:9" x14ac:dyDescent="0.25">
      <c r="A25" t="s">
        <v>326</v>
      </c>
      <c r="B25" t="s">
        <v>340</v>
      </c>
      <c r="C25" s="38">
        <v>80</v>
      </c>
      <c r="G25"/>
      <c r="H25"/>
      <c r="I25"/>
    </row>
    <row r="26" spans="1:9" x14ac:dyDescent="0.25">
      <c r="A26" t="s">
        <v>327</v>
      </c>
      <c r="B26" t="s">
        <v>341</v>
      </c>
      <c r="C26" s="38">
        <v>90</v>
      </c>
      <c r="G26"/>
      <c r="H26"/>
      <c r="I26"/>
    </row>
    <row r="27" spans="1:9" x14ac:dyDescent="0.25">
      <c r="A27" t="s">
        <v>328</v>
      </c>
      <c r="B27" t="s">
        <v>342</v>
      </c>
      <c r="C27" s="38">
        <v>100</v>
      </c>
      <c r="G27"/>
      <c r="H27"/>
      <c r="I27"/>
    </row>
    <row r="28" spans="1:9" x14ac:dyDescent="0.25">
      <c r="A28" t="s">
        <v>221</v>
      </c>
      <c r="B28" t="s">
        <v>222</v>
      </c>
      <c r="C28" s="38">
        <v>3.1749999999999998</v>
      </c>
      <c r="G28"/>
      <c r="H28"/>
      <c r="I28"/>
    </row>
    <row r="29" spans="1:9" x14ac:dyDescent="0.25">
      <c r="A29" t="s">
        <v>223</v>
      </c>
      <c r="B29" t="s">
        <v>224</v>
      </c>
      <c r="C29" s="38">
        <v>6.35</v>
      </c>
      <c r="G29"/>
      <c r="H29"/>
      <c r="I29"/>
    </row>
    <row r="30" spans="1:9" x14ac:dyDescent="0.25">
      <c r="A30" t="s">
        <v>225</v>
      </c>
      <c r="B30" t="s">
        <v>226</v>
      </c>
      <c r="C30" s="38">
        <v>9.5250000000000004</v>
      </c>
      <c r="G30"/>
      <c r="H30"/>
      <c r="I30"/>
    </row>
    <row r="31" spans="1:9" x14ac:dyDescent="0.25">
      <c r="A31" t="s">
        <v>227</v>
      </c>
      <c r="B31" t="s">
        <v>228</v>
      </c>
      <c r="C31" s="38">
        <v>12.7</v>
      </c>
      <c r="G31"/>
      <c r="H31"/>
      <c r="I31"/>
    </row>
    <row r="32" spans="1:9" x14ac:dyDescent="0.25">
      <c r="A32" t="s">
        <v>229</v>
      </c>
      <c r="B32" t="s">
        <v>230</v>
      </c>
      <c r="C32" s="38">
        <v>19.05</v>
      </c>
      <c r="G32"/>
      <c r="H32"/>
      <c r="I32"/>
    </row>
    <row r="33" spans="1:6" x14ac:dyDescent="0.25">
      <c r="A33" t="s">
        <v>343</v>
      </c>
      <c r="B33" t="s">
        <v>344</v>
      </c>
      <c r="C33" t="s">
        <v>170</v>
      </c>
    </row>
    <row r="36" spans="1:6" s="22" customFormat="1" x14ac:dyDescent="0.25">
      <c r="A36" s="12" t="s">
        <v>233</v>
      </c>
      <c r="B36" s="22" t="s">
        <v>149</v>
      </c>
      <c r="C36" s="22" t="s">
        <v>231</v>
      </c>
    </row>
    <row r="37" spans="1:6" x14ac:dyDescent="0.25">
      <c r="A37" t="s">
        <v>234</v>
      </c>
      <c r="B37" t="s">
        <v>235</v>
      </c>
      <c r="C37" s="38">
        <v>1</v>
      </c>
      <c r="D37"/>
      <c r="E37"/>
      <c r="F37"/>
    </row>
    <row r="38" spans="1:6" x14ac:dyDescent="0.25">
      <c r="A38" t="s">
        <v>236</v>
      </c>
      <c r="B38" t="s">
        <v>202</v>
      </c>
      <c r="C38" s="38">
        <v>1.5</v>
      </c>
      <c r="D38"/>
      <c r="E38"/>
      <c r="F38"/>
    </row>
    <row r="39" spans="1:6" x14ac:dyDescent="0.25">
      <c r="A39" t="s">
        <v>237</v>
      </c>
      <c r="B39" t="s">
        <v>204</v>
      </c>
      <c r="C39" s="38">
        <v>2</v>
      </c>
      <c r="D39"/>
      <c r="E39"/>
      <c r="F39"/>
    </row>
    <row r="40" spans="1:6" x14ac:dyDescent="0.25">
      <c r="A40" t="s">
        <v>238</v>
      </c>
      <c r="B40" t="s">
        <v>206</v>
      </c>
      <c r="C40" s="38">
        <v>3</v>
      </c>
      <c r="D40"/>
      <c r="E40"/>
      <c r="F40"/>
    </row>
    <row r="41" spans="1:6" x14ac:dyDescent="0.25">
      <c r="A41" t="s">
        <v>239</v>
      </c>
      <c r="B41" t="s">
        <v>208</v>
      </c>
      <c r="C41" s="38">
        <v>4</v>
      </c>
      <c r="D41"/>
      <c r="E41"/>
      <c r="F41"/>
    </row>
    <row r="42" spans="1:6" x14ac:dyDescent="0.25">
      <c r="A42" t="s">
        <v>240</v>
      </c>
      <c r="B42" t="s">
        <v>241</v>
      </c>
      <c r="C42" s="38">
        <v>5</v>
      </c>
      <c r="D42"/>
      <c r="E42"/>
      <c r="F42"/>
    </row>
    <row r="43" spans="1:6" x14ac:dyDescent="0.25">
      <c r="A43" t="s">
        <v>242</v>
      </c>
      <c r="B43" t="s">
        <v>243</v>
      </c>
      <c r="C43" s="38">
        <v>5.5</v>
      </c>
      <c r="D43"/>
      <c r="E43"/>
      <c r="F43"/>
    </row>
    <row r="44" spans="1:6" x14ac:dyDescent="0.25">
      <c r="A44" t="s">
        <v>244</v>
      </c>
      <c r="B44" t="s">
        <v>210</v>
      </c>
      <c r="C44" s="38">
        <v>6</v>
      </c>
      <c r="D44"/>
      <c r="E44"/>
      <c r="F44"/>
    </row>
    <row r="45" spans="1:6" x14ac:dyDescent="0.25">
      <c r="A45" t="s">
        <v>245</v>
      </c>
      <c r="B45" t="s">
        <v>246</v>
      </c>
      <c r="C45" s="38">
        <v>6.5</v>
      </c>
      <c r="D45"/>
      <c r="E45"/>
      <c r="F45"/>
    </row>
    <row r="46" spans="1:6" x14ac:dyDescent="0.25">
      <c r="A46" t="s">
        <v>247</v>
      </c>
      <c r="B46" t="s">
        <v>248</v>
      </c>
      <c r="C46" s="38">
        <v>7.5</v>
      </c>
      <c r="D46"/>
      <c r="E46"/>
      <c r="F46"/>
    </row>
    <row r="47" spans="1:6" x14ac:dyDescent="0.25">
      <c r="A47" t="s">
        <v>249</v>
      </c>
      <c r="B47" t="s">
        <v>212</v>
      </c>
      <c r="C47" s="38">
        <v>8</v>
      </c>
      <c r="D47"/>
      <c r="E47"/>
      <c r="F47"/>
    </row>
    <row r="48" spans="1:6" x14ac:dyDescent="0.25">
      <c r="A48" t="s">
        <v>250</v>
      </c>
      <c r="B48" t="s">
        <v>214</v>
      </c>
      <c r="C48" s="38">
        <v>10</v>
      </c>
      <c r="D48"/>
      <c r="E48"/>
      <c r="F48"/>
    </row>
    <row r="49" spans="1:6" x14ac:dyDescent="0.25">
      <c r="A49" t="s">
        <v>251</v>
      </c>
      <c r="B49" t="s">
        <v>252</v>
      </c>
      <c r="C49" s="38">
        <v>2.3812500000000001</v>
      </c>
      <c r="D49"/>
      <c r="E49"/>
      <c r="F49"/>
    </row>
    <row r="50" spans="1:6" x14ac:dyDescent="0.25">
      <c r="A50" t="s">
        <v>253</v>
      </c>
      <c r="B50" t="s">
        <v>222</v>
      </c>
      <c r="C50" s="38">
        <v>3.1749999999999998</v>
      </c>
      <c r="D50"/>
      <c r="E50"/>
      <c r="F50"/>
    </row>
    <row r="51" spans="1:6" x14ac:dyDescent="0.25">
      <c r="A51" t="s">
        <v>254</v>
      </c>
      <c r="B51" t="s">
        <v>255</v>
      </c>
      <c r="C51" s="38">
        <v>3.96875</v>
      </c>
      <c r="D51"/>
      <c r="E51"/>
      <c r="F51"/>
    </row>
    <row r="52" spans="1:6" x14ac:dyDescent="0.25">
      <c r="A52" t="s">
        <v>256</v>
      </c>
      <c r="B52" t="s">
        <v>257</v>
      </c>
      <c r="C52" s="38">
        <v>4.7625000000000002</v>
      </c>
      <c r="D52"/>
      <c r="E52"/>
      <c r="F52"/>
    </row>
    <row r="53" spans="1:6" x14ac:dyDescent="0.25">
      <c r="A53" t="s">
        <v>258</v>
      </c>
      <c r="B53" t="s">
        <v>259</v>
      </c>
      <c r="C53" s="38">
        <v>5.5562500000000004</v>
      </c>
      <c r="D53"/>
      <c r="E53"/>
      <c r="F53"/>
    </row>
    <row r="54" spans="1:6" x14ac:dyDescent="0.25">
      <c r="A54" t="s">
        <v>260</v>
      </c>
      <c r="B54" t="s">
        <v>261</v>
      </c>
      <c r="C54" s="38">
        <v>6.35</v>
      </c>
      <c r="D54"/>
      <c r="E54"/>
      <c r="F54"/>
    </row>
    <row r="55" spans="1:6" x14ac:dyDescent="0.25">
      <c r="A55" t="s">
        <v>262</v>
      </c>
      <c r="B55" t="s">
        <v>263</v>
      </c>
      <c r="C55" s="38">
        <v>7.1437499999999998</v>
      </c>
      <c r="D55"/>
      <c r="E55"/>
      <c r="F55"/>
    </row>
    <row r="56" spans="1:6" x14ac:dyDescent="0.25">
      <c r="A56" t="s">
        <v>264</v>
      </c>
      <c r="B56" t="s">
        <v>265</v>
      </c>
      <c r="C56" s="38">
        <v>7.9375</v>
      </c>
      <c r="D56"/>
      <c r="E56"/>
      <c r="F56"/>
    </row>
    <row r="57" spans="1:6" x14ac:dyDescent="0.25">
      <c r="A57" t="s">
        <v>266</v>
      </c>
      <c r="B57" t="s">
        <v>267</v>
      </c>
      <c r="C57" s="38">
        <v>8.7312499999999993</v>
      </c>
      <c r="D57"/>
      <c r="E57"/>
      <c r="F57"/>
    </row>
    <row r="58" spans="1:6" x14ac:dyDescent="0.25">
      <c r="A58" t="s">
        <v>268</v>
      </c>
      <c r="B58" t="s">
        <v>226</v>
      </c>
      <c r="C58" s="38">
        <v>9.5250000000000004</v>
      </c>
      <c r="D58"/>
      <c r="E58"/>
      <c r="F58"/>
    </row>
    <row r="59" spans="1:6" x14ac:dyDescent="0.25">
      <c r="A59" t="s">
        <v>269</v>
      </c>
      <c r="B59" t="s">
        <v>270</v>
      </c>
      <c r="C59" s="38">
        <v>10.31875</v>
      </c>
      <c r="D59"/>
      <c r="E59"/>
      <c r="F59"/>
    </row>
    <row r="60" spans="1:6" x14ac:dyDescent="0.25">
      <c r="A60" t="s">
        <v>271</v>
      </c>
      <c r="B60" t="s">
        <v>272</v>
      </c>
      <c r="C60" s="38">
        <v>11.112500000000001</v>
      </c>
      <c r="D60"/>
      <c r="E60"/>
      <c r="F60"/>
    </row>
    <row r="61" spans="1:6" x14ac:dyDescent="0.25">
      <c r="A61" t="s">
        <v>273</v>
      </c>
      <c r="B61" t="s">
        <v>274</v>
      </c>
      <c r="C61" s="38">
        <v>11.90625</v>
      </c>
      <c r="D61"/>
      <c r="E61"/>
      <c r="F61"/>
    </row>
    <row r="62" spans="1:6" x14ac:dyDescent="0.25">
      <c r="A62" s="84" t="s">
        <v>275</v>
      </c>
      <c r="B62" s="84" t="s">
        <v>228</v>
      </c>
      <c r="C62" s="38">
        <v>12.7</v>
      </c>
      <c r="D62" s="84"/>
      <c r="E62" s="84"/>
      <c r="F62" s="84"/>
    </row>
    <row r="63" spans="1:6" x14ac:dyDescent="0.25">
      <c r="A63" t="s">
        <v>459</v>
      </c>
      <c r="B63" t="s">
        <v>344</v>
      </c>
      <c r="C63" s="38" t="s">
        <v>460</v>
      </c>
      <c r="D63"/>
      <c r="E63"/>
      <c r="F63"/>
    </row>
    <row r="65" spans="1:3" x14ac:dyDescent="0.25">
      <c r="A65" s="22" t="s">
        <v>345</v>
      </c>
      <c r="B65" s="22" t="s">
        <v>149</v>
      </c>
      <c r="C65" s="22" t="s">
        <v>349</v>
      </c>
    </row>
    <row r="66" spans="1:3" x14ac:dyDescent="0.25">
      <c r="A66" t="s">
        <v>346</v>
      </c>
      <c r="B66" t="s">
        <v>276</v>
      </c>
      <c r="C66" t="s">
        <v>276</v>
      </c>
    </row>
    <row r="67" spans="1:3" x14ac:dyDescent="0.25">
      <c r="A67" t="s">
        <v>347</v>
      </c>
      <c r="B67" t="s">
        <v>348</v>
      </c>
      <c r="C67" t="s">
        <v>348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73"/>
  <sheetViews>
    <sheetView topLeftCell="A74" workbookViewId="0">
      <selection activeCell="B151" sqref="B151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4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4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4" t="b">
        <v>1</v>
      </c>
    </row>
    <row r="136" spans="1:4" s="84" customFormat="1" x14ac:dyDescent="0.25">
      <c r="A136" s="176" t="s">
        <v>147</v>
      </c>
      <c r="B136" s="176" t="s">
        <v>148</v>
      </c>
      <c r="C136" s="176" t="b">
        <v>0</v>
      </c>
    </row>
    <row r="137" spans="1:4" s="84" customFormat="1" x14ac:dyDescent="0.25">
      <c r="A137" s="176" t="s">
        <v>592</v>
      </c>
      <c r="B137" s="176" t="s">
        <v>593</v>
      </c>
      <c r="C137" s="176" t="b">
        <v>0</v>
      </c>
    </row>
    <row r="138" spans="1:4" s="84" customFormat="1" x14ac:dyDescent="0.25">
      <c r="A138" s="176" t="s">
        <v>594</v>
      </c>
      <c r="B138" s="176" t="s">
        <v>595</v>
      </c>
      <c r="C138" s="176" t="b">
        <v>0</v>
      </c>
    </row>
    <row r="139" spans="1:4" s="84" customFormat="1" x14ac:dyDescent="0.25">
      <c r="A139" s="176" t="s">
        <v>596</v>
      </c>
      <c r="B139" s="176" t="s">
        <v>597</v>
      </c>
      <c r="C139" s="176" t="b">
        <v>0</v>
      </c>
    </row>
    <row r="140" spans="1:4" s="84" customFormat="1" x14ac:dyDescent="0.25">
      <c r="A140" s="176" t="s">
        <v>598</v>
      </c>
      <c r="B140" s="176" t="s">
        <v>599</v>
      </c>
      <c r="C140" s="176" t="b">
        <v>0</v>
      </c>
    </row>
    <row r="141" spans="1:4" x14ac:dyDescent="0.25">
      <c r="A141" s="176" t="s">
        <v>600</v>
      </c>
      <c r="B141" s="176" t="s">
        <v>601</v>
      </c>
      <c r="C141" s="176" t="b">
        <v>0</v>
      </c>
    </row>
    <row r="145" spans="1:5" x14ac:dyDescent="0.25">
      <c r="A145" s="12" t="s">
        <v>461</v>
      </c>
      <c r="B145" s="12" t="s">
        <v>465</v>
      </c>
    </row>
    <row r="146" spans="1:5" x14ac:dyDescent="0.25">
      <c r="A146" s="84" t="s">
        <v>471</v>
      </c>
      <c r="B146" s="84" t="s">
        <v>176</v>
      </c>
    </row>
    <row r="147" spans="1:5" x14ac:dyDescent="0.25">
      <c r="A147" s="84" t="s">
        <v>472</v>
      </c>
      <c r="B147" s="84" t="s">
        <v>462</v>
      </c>
    </row>
    <row r="148" spans="1:5" x14ac:dyDescent="0.25">
      <c r="A148" s="84" t="s">
        <v>473</v>
      </c>
      <c r="B148" s="84" t="s">
        <v>463</v>
      </c>
    </row>
    <row r="149" spans="1:5" x14ac:dyDescent="0.25">
      <c r="A149" s="84" t="s">
        <v>474</v>
      </c>
      <c r="B149" s="84" t="s">
        <v>546</v>
      </c>
    </row>
    <row r="150" spans="1:5" x14ac:dyDescent="0.25">
      <c r="A150" s="84" t="s">
        <v>475</v>
      </c>
      <c r="B150" s="84" t="s">
        <v>464</v>
      </c>
    </row>
    <row r="151" spans="1:5" x14ac:dyDescent="0.25">
      <c r="A151" s="84" t="s">
        <v>497</v>
      </c>
      <c r="B151" s="84" t="s">
        <v>469</v>
      </c>
      <c r="E151" s="117"/>
    </row>
    <row r="152" spans="1:5" s="84" customFormat="1" x14ac:dyDescent="0.25">
      <c r="A152" s="84" t="s">
        <v>496</v>
      </c>
      <c r="B152" s="84" t="s">
        <v>468</v>
      </c>
      <c r="E152" s="117"/>
    </row>
    <row r="153" spans="1:5" x14ac:dyDescent="0.25">
      <c r="A153" s="84" t="s">
        <v>476</v>
      </c>
      <c r="B153" s="84" t="s">
        <v>166</v>
      </c>
    </row>
    <row r="154" spans="1:5" x14ac:dyDescent="0.25">
      <c r="A154" s="84" t="s">
        <v>477</v>
      </c>
      <c r="B154" s="84" t="s">
        <v>167</v>
      </c>
    </row>
    <row r="155" spans="1:5" x14ac:dyDescent="0.25">
      <c r="A155" s="84" t="s">
        <v>478</v>
      </c>
      <c r="B155" s="84" t="s">
        <v>151</v>
      </c>
    </row>
    <row r="156" spans="1:5" x14ac:dyDescent="0.25">
      <c r="A156" s="84" t="s">
        <v>479</v>
      </c>
      <c r="B156" s="84" t="s">
        <v>151</v>
      </c>
    </row>
    <row r="157" spans="1:5" x14ac:dyDescent="0.25">
      <c r="A157" s="84" t="s">
        <v>480</v>
      </c>
      <c r="B157" s="84" t="s">
        <v>151</v>
      </c>
    </row>
    <row r="158" spans="1:5" x14ac:dyDescent="0.25">
      <c r="A158" s="84" t="s">
        <v>481</v>
      </c>
      <c r="B158" s="84" t="s">
        <v>151</v>
      </c>
    </row>
    <row r="159" spans="1:5" x14ac:dyDescent="0.25">
      <c r="A159" s="84" t="s">
        <v>514</v>
      </c>
      <c r="B159" s="84" t="s">
        <v>151</v>
      </c>
    </row>
    <row r="160" spans="1:5" x14ac:dyDescent="0.25">
      <c r="A160" s="84" t="s">
        <v>482</v>
      </c>
      <c r="B160" s="84" t="s">
        <v>151</v>
      </c>
    </row>
    <row r="161" spans="1:2" x14ac:dyDescent="0.25">
      <c r="A161" s="84" t="s">
        <v>483</v>
      </c>
      <c r="B161" s="84" t="s">
        <v>151</v>
      </c>
    </row>
    <row r="162" spans="1:2" x14ac:dyDescent="0.25">
      <c r="A162" s="84" t="s">
        <v>484</v>
      </c>
      <c r="B162" s="84" t="s">
        <v>151</v>
      </c>
    </row>
    <row r="163" spans="1:2" x14ac:dyDescent="0.25">
      <c r="A163" s="84" t="s">
        <v>485</v>
      </c>
      <c r="B163" s="84" t="s">
        <v>151</v>
      </c>
    </row>
    <row r="164" spans="1:2" x14ac:dyDescent="0.25">
      <c r="A164" s="84" t="s">
        <v>486</v>
      </c>
      <c r="B164" s="84" t="s">
        <v>466</v>
      </c>
    </row>
    <row r="165" spans="1:2" x14ac:dyDescent="0.25">
      <c r="A165" s="84" t="s">
        <v>487</v>
      </c>
      <c r="B165" s="84" t="s">
        <v>466</v>
      </c>
    </row>
    <row r="166" spans="1:2" x14ac:dyDescent="0.25">
      <c r="A166" s="84" t="s">
        <v>488</v>
      </c>
      <c r="B166" s="84" t="s">
        <v>466</v>
      </c>
    </row>
    <row r="167" spans="1:2" x14ac:dyDescent="0.25">
      <c r="A167" s="84" t="s">
        <v>489</v>
      </c>
      <c r="B167" s="84" t="s">
        <v>152</v>
      </c>
    </row>
    <row r="168" spans="1:2" x14ac:dyDescent="0.25">
      <c r="A168" s="84" t="s">
        <v>490</v>
      </c>
      <c r="B168" s="84" t="s">
        <v>152</v>
      </c>
    </row>
    <row r="169" spans="1:2" x14ac:dyDescent="0.25">
      <c r="A169" s="84" t="s">
        <v>491</v>
      </c>
      <c r="B169" s="84" t="s">
        <v>152</v>
      </c>
    </row>
    <row r="170" spans="1:2" x14ac:dyDescent="0.25">
      <c r="A170" s="84" t="s">
        <v>492</v>
      </c>
      <c r="B170" s="84" t="s">
        <v>152</v>
      </c>
    </row>
    <row r="171" spans="1:2" x14ac:dyDescent="0.25">
      <c r="A171" s="84" t="s">
        <v>493</v>
      </c>
      <c r="B171" s="84" t="s">
        <v>467</v>
      </c>
    </row>
    <row r="172" spans="1:2" x14ac:dyDescent="0.25">
      <c r="A172" s="84" t="s">
        <v>494</v>
      </c>
      <c r="B172" s="84" t="s">
        <v>467</v>
      </c>
    </row>
    <row r="173" spans="1:2" x14ac:dyDescent="0.25">
      <c r="A173" s="84" t="s">
        <v>495</v>
      </c>
      <c r="B173" s="84" t="s">
        <v>467</v>
      </c>
    </row>
  </sheetData>
  <sortState xmlns:xlrd2="http://schemas.microsoft.com/office/spreadsheetml/2017/richdata2" ref="A146:C172">
    <sortCondition ref="A146:A172"/>
  </sortState>
  <conditionalFormatting sqref="C126:C14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30"/>
  <sheetViews>
    <sheetView workbookViewId="0">
      <selection activeCell="E34" sqref="E34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1" spans="1:9" x14ac:dyDescent="0.25">
      <c r="A1" t="s">
        <v>175</v>
      </c>
      <c r="B1" t="s">
        <v>603</v>
      </c>
      <c r="C1" t="s">
        <v>604</v>
      </c>
      <c r="D1" t="s">
        <v>154</v>
      </c>
      <c r="E1" t="s">
        <v>605</v>
      </c>
      <c r="F1" t="s">
        <v>606</v>
      </c>
      <c r="G1" t="s">
        <v>607</v>
      </c>
      <c r="H1" t="s">
        <v>608</v>
      </c>
      <c r="I1">
        <v>1</v>
      </c>
    </row>
    <row r="2" spans="1:9" x14ac:dyDescent="0.25">
      <c r="A2" s="84"/>
      <c r="E2" s="15"/>
    </row>
    <row r="3" spans="1:9" x14ac:dyDescent="0.25">
      <c r="A3" s="17"/>
      <c r="E3" s="84"/>
    </row>
    <row r="4" spans="1:9" x14ac:dyDescent="0.25">
      <c r="A4" s="84"/>
      <c r="E4" s="15"/>
    </row>
    <row r="5" spans="1:9" x14ac:dyDescent="0.25">
      <c r="A5" s="84"/>
      <c r="E5" s="176"/>
    </row>
    <row r="6" spans="1:9" x14ac:dyDescent="0.25">
      <c r="A6" s="84"/>
      <c r="E6" s="15"/>
    </row>
    <row r="7" spans="1:9" x14ac:dyDescent="0.25">
      <c r="A7" s="176"/>
      <c r="E7" s="15"/>
    </row>
    <row r="8" spans="1:9" x14ac:dyDescent="0.25">
      <c r="E8" s="15"/>
    </row>
    <row r="9" spans="1:9" x14ac:dyDescent="0.25">
      <c r="A9" s="178"/>
      <c r="E9" s="15"/>
    </row>
    <row r="10" spans="1:9" x14ac:dyDescent="0.25">
      <c r="E10" s="15"/>
    </row>
    <row r="11" spans="1:9" x14ac:dyDescent="0.25">
      <c r="E11" s="177"/>
    </row>
    <row r="12" spans="1:9" x14ac:dyDescent="0.25">
      <c r="E12" s="176"/>
    </row>
    <row r="13" spans="1:9" x14ac:dyDescent="0.25">
      <c r="E13" s="15"/>
    </row>
    <row r="14" spans="1:9" x14ac:dyDescent="0.25">
      <c r="E14" s="177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2021-09-03T11:27:52Z</dcterms:modified>
</cp:coreProperties>
</file>