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reg.millar\Documents\GitHub\Solve-Configuration\Configuration Data\Solve\Inspection Spreadsheet\"/>
    </mc:Choice>
  </mc:AlternateContent>
  <xr:revisionPtr revIDLastSave="0" documentId="13_ncr:1_{A2E0C134-5ECE-4955-9386-51E8EDB683A3}" xr6:coauthVersionLast="45" xr6:coauthVersionMax="45" xr10:uidLastSave="{00000000-0000-0000-0000-000000000000}"/>
  <bookViews>
    <workbookView xWindow="28965" yWindow="210" windowWidth="27510" windowHeight="15270" tabRatio="831" activeTab="4" xr2:uid="{00000000-000D-0000-FFFF-FFFF00000000}"/>
  </bookViews>
  <sheets>
    <sheet name="Front Page" sheetId="1" r:id="rId1"/>
    <sheet name="Summary" sheetId="22" r:id="rId2"/>
    <sheet name="Crosstable" sheetId="23" r:id="rId3"/>
    <sheet name="Mtl_Crosstable" sheetId="25" r:id="rId4"/>
    <sheet name="Lbl_Crosstable" sheetId="27" r:id="rId5"/>
    <sheet name="Dim Matrix" sheetId="19" r:id="rId6"/>
    <sheet name="Material Matrix" sheetId="20" r:id="rId7"/>
    <sheet name="Template" sheetId="24" r:id="rId8"/>
    <sheet name="Labels" sheetId="26" r:id="rId9"/>
    <sheet name="OrificeSAPConversions" sheetId="12" r:id="rId10"/>
    <sheet name="Conversions" sheetId="9" r:id="rId11"/>
    <sheet name="SolveDPData" sheetId="10" r:id="rId12"/>
  </sheets>
  <functionGroups builtInGroupCount="19"/>
  <definedNames>
    <definedName name="AppTitle">'Front Page'!$B$2</definedName>
    <definedName name="CELLREF">Crosstable!$M$44</definedName>
    <definedName name="CH_FPD_DRAIN_VENT">OrificeSAPConversions!$A$66:$C$67</definedName>
    <definedName name="CH_FPD_DRAIN_VENT_SIZE">OrificeSAPConversions!$A$37:$C$63</definedName>
    <definedName name="CH_FPD_PLATE_THICK">OrificeSAPConversions!$A$4:$C$33</definedName>
    <definedName name="CROSSREF_DIMENSIONS">Crosstable!$A$48:$A$90</definedName>
    <definedName name="CROSSREF_INSPECT">Crosstable!$A$31:$A$46</definedName>
    <definedName name="CROSSREF_MATTRACE">Crosstable!$A$3:$A$29</definedName>
    <definedName name="CROSSREF_PRODUCTCODE">Crosstable!$B$1:$J$1</definedName>
    <definedName name="DENSITY_KGM3">Conversions!$C$123</definedName>
    <definedName name="DPFlowProductLookup">Conversions!$A$126:$C$141</definedName>
    <definedName name="FLOW_CONVERT_ATNTP">Conversions!$H$115</definedName>
    <definedName name="FLOW_CONVERT_ATSTP">Conversions!$F$115</definedName>
    <definedName name="FLOW_CONVERT_ATSTP68F">Conversions!$G$115</definedName>
    <definedName name="FLOW_CONVERT_KG">Conversions!$D$115</definedName>
    <definedName name="FLOW_CONVERT_M3">Conversions!$C$115</definedName>
    <definedName name="FLOW_CONVERT_SECS">Conversions!$B$115</definedName>
    <definedName name="FLOW_ISUK">Conversions!$I$115</definedName>
    <definedName name="FLOW_ISVOLUME">Conversions!$E$115</definedName>
    <definedName name="FLOW_NOTTIMEDEPENDENT">Conversions!$K$115</definedName>
    <definedName name="FLOW_OPPOSITEDEFAULT">Conversions!$J$115</definedName>
    <definedName name="FLOW_USER">Conversions!$A$115</definedName>
    <definedName name="Item_DPAtMeterMax">'Front Page'!$R$14</definedName>
    <definedName name="Item_FlowAtMeterMax">'Front Page'!$P$14</definedName>
    <definedName name="Item_Fluid">'Front Page'!$N$14</definedName>
    <definedName name="Item_Material">'Front Page'!$M$14</definedName>
    <definedName name="Item_ModelNo">'Front Page'!$K$14</definedName>
    <definedName name="Item_OperatingPressure">'Front Page'!$Q$14</definedName>
    <definedName name="Item_OperatingTemperature">'Front Page'!$O$14</definedName>
    <definedName name="Item_PipeSize">'Front Page'!$L$14</definedName>
    <definedName name="LBL_CROSSREFRANGE">Lbl_Crosstable!$A$2:$A$18</definedName>
    <definedName name="Length_Conversion">Conversions!$A$4:$C$8</definedName>
    <definedName name="LOAD_NONSAP">'Front Page'!$M$7</definedName>
    <definedName name="MAT_TRC_HEADER_CUSTOMER" localSheetId="1">Summary!$E$9</definedName>
    <definedName name="MAT_TRC_HEADER_DESCRIPTION">Summary!$F$13</definedName>
    <definedName name="MAT_TRC_HEADER_HYPERLINK" localSheetId="1">Summary!$E$13</definedName>
    <definedName name="MAT_TRC_HEADER_PURCHASE_ORDER_NO" localSheetId="1">Summary!$E$10</definedName>
    <definedName name="MAT_TRC_HEADER_SALES_ORDER_ITEM" localSheetId="1">Summary!$B$13</definedName>
    <definedName name="MAT_TRC_HEADER_SALES_ORDER_NO" localSheetId="1">Summary!$E$11</definedName>
    <definedName name="MAT_TRC_HEADER_TAG_NO" localSheetId="1">Summary!$C$13</definedName>
    <definedName name="MTL_CROSSREF_MATTRACE" localSheetId="4">Lbl_Crosstable!$A$5:$A$18</definedName>
    <definedName name="MTL_CROSSREF_MATTRACE">Mtl_Crosstable!$A$3:$A$30</definedName>
    <definedName name="MTL_CROSSREF_PRODUCTCODE" localSheetId="4">Lbl_Crosstable!$B$1:$J$1</definedName>
    <definedName name="MTL_CROSSREF_PRODUCTCODE">Mtl_Crosstable!$B$1:$J$1</definedName>
    <definedName name="PRESS_BARA">Conversions!$C$46</definedName>
    <definedName name="PRESS_USER">Conversions!$A$46</definedName>
    <definedName name="PRESS_USER_UNITS">Conversions!$B$46</definedName>
    <definedName name="_xlnm.Print_Area" localSheetId="7">Template!$A$1:$G$55</definedName>
    <definedName name="_xlnm.Print_Titles" localSheetId="5">'Dim Matrix'!$1:$5</definedName>
    <definedName name="_xlnm.Print_Titles" localSheetId="8">Labels!$A:$A</definedName>
    <definedName name="_xlnm.Print_Titles" localSheetId="6">'Material Matrix'!$1:$5</definedName>
    <definedName name="_xlnm.Print_Titles" localSheetId="1">Summary!$1:$13</definedName>
    <definedName name="PRODUCTCODE_DESCRIPTION">Conversions!$A$146:$B$173</definedName>
    <definedName name="ProductionOrderNo">'Front Page'!$D$14</definedName>
    <definedName name="SalesOrderItem">'Front Page'!$B$14</definedName>
    <definedName name="SalesOrderQty">'Front Page'!$C$14</definedName>
    <definedName name="SerialNumber">'Front Page'!$I$14</definedName>
    <definedName name="SolveDPItem">'Front Page'!$F$14</definedName>
    <definedName name="SolveDPVersion">'Front Page'!$B$5</definedName>
    <definedName name="SpreadsheetVersion">'Front Page'!$B$4</definedName>
    <definedName name="TagNumber">'Front Page'!$H$14</definedName>
    <definedName name="TEMP_DEGC">Conversions!$C$17</definedName>
    <definedName name="TEMP_USER">Conversions!$A$17</definedName>
    <definedName name="TEMP_USER_UNITS">Conversions!$B$17</definedName>
    <definedName name="USER_DENSITY">Conversions!$A$123</definedName>
    <definedName name="USER_DENSITY_UNITS">Conversions!$B$123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79" i="23" l="1"/>
  <c r="N58" i="23" l="1"/>
  <c r="N57" i="23"/>
  <c r="N56" i="23"/>
  <c r="B31" i="24" l="1"/>
  <c r="C3" i="20" l="1"/>
  <c r="C2" i="20"/>
  <c r="C1" i="20"/>
  <c r="C3" i="19"/>
  <c r="C2" i="19"/>
  <c r="C1" i="19"/>
  <c r="N53" i="23" l="1"/>
  <c r="N54" i="23"/>
  <c r="N55" i="23"/>
  <c r="N66" i="23"/>
  <c r="B26" i="24" l="1"/>
  <c r="B27" i="24"/>
  <c r="B28" i="24"/>
  <c r="B30" i="24"/>
  <c r="B29" i="24"/>
  <c r="C123" i="9" l="1"/>
  <c r="C46" i="9" l="1"/>
  <c r="B14" i="9"/>
  <c r="B13" i="9"/>
  <c r="B12" i="9"/>
  <c r="B11" i="9"/>
  <c r="N76" i="23" l="1"/>
  <c r="N78" i="23" l="1"/>
  <c r="C8" i="9" l="1"/>
  <c r="C7" i="9"/>
  <c r="C6" i="9"/>
  <c r="C5" i="9"/>
  <c r="C4" i="9"/>
  <c r="J115" i="9" l="1"/>
  <c r="I115" i="9"/>
  <c r="H115" i="9"/>
  <c r="G115" i="9"/>
  <c r="F115" i="9"/>
  <c r="E115" i="9"/>
  <c r="D115" i="9"/>
  <c r="C115" i="9"/>
  <c r="B115" i="9"/>
  <c r="K112" i="9"/>
  <c r="K111" i="9"/>
  <c r="K110" i="9"/>
  <c r="K109" i="9"/>
  <c r="K108" i="9"/>
  <c r="K107" i="9"/>
  <c r="K106" i="9"/>
  <c r="K105" i="9"/>
  <c r="K104" i="9"/>
  <c r="K103" i="9"/>
  <c r="K102" i="9"/>
  <c r="K101" i="9"/>
  <c r="K100" i="9"/>
  <c r="K99" i="9"/>
  <c r="K98" i="9"/>
  <c r="K97" i="9"/>
  <c r="K96" i="9"/>
  <c r="K95" i="9"/>
  <c r="K94" i="9"/>
  <c r="K93" i="9"/>
  <c r="K92" i="9"/>
  <c r="K91" i="9"/>
  <c r="K90" i="9"/>
  <c r="K89" i="9"/>
  <c r="K88" i="9"/>
  <c r="K87" i="9"/>
  <c r="K86" i="9"/>
  <c r="K85" i="9"/>
  <c r="K84" i="9"/>
  <c r="K83" i="9"/>
  <c r="K82" i="9"/>
  <c r="K81" i="9"/>
  <c r="K80" i="9"/>
  <c r="K79" i="9"/>
  <c r="K78" i="9"/>
  <c r="K77" i="9"/>
  <c r="K76" i="9"/>
  <c r="K75" i="9"/>
  <c r="K74" i="9"/>
  <c r="K73" i="9"/>
  <c r="K72" i="9"/>
  <c r="K71" i="9"/>
  <c r="K70" i="9"/>
  <c r="K69" i="9"/>
  <c r="K68" i="9"/>
  <c r="K67" i="9"/>
  <c r="K66" i="9"/>
  <c r="K65" i="9"/>
  <c r="K64" i="9"/>
  <c r="K63" i="9"/>
  <c r="K62" i="9"/>
  <c r="K61" i="9"/>
  <c r="K60" i="9"/>
  <c r="K59" i="9"/>
  <c r="K58" i="9"/>
  <c r="K57" i="9"/>
  <c r="K56" i="9"/>
  <c r="K55" i="9"/>
  <c r="K54" i="9"/>
  <c r="K53" i="9"/>
  <c r="K52" i="9"/>
  <c r="K51" i="9"/>
  <c r="K50" i="9"/>
  <c r="C17" i="9"/>
  <c r="K115" i="9" l="1"/>
</calcChain>
</file>

<file path=xl/sharedStrings.xml><?xml version="1.0" encoding="utf-8"?>
<sst xmlns="http://schemas.openxmlformats.org/spreadsheetml/2006/main" count="2004" uniqueCount="610">
  <si>
    <t>Sales order Item #</t>
  </si>
  <si>
    <t>Sales order Qty</t>
  </si>
  <si>
    <t>Production order #</t>
  </si>
  <si>
    <t>Tag Number</t>
  </si>
  <si>
    <t>Serial Number</t>
  </si>
  <si>
    <t>Temperature</t>
  </si>
  <si>
    <t>Pressure</t>
  </si>
  <si>
    <t>Item</t>
  </si>
  <si>
    <t>R</t>
  </si>
  <si>
    <t>m³/h</t>
  </si>
  <si>
    <t>Density</t>
  </si>
  <si>
    <t>mbar [A]</t>
  </si>
  <si>
    <t>kg/s</t>
  </si>
  <si>
    <t>°C</t>
  </si>
  <si>
    <t>kg/m³</t>
  </si>
  <si>
    <t>mm</t>
  </si>
  <si>
    <t>Length</t>
  </si>
  <si>
    <t>To m</t>
  </si>
  <si>
    <t>m</t>
  </si>
  <si>
    <t>cm</t>
  </si>
  <si>
    <t>in</t>
  </si>
  <si>
    <t>ft</t>
  </si>
  <si>
    <t>To Deg C</t>
  </si>
  <si>
    <t>°F</t>
  </si>
  <si>
    <t>K</t>
  </si>
  <si>
    <t>User temp</t>
  </si>
  <si>
    <t>User temp Units</t>
  </si>
  <si>
    <t>ConvertToBar</t>
  </si>
  <si>
    <t>AdjustByAtm</t>
  </si>
  <si>
    <t>Pa [A]</t>
  </si>
  <si>
    <t>Pa [G]</t>
  </si>
  <si>
    <t>kPa [A]</t>
  </si>
  <si>
    <t>kPa [G]</t>
  </si>
  <si>
    <t>N/m² [A]</t>
  </si>
  <si>
    <t>N/m² [G]</t>
  </si>
  <si>
    <t>kN/m² [A]</t>
  </si>
  <si>
    <t>kN/m² [G]</t>
  </si>
  <si>
    <t>bar [A]</t>
  </si>
  <si>
    <t>bar [G]</t>
  </si>
  <si>
    <t>mbar [G]</t>
  </si>
  <si>
    <t>atm [A]</t>
  </si>
  <si>
    <t>atm [G]</t>
  </si>
  <si>
    <t>lb/ft² [A]</t>
  </si>
  <si>
    <t>lb/ft² [G]</t>
  </si>
  <si>
    <t>psi [A]</t>
  </si>
  <si>
    <t>psi [G]</t>
  </si>
  <si>
    <t>in wg [A]</t>
  </si>
  <si>
    <t>in wg [G]</t>
  </si>
  <si>
    <t>mm wg [A]</t>
  </si>
  <si>
    <t>mm wg [G]</t>
  </si>
  <si>
    <t>kgf/cm² [A]</t>
  </si>
  <si>
    <t>kgf/cm² [G]</t>
  </si>
  <si>
    <t>User pressure</t>
  </si>
  <si>
    <t>User pressure units</t>
  </si>
  <si>
    <t>UnitName</t>
  </si>
  <si>
    <t>ConvertTo_Secs</t>
  </si>
  <si>
    <t>ConvertTo_m3</t>
  </si>
  <si>
    <t>ConvertTo_kg</t>
  </si>
  <si>
    <t>IsVolumeFlow</t>
  </si>
  <si>
    <t>ConvertAt_STP</t>
  </si>
  <si>
    <t>ConvertAt_STP68F</t>
  </si>
  <si>
    <t>ConvertAt_NTP</t>
  </si>
  <si>
    <t>IsUK</t>
  </si>
  <si>
    <t>OppositeDefault</t>
  </si>
  <si>
    <t>NotTimeDependant</t>
  </si>
  <si>
    <t>m³/s</t>
  </si>
  <si>
    <t>kg/min</t>
  </si>
  <si>
    <t>kg/h</t>
  </si>
  <si>
    <t>kg/day</t>
  </si>
  <si>
    <t>lb/s</t>
  </si>
  <si>
    <t>ft³/s</t>
  </si>
  <si>
    <t>lb/min</t>
  </si>
  <si>
    <t>lb/h</t>
  </si>
  <si>
    <t>lb/day</t>
  </si>
  <si>
    <t>Tonne/s</t>
  </si>
  <si>
    <t>Tonne/min</t>
  </si>
  <si>
    <t>Tonne/h</t>
  </si>
  <si>
    <t>Tonne/day</t>
  </si>
  <si>
    <t>Ton(L)/s</t>
  </si>
  <si>
    <t>Ton(L)/min</t>
  </si>
  <si>
    <t>Ton(L)/h</t>
  </si>
  <si>
    <t>Ton(L)/day</t>
  </si>
  <si>
    <t>Ton(S)/s</t>
  </si>
  <si>
    <t>Ton(S)/min</t>
  </si>
  <si>
    <t>Ton(S)/h</t>
  </si>
  <si>
    <t>Ton(S)/day</t>
  </si>
  <si>
    <t>m³/min</t>
  </si>
  <si>
    <t>m³/day</t>
  </si>
  <si>
    <t>litres/s</t>
  </si>
  <si>
    <t>litres/min</t>
  </si>
  <si>
    <t>litres/h</t>
  </si>
  <si>
    <t>litres/day</t>
  </si>
  <si>
    <t>ft³/min</t>
  </si>
  <si>
    <t>ft³/h</t>
  </si>
  <si>
    <t>ft³/day</t>
  </si>
  <si>
    <t>UKG/s</t>
  </si>
  <si>
    <t>UKG/min</t>
  </si>
  <si>
    <t>UKG/h</t>
  </si>
  <si>
    <t>UKG/day</t>
  </si>
  <si>
    <t>USG/s</t>
  </si>
  <si>
    <t>USG/min</t>
  </si>
  <si>
    <t>USG/h</t>
  </si>
  <si>
    <t>USG/day</t>
  </si>
  <si>
    <t>UK Barrels/day</t>
  </si>
  <si>
    <t>US Barrels/day</t>
  </si>
  <si>
    <t>Petroleum Barrels/day</t>
  </si>
  <si>
    <t>Sm³/s</t>
  </si>
  <si>
    <t>Sm³/min</t>
  </si>
  <si>
    <t>Sm³/h</t>
  </si>
  <si>
    <t>Sm³/day</t>
  </si>
  <si>
    <t>Scf/s</t>
  </si>
  <si>
    <t>Scf/min</t>
  </si>
  <si>
    <t>Scf/h</t>
  </si>
  <si>
    <t>Scf/day</t>
  </si>
  <si>
    <t>Nm³/s</t>
  </si>
  <si>
    <t>Nm³/min</t>
  </si>
  <si>
    <t>Nm³/h</t>
  </si>
  <si>
    <t>Nm³/day</t>
  </si>
  <si>
    <t>Ncf/s</t>
  </si>
  <si>
    <t>Ncf/min</t>
  </si>
  <si>
    <t>Ncf/h</t>
  </si>
  <si>
    <t>Ncf/day</t>
  </si>
  <si>
    <t>Scf/s@68°F</t>
  </si>
  <si>
    <t>Scf/min@68°F</t>
  </si>
  <si>
    <t>Scf/h@68°F</t>
  </si>
  <si>
    <t>Scf/day@68°F</t>
  </si>
  <si>
    <t>UserFlowUnit</t>
  </si>
  <si>
    <t>ConvertTo_kg_per_m3</t>
  </si>
  <si>
    <t>lb/ft³</t>
  </si>
  <si>
    <t>lb/UKG</t>
  </si>
  <si>
    <t>UserDensity</t>
  </si>
  <si>
    <t>UserDensityUnits</t>
  </si>
  <si>
    <t>Density_kgm3</t>
  </si>
  <si>
    <t>MW</t>
  </si>
  <si>
    <t>=(DENSITY_KGM3*8.314*UpTemp*Z_USER)/(UpPressPaA/1000)</t>
  </si>
  <si>
    <t>Unit Convertors and Lookups</t>
  </si>
  <si>
    <t>DPFlowProduct</t>
  </si>
  <si>
    <t>BF58E0EA-3099-48D3-911A-6FFEDB3A0B00</t>
  </si>
  <si>
    <t>BF58E0EA-3099-48D3-911A-6FFEDB3A0B01</t>
  </si>
  <si>
    <t>BF58E0EA-3099-48D3-911A-6FFEDB3A0B02</t>
  </si>
  <si>
    <t>BF58E0EA-3099-48D3-911A-6FFEDB3A0B03</t>
  </si>
  <si>
    <t>BF58E0EA-3099-48D3-911A-6FFEDB3A0B04</t>
  </si>
  <si>
    <t>BF58E0EA-3099-48D3-911A-6FFEDB3A0B05</t>
  </si>
  <si>
    <t>BF58E0EA-3099-48D3-911A-6FFEDB3A0B06</t>
  </si>
  <si>
    <t>BF58E0EA-3099-48D3-911A-6FFEDB3A0B07</t>
  </si>
  <si>
    <t>BF58E0EA-3099-48D3-911A-6FFEDB3A0B08</t>
  </si>
  <si>
    <t>BF58E0EA-3099-48D3-911A-6FFEDB3A0B09</t>
  </si>
  <si>
    <t>BF58E0EA-3099-48D3-911A-6FFEDB3A0B0A</t>
  </si>
  <si>
    <t>Integral orifice Plates (FPD140)</t>
  </si>
  <si>
    <t>Name</t>
  </si>
  <si>
    <t>Supported</t>
  </si>
  <si>
    <t>Torbar</t>
  </si>
  <si>
    <t>Compact</t>
  </si>
  <si>
    <t>StackCalc</t>
  </si>
  <si>
    <t>Fluid</t>
  </si>
  <si>
    <t>Material</t>
  </si>
  <si>
    <t>To mm</t>
  </si>
  <si>
    <t>DP
(@ meter max)</t>
  </si>
  <si>
    <t>Model
No</t>
  </si>
  <si>
    <t>Flow
(@ meter max)</t>
  </si>
  <si>
    <t>Operating
Temperature</t>
  </si>
  <si>
    <t>Operating
Pressure</t>
  </si>
  <si>
    <t>Pipe
Size</t>
  </si>
  <si>
    <t>OrificeCarrier</t>
  </si>
  <si>
    <t>OrificeMetRuns</t>
  </si>
  <si>
    <t>OrificeRestrict</t>
  </si>
  <si>
    <t>Venturi</t>
  </si>
  <si>
    <t>Nozzle</t>
  </si>
  <si>
    <t>Wedge</t>
  </si>
  <si>
    <t>OrificeMeasure</t>
  </si>
  <si>
    <t>Customer</t>
  </si>
  <si>
    <t>(a list of those items will appear below)</t>
  </si>
  <si>
    <t>Tag number</t>
  </si>
  <si>
    <t>Link to sheet</t>
  </si>
  <si>
    <t>Client Order No</t>
  </si>
  <si>
    <t>Description</t>
  </si>
  <si>
    <t>Orifice Plate</t>
  </si>
  <si>
    <t>Tab Handle</t>
  </si>
  <si>
    <t>Task</t>
  </si>
  <si>
    <t>Comment</t>
  </si>
  <si>
    <t>Pass/Fail</t>
  </si>
  <si>
    <t>Completed by</t>
  </si>
  <si>
    <t>Square edge sharpness</t>
  </si>
  <si>
    <t>All drawing notes checked</t>
  </si>
  <si>
    <t>NDT completed</t>
  </si>
  <si>
    <t>Drawing</t>
  </si>
  <si>
    <t>Actual</t>
  </si>
  <si>
    <t>Outer diameter, A</t>
  </si>
  <si>
    <t>Bore, d (1st check)</t>
  </si>
  <si>
    <t>Bore, d (2nd check)</t>
  </si>
  <si>
    <t>Bore, d (3rd check)</t>
  </si>
  <si>
    <t>Plate thickness, T</t>
  </si>
  <si>
    <t>Test Equipment Used</t>
  </si>
  <si>
    <t>Tapping Orientation</t>
  </si>
  <si>
    <t>Pressure Test</t>
  </si>
  <si>
    <t>Painting</t>
  </si>
  <si>
    <t>Radiography</t>
  </si>
  <si>
    <t>Dye Pen/MPI</t>
  </si>
  <si>
    <t>Carrier</t>
  </si>
  <si>
    <t>Tag</t>
  </si>
  <si>
    <t>CH/FPD/PLATE/THICK</t>
  </si>
  <si>
    <t>S01</t>
  </si>
  <si>
    <t>1.5 mm</t>
  </si>
  <si>
    <t>S02</t>
  </si>
  <si>
    <t>2 mm</t>
  </si>
  <si>
    <t>S03</t>
  </si>
  <si>
    <t>3 mm</t>
  </si>
  <si>
    <t>S04</t>
  </si>
  <si>
    <t>4 mm</t>
  </si>
  <si>
    <t>S05</t>
  </si>
  <si>
    <t>6 mm</t>
  </si>
  <si>
    <t>S06</t>
  </si>
  <si>
    <t>8 mm</t>
  </si>
  <si>
    <t>S07</t>
  </si>
  <si>
    <t>10 mm</t>
  </si>
  <si>
    <t>S08</t>
  </si>
  <si>
    <t>12 mm</t>
  </si>
  <si>
    <t>S09</t>
  </si>
  <si>
    <t>15 mm</t>
  </si>
  <si>
    <t>S10</t>
  </si>
  <si>
    <t>16 mm</t>
  </si>
  <si>
    <t>T03</t>
  </si>
  <si>
    <t>1/8 in.</t>
  </si>
  <si>
    <t>T05</t>
  </si>
  <si>
    <t>¼ in</t>
  </si>
  <si>
    <t>T07</t>
  </si>
  <si>
    <t>3/8 in.</t>
  </si>
  <si>
    <t>T09</t>
  </si>
  <si>
    <t>½ in.</t>
  </si>
  <si>
    <t>T11</t>
  </si>
  <si>
    <t>¾ in.</t>
  </si>
  <si>
    <t>mm value</t>
  </si>
  <si>
    <t>Component cross-reference list</t>
  </si>
  <si>
    <t>CH/FPD/DRAIN/VENT/SIZE</t>
  </si>
  <si>
    <t>HA1</t>
  </si>
  <si>
    <t>1 mm</t>
  </si>
  <si>
    <t>HA2</t>
  </si>
  <si>
    <t>HA3</t>
  </si>
  <si>
    <t>HA4</t>
  </si>
  <si>
    <t>HA5</t>
  </si>
  <si>
    <t>HA6</t>
  </si>
  <si>
    <t>5 mm</t>
  </si>
  <si>
    <t>HA7</t>
  </si>
  <si>
    <t>5.5 mm</t>
  </si>
  <si>
    <t>HA8</t>
  </si>
  <si>
    <t>HA9</t>
  </si>
  <si>
    <t>6.5 mm</t>
  </si>
  <si>
    <t>HB1</t>
  </si>
  <si>
    <t>7.5 mm</t>
  </si>
  <si>
    <t>HB2</t>
  </si>
  <si>
    <t>HB3</t>
  </si>
  <si>
    <t>HB4</t>
  </si>
  <si>
    <t>3/32 in.</t>
  </si>
  <si>
    <t>HB5</t>
  </si>
  <si>
    <t>HB6</t>
  </si>
  <si>
    <t>5/32 in.</t>
  </si>
  <si>
    <t>HB7</t>
  </si>
  <si>
    <t>3/16 in.</t>
  </si>
  <si>
    <t>HB8</t>
  </si>
  <si>
    <t>7/32 in.</t>
  </si>
  <si>
    <t>HB9</t>
  </si>
  <si>
    <t>¼ in.</t>
  </si>
  <si>
    <t>HC1</t>
  </si>
  <si>
    <t>9/32 in.</t>
  </si>
  <si>
    <t>HC2</t>
  </si>
  <si>
    <t>5/16 in.</t>
  </si>
  <si>
    <t>HC3</t>
  </si>
  <si>
    <t>11/32 in.</t>
  </si>
  <si>
    <t>HC4</t>
  </si>
  <si>
    <t>HC5</t>
  </si>
  <si>
    <t>13/32 in.</t>
  </si>
  <si>
    <t>HC6</t>
  </si>
  <si>
    <t>7/16 in.</t>
  </si>
  <si>
    <t>HC7</t>
  </si>
  <si>
    <t>15/32 in.</t>
  </si>
  <si>
    <t>HC8</t>
  </si>
  <si>
    <t>Drain Hole (gas applications)</t>
  </si>
  <si>
    <t>--</t>
  </si>
  <si>
    <t>FPD150</t>
  </si>
  <si>
    <t>FPD160</t>
  </si>
  <si>
    <t>FPD170</t>
  </si>
  <si>
    <t>FPD190</t>
  </si>
  <si>
    <t>Material Traceability</t>
  </si>
  <si>
    <t>ALL</t>
  </si>
  <si>
    <t>Label</t>
  </si>
  <si>
    <t>Orifice Flange</t>
  </si>
  <si>
    <t>Inspection Points</t>
  </si>
  <si>
    <t>Tappings Clean</t>
  </si>
  <si>
    <t>Relevant Dimension</t>
  </si>
  <si>
    <t>Customer PO #</t>
  </si>
  <si>
    <t>Tag #</t>
  </si>
  <si>
    <t>Serial #</t>
  </si>
  <si>
    <t>Model / Description</t>
  </si>
  <si>
    <t>Component</t>
  </si>
  <si>
    <t>Part #</t>
  </si>
  <si>
    <t>Material Grade</t>
  </si>
  <si>
    <t>Cast #</t>
  </si>
  <si>
    <t>Dimensional Check</t>
  </si>
  <si>
    <t>Relevant Dimensions</t>
  </si>
  <si>
    <t>Lower Tol</t>
  </si>
  <si>
    <t>Upper Tol</t>
  </si>
  <si>
    <t>Completed By</t>
  </si>
  <si>
    <t>Local Equipment #</t>
  </si>
  <si>
    <t>Cal Due Date</t>
  </si>
  <si>
    <t>Signed:</t>
  </si>
  <si>
    <t>Name:</t>
  </si>
  <si>
    <t>Date:</t>
  </si>
  <si>
    <t>Stud Bolt</t>
  </si>
  <si>
    <t>Gasket</t>
  </si>
  <si>
    <t>this is CELLREF:</t>
  </si>
  <si>
    <t>(used to replace in formulae)</t>
  </si>
  <si>
    <t>MachinedBore_mm</t>
  </si>
  <si>
    <t>Where from?</t>
  </si>
  <si>
    <t>CH_FPD_PLATE_THICK</t>
  </si>
  <si>
    <t>CH_FPD_DRAIN_VENT_SIZE</t>
  </si>
  <si>
    <t>Conversion Or Units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</si>
  <si>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</si>
  <si>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</si>
  <si>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</si>
  <si>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</si>
  <si>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</si>
  <si>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</si>
  <si>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</si>
  <si>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</si>
  <si>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</si>
  <si>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</si>
  <si>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</si>
  <si>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</si>
  <si>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</si>
  <si>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</si>
  <si>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18 mm</t>
  </si>
  <si>
    <t>20 mm</t>
  </si>
  <si>
    <t>25 mm</t>
  </si>
  <si>
    <t>30 mm</t>
  </si>
  <si>
    <t>35 mm</t>
  </si>
  <si>
    <t>40 mm</t>
  </si>
  <si>
    <t>45 mm</t>
  </si>
  <si>
    <t>50 mm</t>
  </si>
  <si>
    <t>55 mm</t>
  </si>
  <si>
    <t>60 mm</t>
  </si>
  <si>
    <t>70 mm</t>
  </si>
  <si>
    <t>80 mm</t>
  </si>
  <si>
    <t>90 mm</t>
  </si>
  <si>
    <t>100 mm</t>
  </si>
  <si>
    <t>Z99</t>
  </si>
  <si>
    <t>Others</t>
  </si>
  <si>
    <t>CH/FPD/DRAIN/VENT</t>
  </si>
  <si>
    <t>HT1</t>
  </si>
  <si>
    <t>HT2</t>
  </si>
  <si>
    <t>Vent Hole (liquid applications)</t>
  </si>
  <si>
    <t>Short</t>
  </si>
  <si>
    <t>PipeID</t>
  </si>
  <si>
    <t>PipeIDUnits</t>
  </si>
  <si>
    <t>RP</t>
  </si>
  <si>
    <t>CH/FPD/PRODUCT/DES=C1</t>
  </si>
  <si>
    <t>CH/FPD/PRODUCT/DES=P2</t>
  </si>
  <si>
    <t>CH/FPD/PRODUCT/DES=F2</t>
  </si>
  <si>
    <t>CH/FPD/ORIFICE/DESIGN=C1,C2,C3,E1,E2,E3,S2</t>
  </si>
  <si>
    <t>CH/FPD/TAPPING/TYPE=TT2,TT3</t>
  </si>
  <si>
    <t>CH/FPD/DRAIN/VENT=HT1,HT2</t>
  </si>
  <si>
    <t>CH/FPD/PRODUCT/DES=P2,P3</t>
  </si>
  <si>
    <t>CH/FPD/PRODUCT/DES=F2,F3</t>
  </si>
  <si>
    <t>CH/FPD/PRODUCT/DES=C1,C2,C5</t>
  </si>
  <si>
    <t>RP=RePeat per stage</t>
  </si>
  <si>
    <t>Visual insp. surface finish</t>
  </si>
  <si>
    <t>Vent/drain diameter</t>
  </si>
  <si>
    <t>please; no spaces in the CH…=VALUE as this confuses the macro!</t>
  </si>
  <si>
    <t>GA</t>
  </si>
  <si>
    <t>Tol</t>
  </si>
  <si>
    <t>Tolerance (+/-)</t>
  </si>
  <si>
    <t>DPs</t>
  </si>
  <si>
    <t>Orifice Plate (weld in)</t>
  </si>
  <si>
    <t>Orifice 'H' Section</t>
  </si>
  <si>
    <t>Pipe</t>
  </si>
  <si>
    <t>PipeOD</t>
  </si>
  <si>
    <t>PipeODUnits</t>
  </si>
  <si>
    <t>GADimensionA1</t>
  </si>
  <si>
    <t>GADimensionA1Units</t>
  </si>
  <si>
    <t>FPD300</t>
  </si>
  <si>
    <t>FPD470</t>
  </si>
  <si>
    <t>Upstream Cone</t>
  </si>
  <si>
    <t>Downstream Cone</t>
  </si>
  <si>
    <t>Throat</t>
  </si>
  <si>
    <t>CH/FPD/PRODUCT/DES=V2</t>
  </si>
  <si>
    <t>Barrel</t>
  </si>
  <si>
    <t>CH/FPD/PRODUCT/DES=V1</t>
  </si>
  <si>
    <t>Annular Ring</t>
  </si>
  <si>
    <t>CH/FPD/END/CONN/TYPE=R2,J2</t>
  </si>
  <si>
    <t>GADimensionL</t>
  </si>
  <si>
    <t>GADimensionLUnits</t>
  </si>
  <si>
    <t>Label / Tab etching correct</t>
  </si>
  <si>
    <t>CH/FPD/SURFACE/TREAT=HF1,HF2</t>
  </si>
  <si>
    <t>Thickness, t</t>
  </si>
  <si>
    <t>Vent/drain position, X</t>
  </si>
  <si>
    <t>No of holes, N</t>
  </si>
  <si>
    <t>Hole dia, H</t>
  </si>
  <si>
    <t>Hole PCD, øP</t>
  </si>
  <si>
    <t>Carrier thickness, H</t>
  </si>
  <si>
    <t>Pitch diameter, P</t>
  </si>
  <si>
    <t>Inside diameter, D</t>
  </si>
  <si>
    <t>Bore diameter, d</t>
  </si>
  <si>
    <t>Wedge Height, H</t>
  </si>
  <si>
    <t>Overall Length, L</t>
  </si>
  <si>
    <t>Convergent Length, B</t>
  </si>
  <si>
    <t>Throat Length, C</t>
  </si>
  <si>
    <t>Divergent Length, E</t>
  </si>
  <si>
    <t>Tapping Height, A</t>
  </si>
  <si>
    <t>Tapping Spacing, B</t>
  </si>
  <si>
    <t>There's a named range for the products=CROSSREF_PRODUCTCODE</t>
  </si>
  <si>
    <t>And named ranges for the three sections; CROSSREF_MATTRACE, CROSSREF_INSPECT and CROSSREF_DIMENSIONS</t>
  </si>
  <si>
    <t>And finally the position of the dimension table; 1 blank column between it and the other stuff!</t>
  </si>
  <si>
    <t>And remember to "enable" the product on the Conversions sheet :)</t>
  </si>
  <si>
    <t>Relevant Component</t>
  </si>
  <si>
    <t>Inspection Sheets</t>
  </si>
  <si>
    <t>Nippoflange</t>
  </si>
  <si>
    <t>CH/FPD/TAPPING/TYPE=TT3</t>
  </si>
  <si>
    <t>Nipolet</t>
  </si>
  <si>
    <t>CH/FPD/TAPPING/TYPE=TT2</t>
  </si>
  <si>
    <t>CH/FPD/TAPPING/TYPE=TT5</t>
  </si>
  <si>
    <t>Nipple</t>
  </si>
  <si>
    <t>Impulse Boss</t>
  </si>
  <si>
    <t>CH/FPD/PRODUCT/DES=P AND [PipeOD]{length,PipeODUnits}&gt;0.1143</t>
  </si>
  <si>
    <t>CH/FPD/PRODUCT/DES=F</t>
  </si>
  <si>
    <t>CH/FPD/TAPPING/TYPE=TT1,TT4</t>
  </si>
  <si>
    <t>Calibration</t>
  </si>
  <si>
    <t>CH/FPD/ELEM/MAT</t>
  </si>
  <si>
    <t>CH/FPD/GASKET</t>
  </si>
  <si>
    <t>CH/FPD/NONELEM/MAT</t>
  </si>
  <si>
    <t>CH/FPD/BOLT/TYPE/MAT</t>
  </si>
  <si>
    <t>CH/FPD/CAL=CW1,CWZ</t>
  </si>
  <si>
    <t>BoltHolesN</t>
  </si>
  <si>
    <t>HoleDiaH</t>
  </si>
  <si>
    <t>HolePCDP</t>
  </si>
  <si>
    <t>HolePCDPUnits</t>
  </si>
  <si>
    <t>WedgeHeightH</t>
  </si>
  <si>
    <t>WedgeHeightHUnits</t>
  </si>
  <si>
    <t>FPD180</t>
  </si>
  <si>
    <t>MeasurementOrifce</t>
  </si>
  <si>
    <t>MeasurementOrifice</t>
  </si>
  <si>
    <t>OrificeCarriers</t>
  </si>
  <si>
    <t>OrificeMeterRuns</t>
  </si>
  <si>
    <t>RestrictionOrifice</t>
  </si>
  <si>
    <t>CH/FPD/PRODUCT/DES=M1,M3</t>
  </si>
  <si>
    <t>CH/FPD/PRODUCT/DES=M2</t>
  </si>
  <si>
    <t>CH/FPD/CONN/TYPE=R1,R3,R1,R2,J4,J2</t>
  </si>
  <si>
    <t>Cleaning</t>
  </si>
  <si>
    <t>CH/FPD/SURFACE/TREAT=P1</t>
  </si>
  <si>
    <t>CH/FPD/ORIFICE/DESIGN=C1,C2,C3</t>
  </si>
  <si>
    <t>CH/FPD/ORIFICE/DESIGN=C1,C2</t>
  </si>
  <si>
    <t>CH/FPD/PRODUCT/DES=M2,M3</t>
  </si>
  <si>
    <t>Throat Tapping diameter</t>
  </si>
  <si>
    <t>Upstream Tapping diameter</t>
  </si>
  <si>
    <t>UpstreamTappingDiameter</t>
  </si>
  <si>
    <t>UpstreamTappingDiameterUnits</t>
  </si>
  <si>
    <t>ThroatTappingDiameter</t>
  </si>
  <si>
    <t>ThroatTappingDiameterUnits</t>
  </si>
  <si>
    <t>DrainVentPosX</t>
  </si>
  <si>
    <t>DrainVentPosXUnits</t>
  </si>
  <si>
    <t>ThroatThicknesst</t>
  </si>
  <si>
    <t>ThroatThicknesstUnits</t>
  </si>
  <si>
    <t>HZ9</t>
  </si>
  <si>
    <t>[DrainVentSize]</t>
  </si>
  <si>
    <t>Product Code</t>
  </si>
  <si>
    <t>Orifice Assy</t>
  </si>
  <si>
    <t>Orifice Carrier</t>
  </si>
  <si>
    <t>Orifice Meter Run</t>
  </si>
  <si>
    <t>Short Description</t>
  </si>
  <si>
    <t>Wedgemeter</t>
  </si>
  <si>
    <t>StackFlowMaster</t>
  </si>
  <si>
    <t>Multistage Restriction</t>
  </si>
  <si>
    <t>Restriction Plate</t>
  </si>
  <si>
    <t>Part number breakdown will go here and will spread out…</t>
  </si>
  <si>
    <t>("[ProductCode]"="FPD150")</t>
  </si>
  <si>
    <t>("[ProductCode]"="FPD160_SS")</t>
  </si>
  <si>
    <t>("[ProductCode]"="FPD170")</t>
  </si>
  <si>
    <t>("[ProductCode]"="FPD175")</t>
  </si>
  <si>
    <t>("[ProductCode]"="FPD180")</t>
  </si>
  <si>
    <t>("[ProductCode]"="FPD300")</t>
  </si>
  <si>
    <t>("[ProductCode]"="FPD320")</t>
  </si>
  <si>
    <t>("[ProductCode]"="FPD350_1")</t>
  </si>
  <si>
    <t>("[ProductCode]"="FPD350_3")</t>
  </si>
  <si>
    <t>("[ProductCode]"="FPD350_4")</t>
  </si>
  <si>
    <t>("[ProductCode]"="FPD350_5")</t>
  </si>
  <si>
    <t>("[ProductCode]"="FPD350_H7")</t>
  </si>
  <si>
    <t>("[ProductCode]"="FPD350_H8")</t>
  </si>
  <si>
    <t>("[ProductCode]"="FPD350_L6")</t>
  </si>
  <si>
    <t>("[ProductCode]"="FPD350_L7")</t>
  </si>
  <si>
    <t>("[ProductCode]"="FPD470_1")</t>
  </si>
  <si>
    <t>("[ProductCode]"="FPD470_2")</t>
  </si>
  <si>
    <t>("[ProductCode]"="FPD470_3")</t>
  </si>
  <si>
    <t>("[ProductCode]"="FPD500")</t>
  </si>
  <si>
    <t>("[ProductCode]"="FPD510")</t>
  </si>
  <si>
    <t>("[ProductCode]"="FPD550")</t>
  </si>
  <si>
    <t>("[ProductCode]"="FPD570")</t>
  </si>
  <si>
    <t>("[ProductCode]"="FPD581")</t>
  </si>
  <si>
    <t>("[ProductCode]"="FPD583")</t>
  </si>
  <si>
    <t>("[ProductCode]"="FPD585")</t>
  </si>
  <si>
    <t>("[ProductCode]"="FPD190") AND (CH/FPD/PRODUCT/DES=R4)</t>
  </si>
  <si>
    <t>("[ProductCode]"="FPD190") AND (CH/FPD/PRODUCT/DES=NOT R4)</t>
  </si>
  <si>
    <t>Job No</t>
  </si>
  <si>
    <t>Y</t>
  </si>
  <si>
    <t>Line I/Dia</t>
  </si>
  <si>
    <t>Tag No</t>
  </si>
  <si>
    <t>H/D Ratio</t>
  </si>
  <si>
    <t>Design Pressure</t>
  </si>
  <si>
    <t>Design Temp</t>
  </si>
  <si>
    <t>Design DP</t>
  </si>
  <si>
    <t>Bore d</t>
  </si>
  <si>
    <t>Flowrate</t>
  </si>
  <si>
    <t>Line Size</t>
  </si>
  <si>
    <t>Rating</t>
  </si>
  <si>
    <t>PED Category</t>
  </si>
  <si>
    <t>Start @ Row</t>
  </si>
  <si>
    <t>Label?</t>
  </si>
  <si>
    <t>End @ Row</t>
  </si>
  <si>
    <t>("[ProductCode]"="FPD350_H6")</t>
  </si>
  <si>
    <t>CH/FPD/PRODUCT/DES=V2,V4</t>
  </si>
  <si>
    <t>CH/FPD/PRODUCT/DES=V1,V3</t>
  </si>
  <si>
    <t>FPD320</t>
  </si>
  <si>
    <t>CH/FPD/PRODUCT/DES=N2</t>
  </si>
  <si>
    <t>CH/FPD/PRODUCT/DES=N3</t>
  </si>
  <si>
    <t>Label Bracket</t>
  </si>
  <si>
    <t>Centre Hole</t>
  </si>
  <si>
    <t>Ring Hole (1st)</t>
  </si>
  <si>
    <t>Ring Hole (2nd)</t>
  </si>
  <si>
    <t>Ring Hole (3rd)</t>
  </si>
  <si>
    <t>Ring Hole (4th)</t>
  </si>
  <si>
    <t>Ring Hole (5th)</t>
  </si>
  <si>
    <t>Ring Hole (6th)</t>
  </si>
  <si>
    <t>CH/FPD/ORIFICE/DESIGN=C1,C2,C3,E1,E2,E3,S2,L1,U1,U2</t>
  </si>
  <si>
    <t>CH/FPD/ORIFICE/DESIGN=C5,C6</t>
  </si>
  <si>
    <t>GRN #</t>
  </si>
  <si>
    <t>Model</t>
  </si>
  <si>
    <t>CH/FPD/ORIFICE/DESIGN=AR</t>
  </si>
  <si>
    <t>FPD175</t>
  </si>
  <si>
    <t>CH/FPD175/MODEL/DESIGN=F5,F4</t>
  </si>
  <si>
    <t>CH/FPD175/MODEL/DESIGN=C7</t>
  </si>
  <si>
    <t>Manifold</t>
  </si>
  <si>
    <t>Process Tube</t>
  </si>
  <si>
    <t>CH/FPD/PRODUCT/DES=R5 AND [PipeOD]{length,PipeODUnits}&gt;0.1143</t>
  </si>
  <si>
    <t>CH/FPD/PRODUCT/DES=R5 AND [PipeOD]{length,PipeODUnits}&lt;0.1144</t>
  </si>
  <si>
    <t>CH/FPD/PRODUCT/DES=R3,R4</t>
  </si>
  <si>
    <t>CH/FPD/PRODUCT/DES=R5</t>
  </si>
  <si>
    <t>CH/FPD/PRODUCT/DES=R2,R3,R4</t>
  </si>
  <si>
    <t>CH/FPD/PRODUCT/DES=R1</t>
  </si>
  <si>
    <t>CH/FPD/END/CONN/TYPE=F1</t>
  </si>
  <si>
    <t>CH/FPD/PRODUCT/DES=R1,R2</t>
  </si>
  <si>
    <t>Orifice Carrier w/ Integral Manifold</t>
  </si>
  <si>
    <t>Orifice Flange w/ JS</t>
  </si>
  <si>
    <t>End Flange (U/Stream)</t>
  </si>
  <si>
    <t>End Flange (D/Stream)</t>
  </si>
  <si>
    <t>Impulse Flange (U/Stream)</t>
  </si>
  <si>
    <t>Impulse Flange (D/Stream)</t>
  </si>
  <si>
    <t>FPD175Bored</t>
  </si>
  <si>
    <t>FPD175BoredUnits</t>
  </si>
  <si>
    <t>FPD175OutsideDia</t>
  </si>
  <si>
    <t>FPD175OutsideDiaUnits</t>
  </si>
  <si>
    <t>Outside Diameter, d7</t>
  </si>
  <si>
    <t>Bore, d10 (1st check)</t>
  </si>
  <si>
    <t>Bore, d10 (2nd check)</t>
  </si>
  <si>
    <t>Bore, d10 (3rd check)</t>
  </si>
  <si>
    <t>Inside Diameter, d8</t>
  </si>
  <si>
    <t>FPD175InsideDia</t>
  </si>
  <si>
    <t>FPD175InsideDiaUnits</t>
  </si>
  <si>
    <t>Solve Inspection &amp; Traceability Template</t>
  </si>
  <si>
    <t>Ready: Go! - this will load a Solve data file and create inspection sheets for each item found</t>
  </si>
  <si>
    <t>Order #</t>
  </si>
  <si>
    <t>Order Item #</t>
  </si>
  <si>
    <t>Roots Removed in Tappings</t>
  </si>
  <si>
    <t>Pipe Circularity Check</t>
  </si>
  <si>
    <t>Weld around Wedge</t>
  </si>
  <si>
    <t>Reset - clears this spreadsheet</t>
  </si>
  <si>
    <t>Order No</t>
  </si>
  <si>
    <t>Order Item</t>
  </si>
  <si>
    <t>PlateODiaA</t>
  </si>
  <si>
    <t>PlateODiaUnits</t>
  </si>
  <si>
    <t>CarrierThkH</t>
  </si>
  <si>
    <t>CarrierThkHUnits</t>
  </si>
  <si>
    <t>RTJPitchP</t>
  </si>
  <si>
    <t>RTJPitchPUnits</t>
  </si>
  <si>
    <t>VenturiLengthL</t>
  </si>
  <si>
    <t>VenturiLengthLUnits</t>
  </si>
  <si>
    <t>VenturiUpConeB</t>
  </si>
  <si>
    <t>VenturiUpConeBUnits</t>
  </si>
  <si>
    <t>VenturiThroatC</t>
  </si>
  <si>
    <t>VenturiThroatCUnits</t>
  </si>
  <si>
    <t>VenturiDnConeE</t>
  </si>
  <si>
    <t>VenturiDnConeEUnits</t>
  </si>
  <si>
    <t>OALengthL</t>
  </si>
  <si>
    <t>OALengthLUnits</t>
  </si>
  <si>
    <t>TapSpacingB</t>
  </si>
  <si>
    <t>TapSpacingBUnits</t>
  </si>
  <si>
    <t>TapHeightA</t>
  </si>
  <si>
    <t>TapHeightAUnits</t>
  </si>
  <si>
    <t>BF58E0EA-3099-48D3-911A-6FFEDB3A0B0B</t>
  </si>
  <si>
    <t>A6</t>
  </si>
  <si>
    <t>BF58E0EA-3099-48D3-911A-6FFEDB3A0B0C</t>
  </si>
  <si>
    <t>TIN</t>
  </si>
  <si>
    <t>BF58E0EA-3099-48D3-911A-6FFEDB3A0B0D</t>
  </si>
  <si>
    <t>TAI</t>
  </si>
  <si>
    <t>BF58E0EA-3099-48D3-911A-6FFEDB3A0B0E</t>
  </si>
  <si>
    <t>TAW</t>
  </si>
  <si>
    <t>BF58E0EA-3099-48D3-911A-6FFEDB3A0B0F</t>
  </si>
  <si>
    <t>TTW</t>
  </si>
  <si>
    <t>Test</t>
  </si>
  <si>
    <t>4378/19/1</t>
  </si>
  <si>
    <t>Test Company</t>
  </si>
  <si>
    <t>FPD175.F5.100.L1.B2.A1.M3.PNH</t>
  </si>
  <si>
    <t>Orifice Carrier w/ Integral Manifold 4"/STD</t>
  </si>
  <si>
    <t>V1.07 18/Sep/2020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</si>
</sst>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indexed="10"/>
      <name val="ABB Logo"/>
      <charset val="2"/>
    </font>
    <font>
      <b/>
      <sz val="22"/>
      <color rgb="FF0070C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10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4"/>
      <color rgb="FFFF0000"/>
      <name val="Calibri"/>
      <family val="2"/>
    </font>
    <font>
      <u/>
      <sz val="10"/>
      <color theme="10"/>
      <name val="Calibri"/>
      <family val="2"/>
    </font>
    <font>
      <i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thin">
        <color auto="1"/>
      </bottom>
      <diagonal/>
    </border>
  </borders>
  <cellStyleXfs count="7">
    <xf numFmtId="0" fontId="0" fillId="0" borderId="0"/>
    <xf numFmtId="0" fontId="1" fillId="0" borderId="0"/>
    <xf numFmtId="0" fontId="5" fillId="0" borderId="0"/>
    <xf numFmtId="0" fontId="1" fillId="0" borderId="0"/>
    <xf numFmtId="0" fontId="8" fillId="0" borderId="0"/>
    <xf numFmtId="0" fontId="9" fillId="0" borderId="0"/>
    <xf numFmtId="0" fontId="12" fillId="0" borderId="0" applyNumberFormat="0" applyFill="0" applyBorder="0" applyAlignment="0" applyProtection="0"/>
  </cellStyleXfs>
  <cellXfs count="217">
    <xf numFmtId="0" fontId="0" fillId="0" borderId="0" xfId="0"/>
    <xf numFmtId="0" fontId="0" fillId="0" borderId="0" xfId="0" applyFill="1" applyProtection="1"/>
    <xf numFmtId="0" fontId="0" fillId="0" borderId="0" xfId="0" applyAlignment="1">
      <alignment horizontal="right" vertical="center"/>
    </xf>
    <xf numFmtId="0" fontId="4" fillId="0" borderId="0" xfId="0" applyFont="1"/>
    <xf numFmtId="0" fontId="4" fillId="0" borderId="0" xfId="0" applyFont="1" applyFill="1" applyProtection="1"/>
    <xf numFmtId="0" fontId="0" fillId="0" borderId="0" xfId="0" applyFill="1" applyBorder="1" applyProtection="1"/>
    <xf numFmtId="49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Fill="1" applyBorder="1" applyAlignment="1" applyProtection="1">
      <alignment horizontal="center" vertical="center" wrapText="1"/>
    </xf>
    <xf numFmtId="0" fontId="0" fillId="0" borderId="0" xfId="0" applyAlignment="1">
      <alignment vertical="center"/>
    </xf>
    <xf numFmtId="0" fontId="5" fillId="0" borderId="0" xfId="2"/>
    <xf numFmtId="0" fontId="2" fillId="0" borderId="0" xfId="0" applyFont="1"/>
    <xf numFmtId="0" fontId="7" fillId="0" borderId="0" xfId="2" applyFont="1"/>
    <xf numFmtId="0" fontId="6" fillId="0" borderId="0" xfId="2" applyFont="1"/>
    <xf numFmtId="11" fontId="0" fillId="0" borderId="0" xfId="0" applyNumberFormat="1"/>
    <xf numFmtId="0" fontId="0" fillId="2" borderId="0" xfId="0" quotePrefix="1" applyFill="1"/>
    <xf numFmtId="20" fontId="0" fillId="0" borderId="0" xfId="0" applyNumberFormat="1"/>
    <xf numFmtId="0" fontId="0" fillId="0" borderId="3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9" fillId="0" borderId="0" xfId="5"/>
    <xf numFmtId="0" fontId="10" fillId="0" borderId="0" xfId="5" applyFont="1"/>
    <xf numFmtId="0" fontId="11" fillId="0" borderId="0" xfId="5" applyFont="1"/>
    <xf numFmtId="0" fontId="0" fillId="0" borderId="0" xfId="0" applyAlignment="1">
      <alignment wrapText="1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 vertical="center" wrapText="1"/>
    </xf>
    <xf numFmtId="0" fontId="2" fillId="0" borderId="6" xfId="0" applyFont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0" fillId="0" borderId="16" xfId="0" applyBorder="1"/>
    <xf numFmtId="0" fontId="0" fillId="0" borderId="19" xfId="0" applyBorder="1"/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164" fontId="0" fillId="0" borderId="0" xfId="0" applyNumberFormat="1"/>
    <xf numFmtId="0" fontId="13" fillId="0" borderId="0" xfId="0" applyFont="1"/>
    <xf numFmtId="1" fontId="0" fillId="0" borderId="14" xfId="0" applyNumberFormat="1" applyBorder="1" applyAlignment="1">
      <alignment horizontal="center" vertical="center"/>
    </xf>
    <xf numFmtId="1" fontId="0" fillId="0" borderId="16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2" fontId="0" fillId="0" borderId="23" xfId="0" applyNumberFormat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9" xfId="0" applyBorder="1" applyAlignment="1">
      <alignment horizontal="center" vertical="center" wrapText="1"/>
    </xf>
    <xf numFmtId="0" fontId="0" fillId="0" borderId="9" xfId="0" quotePrefix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/>
    </xf>
    <xf numFmtId="0" fontId="0" fillId="0" borderId="8" xfId="0" applyBorder="1" applyAlignment="1">
      <alignment vertical="center"/>
    </xf>
    <xf numFmtId="0" fontId="0" fillId="0" borderId="8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3" borderId="7" xfId="0" applyFont="1" applyFill="1" applyBorder="1"/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3" borderId="20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2" xfId="0" applyFill="1" applyBorder="1"/>
    <xf numFmtId="0" fontId="0" fillId="3" borderId="13" xfId="0" applyFill="1" applyBorder="1"/>
    <xf numFmtId="0" fontId="0" fillId="2" borderId="8" xfId="0" applyFill="1" applyBorder="1" applyAlignment="1">
      <alignment horizontal="center" vertical="center" wrapText="1"/>
    </xf>
    <xf numFmtId="0" fontId="0" fillId="0" borderId="8" xfId="0" quotePrefix="1" applyBorder="1" applyAlignment="1">
      <alignment horizontal="center" vertical="center" wrapText="1"/>
    </xf>
    <xf numFmtId="0" fontId="0" fillId="0" borderId="10" xfId="0" quotePrefix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164" fontId="0" fillId="0" borderId="17" xfId="0" applyNumberFormat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0" fontId="13" fillId="0" borderId="0" xfId="0" applyFont="1" applyFill="1" applyBorder="1" applyAlignment="1">
      <alignment horizontal="left" vertical="center"/>
    </xf>
    <xf numFmtId="0" fontId="13" fillId="0" borderId="0" xfId="0" applyFont="1" applyAlignment="1">
      <alignment vertical="center"/>
    </xf>
    <xf numFmtId="0" fontId="13" fillId="0" borderId="0" xfId="0" applyFont="1" applyFill="1" applyBorder="1" applyAlignment="1">
      <alignment vertical="center"/>
    </xf>
    <xf numFmtId="0" fontId="0" fillId="0" borderId="18" xfId="0" applyBorder="1" applyAlignment="1">
      <alignment horizontal="center" vertical="center"/>
    </xf>
    <xf numFmtId="0" fontId="9" fillId="3" borderId="1" xfId="4" applyFont="1" applyFill="1" applyBorder="1" applyAlignment="1">
      <alignment horizontal="center" vertical="center"/>
    </xf>
    <xf numFmtId="0" fontId="17" fillId="3" borderId="1" xfId="2" applyFont="1" applyFill="1" applyBorder="1" applyAlignment="1">
      <alignment horizontal="center" vertical="center"/>
    </xf>
    <xf numFmtId="0" fontId="17" fillId="3" borderId="1" xfId="2" applyFont="1" applyFill="1" applyBorder="1" applyAlignment="1">
      <alignment horizontal="center" vertical="center" wrapText="1"/>
    </xf>
    <xf numFmtId="0" fontId="9" fillId="0" borderId="0" xfId="4" applyFont="1"/>
    <xf numFmtId="0" fontId="1" fillId="0" borderId="0" xfId="0" applyFont="1"/>
    <xf numFmtId="0" fontId="9" fillId="0" borderId="0" xfId="4" applyFont="1" applyFill="1"/>
    <xf numFmtId="0" fontId="0" fillId="0" borderId="28" xfId="0" applyFill="1" applyBorder="1"/>
    <xf numFmtId="0" fontId="0" fillId="0" borderId="0" xfId="0"/>
    <xf numFmtId="0" fontId="2" fillId="0" borderId="6" xfId="0" applyFont="1" applyBorder="1" applyAlignment="1">
      <alignment horizontal="center"/>
    </xf>
    <xf numFmtId="0" fontId="2" fillId="3" borderId="7" xfId="0" applyFont="1" applyFill="1" applyBorder="1"/>
    <xf numFmtId="0" fontId="0" fillId="3" borderId="7" xfId="0" applyFill="1" applyBorder="1" applyAlignment="1">
      <alignment horizontal="center"/>
    </xf>
    <xf numFmtId="0" fontId="0" fillId="3" borderId="7" xfId="0" applyFill="1" applyBorder="1"/>
    <xf numFmtId="0" fontId="0" fillId="0" borderId="8" xfId="0" applyBorder="1"/>
    <xf numFmtId="0" fontId="0" fillId="0" borderId="8" xfId="0" applyBorder="1" applyAlignment="1">
      <alignment horizontal="center" vertical="center" wrapText="1"/>
    </xf>
    <xf numFmtId="0" fontId="0" fillId="0" borderId="8" xfId="0" quotePrefix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2" borderId="8" xfId="0" applyFill="1" applyBorder="1"/>
    <xf numFmtId="0" fontId="0" fillId="0" borderId="28" xfId="0" quotePrefix="1" applyBorder="1" applyAlignment="1">
      <alignment horizontal="center" vertical="center" wrapText="1"/>
    </xf>
    <xf numFmtId="0" fontId="0" fillId="0" borderId="10" xfId="0" quotePrefix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10" xfId="0" applyFill="1" applyBorder="1"/>
    <xf numFmtId="0" fontId="0" fillId="3" borderId="7" xfId="0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/>
    </xf>
    <xf numFmtId="0" fontId="0" fillId="0" borderId="8" xfId="0" applyFill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0" fillId="0" borderId="8" xfId="0" quotePrefix="1" applyFill="1" applyBorder="1" applyAlignment="1">
      <alignment horizontal="center" vertical="center" wrapText="1"/>
    </xf>
    <xf numFmtId="0" fontId="0" fillId="0" borderId="9" xfId="0" quotePrefix="1" applyFill="1" applyBorder="1" applyAlignment="1">
      <alignment horizontal="center" vertical="center" wrapText="1"/>
    </xf>
    <xf numFmtId="0" fontId="0" fillId="0" borderId="9" xfId="0" applyFill="1" applyBorder="1"/>
    <xf numFmtId="0" fontId="0" fillId="0" borderId="24" xfId="0" applyFill="1" applyBorder="1" applyAlignment="1">
      <alignment horizontal="center" vertical="center"/>
    </xf>
    <xf numFmtId="0" fontId="9" fillId="0" borderId="0" xfId="4" applyFont="1" applyAlignment="1">
      <alignment wrapText="1"/>
    </xf>
    <xf numFmtId="0" fontId="2" fillId="0" borderId="20" xfId="0" applyFont="1" applyBorder="1" applyAlignment="1">
      <alignment wrapText="1"/>
    </xf>
    <xf numFmtId="0" fontId="2" fillId="0" borderId="14" xfId="0" applyFont="1" applyBorder="1" applyAlignment="1">
      <alignment wrapText="1"/>
    </xf>
    <xf numFmtId="0" fontId="2" fillId="0" borderId="17" xfId="0" applyFont="1" applyBorder="1" applyAlignment="1">
      <alignment wrapText="1"/>
    </xf>
    <xf numFmtId="0" fontId="2" fillId="3" borderId="11" xfId="0" applyFont="1" applyFill="1" applyBorder="1" applyAlignment="1">
      <alignment wrapText="1"/>
    </xf>
    <xf numFmtId="0" fontId="0" fillId="0" borderId="17" xfId="0" applyBorder="1" applyAlignment="1">
      <alignment horizontal="left" vertical="center" wrapText="1"/>
    </xf>
    <xf numFmtId="0" fontId="0" fillId="0" borderId="17" xfId="0" applyFont="1" applyBorder="1" applyAlignment="1">
      <alignment vertical="center" wrapText="1"/>
    </xf>
    <xf numFmtId="0" fontId="0" fillId="0" borderId="14" xfId="0" applyBorder="1" applyAlignment="1">
      <alignment wrapText="1"/>
    </xf>
    <xf numFmtId="0" fontId="0" fillId="0" borderId="17" xfId="0" applyBorder="1" applyAlignment="1">
      <alignment wrapText="1"/>
    </xf>
    <xf numFmtId="0" fontId="19" fillId="0" borderId="0" xfId="0" applyFont="1"/>
    <xf numFmtId="0" fontId="18" fillId="0" borderId="0" xfId="0" applyFont="1"/>
    <xf numFmtId="1" fontId="0" fillId="0" borderId="25" xfId="0" applyNumberFormat="1" applyFill="1" applyBorder="1" applyAlignment="1">
      <alignment horizontal="center" vertical="center"/>
    </xf>
    <xf numFmtId="1" fontId="0" fillId="0" borderId="26" xfId="0" applyNumberFormat="1" applyFill="1" applyBorder="1" applyAlignment="1">
      <alignment horizontal="center" vertical="center"/>
    </xf>
    <xf numFmtId="0" fontId="0" fillId="0" borderId="0" xfId="0" applyAlignment="1"/>
    <xf numFmtId="0" fontId="0" fillId="0" borderId="0" xfId="0" applyFill="1" applyBorder="1"/>
    <xf numFmtId="0" fontId="0" fillId="0" borderId="0" xfId="0" applyFill="1" applyAlignment="1">
      <alignment horizontal="center" vertical="center"/>
    </xf>
    <xf numFmtId="0" fontId="0" fillId="0" borderId="14" xfId="0" applyFill="1" applyBorder="1" applyAlignment="1">
      <alignment horizontal="center" vertical="center" wrapText="1"/>
    </xf>
    <xf numFmtId="0" fontId="0" fillId="0" borderId="16" xfId="0" applyFill="1" applyBorder="1" applyAlignment="1">
      <alignment horizontal="center" vertical="center" wrapText="1"/>
    </xf>
    <xf numFmtId="0" fontId="0" fillId="0" borderId="16" xfId="0" applyFill="1" applyBorder="1" applyAlignment="1">
      <alignment vertical="center" wrapText="1"/>
    </xf>
    <xf numFmtId="164" fontId="0" fillId="0" borderId="25" xfId="0" quotePrefix="1" applyNumberFormat="1" applyFill="1" applyBorder="1" applyAlignment="1">
      <alignment horizontal="center" vertical="center" wrapText="1"/>
    </xf>
    <xf numFmtId="164" fontId="0" fillId="0" borderId="14" xfId="0" applyNumberFormat="1" applyFill="1" applyBorder="1" applyAlignment="1">
      <alignment horizontal="center" vertical="center" wrapText="1"/>
    </xf>
    <xf numFmtId="1" fontId="0" fillId="0" borderId="14" xfId="0" applyNumberFormat="1" applyFill="1" applyBorder="1" applyAlignment="1">
      <alignment horizontal="center" vertical="center" wrapText="1"/>
    </xf>
    <xf numFmtId="164" fontId="0" fillId="0" borderId="25" xfId="0" applyNumberFormat="1" applyFill="1" applyBorder="1" applyAlignment="1">
      <alignment horizontal="center" vertical="center" wrapText="1"/>
    </xf>
    <xf numFmtId="0" fontId="0" fillId="0" borderId="26" xfId="0" applyFill="1" applyBorder="1" applyAlignment="1">
      <alignment horizontal="center" vertical="center" wrapText="1"/>
    </xf>
    <xf numFmtId="0" fontId="0" fillId="0" borderId="27" xfId="0" applyFill="1" applyBorder="1" applyAlignment="1">
      <alignment horizontal="center" vertical="center"/>
    </xf>
    <xf numFmtId="0" fontId="0" fillId="0" borderId="30" xfId="0" applyFill="1" applyBorder="1"/>
    <xf numFmtId="0" fontId="0" fillId="3" borderId="7" xfId="0" quotePrefix="1" applyFill="1" applyBorder="1" applyAlignment="1">
      <alignment horizontal="center" vertical="center"/>
    </xf>
    <xf numFmtId="0" fontId="0" fillId="2" borderId="8" xfId="0" quotePrefix="1" applyFill="1" applyBorder="1" applyAlignment="1">
      <alignment horizontal="center" vertical="center" wrapText="1"/>
    </xf>
    <xf numFmtId="0" fontId="0" fillId="3" borderId="31" xfId="0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8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0" fillId="0" borderId="0" xfId="0" quotePrefix="1" applyBorder="1"/>
    <xf numFmtId="164" fontId="0" fillId="0" borderId="32" xfId="0" quotePrefix="1" applyNumberFormat="1" applyFill="1" applyBorder="1" applyAlignment="1">
      <alignment horizontal="center" vertical="center" wrapText="1"/>
    </xf>
    <xf numFmtId="164" fontId="0" fillId="0" borderId="16" xfId="0" quotePrefix="1" applyNumberFormat="1" applyFill="1" applyBorder="1" applyAlignment="1">
      <alignment horizontal="center" vertical="center" wrapText="1"/>
    </xf>
    <xf numFmtId="164" fontId="0" fillId="0" borderId="26" xfId="0" quotePrefix="1" applyNumberFormat="1" applyFill="1" applyBorder="1" applyAlignment="1">
      <alignment horizontal="center" vertical="center" wrapText="1"/>
    </xf>
    <xf numFmtId="0" fontId="0" fillId="0" borderId="27" xfId="0" quotePrefix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9" xfId="0" applyBorder="1" applyAlignment="1">
      <alignment horizontal="center" vertical="center" wrapText="1"/>
    </xf>
    <xf numFmtId="0" fontId="0" fillId="0" borderId="9" xfId="0" quotePrefix="1" applyBorder="1" applyAlignment="1">
      <alignment horizontal="center" vertical="center" wrapText="1"/>
    </xf>
    <xf numFmtId="0" fontId="0" fillId="0" borderId="8" xfId="0" applyBorder="1" applyAlignment="1">
      <alignment vertical="center"/>
    </xf>
    <xf numFmtId="0" fontId="0" fillId="0" borderId="8" xfId="0" applyBorder="1" applyAlignment="1">
      <alignment horizontal="center" vertical="center" wrapText="1"/>
    </xf>
    <xf numFmtId="0" fontId="0" fillId="0" borderId="10" xfId="0" applyBorder="1" applyAlignment="1">
      <alignment vertical="center"/>
    </xf>
    <xf numFmtId="0" fontId="0" fillId="0" borderId="10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/>
    </xf>
    <xf numFmtId="0" fontId="0" fillId="0" borderId="16" xfId="0" applyFill="1" applyBorder="1" applyAlignment="1">
      <alignment horizontal="center" vertical="center" wrapText="1"/>
    </xf>
    <xf numFmtId="2" fontId="0" fillId="0" borderId="0" xfId="0" applyNumberFormat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2" borderId="10" xfId="0" quotePrefix="1" applyFill="1" applyBorder="1" applyAlignment="1">
      <alignment horizontal="center" vertical="center" wrapText="1"/>
    </xf>
    <xf numFmtId="0" fontId="0" fillId="0" borderId="10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0" borderId="33" xfId="0" applyFill="1" applyBorder="1"/>
    <xf numFmtId="0" fontId="0" fillId="0" borderId="9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2" xfId="0" applyBorder="1"/>
    <xf numFmtId="0" fontId="0" fillId="0" borderId="2" xfId="0" quotePrefix="1" applyBorder="1" applyAlignment="1">
      <alignment horizontal="center" vertical="center" wrapText="1"/>
    </xf>
    <xf numFmtId="0" fontId="0" fillId="2" borderId="9" xfId="0" quotePrefix="1" applyFill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29" xfId="0" applyFont="1" applyBorder="1" applyAlignment="1">
      <alignment vertical="center"/>
    </xf>
    <xf numFmtId="0" fontId="9" fillId="0" borderId="0" xfId="4" applyFont="1" applyFill="1" applyAlignment="1">
      <alignment vertical="center"/>
    </xf>
    <xf numFmtId="0" fontId="1" fillId="0" borderId="0" xfId="0" applyFont="1" applyAlignment="1">
      <alignment vertical="center" wrapText="1"/>
    </xf>
    <xf numFmtId="0" fontId="9" fillId="0" borderId="0" xfId="4" applyFont="1" applyAlignment="1">
      <alignment vertical="center"/>
    </xf>
    <xf numFmtId="0" fontId="9" fillId="0" borderId="0" xfId="4" applyFont="1" applyAlignment="1">
      <alignment vertical="center" wrapText="1"/>
    </xf>
    <xf numFmtId="0" fontId="3" fillId="0" borderId="0" xfId="0" applyFont="1" applyAlignment="1"/>
    <xf numFmtId="0" fontId="0" fillId="0" borderId="0" xfId="0"/>
    <xf numFmtId="11" fontId="0" fillId="0" borderId="0" xfId="0" applyNumberFormat="1"/>
    <xf numFmtId="20" fontId="0" fillId="0" borderId="0" xfId="0" applyNumberFormat="1"/>
    <xf numFmtId="0" fontId="0" fillId="0" borderId="4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2" fillId="0" borderId="20" xfId="0" applyFont="1" applyBorder="1" applyAlignment="1">
      <alignment horizontal="left"/>
    </xf>
    <xf numFmtId="0" fontId="2" fillId="0" borderId="21" xfId="0" applyFont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2" fillId="0" borderId="15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2" fillId="0" borderId="18" xfId="0" applyFont="1" applyBorder="1" applyAlignment="1">
      <alignment horizontal="left"/>
    </xf>
    <xf numFmtId="0" fontId="9" fillId="0" borderId="21" xfId="4" applyFont="1" applyFill="1" applyBorder="1" applyAlignment="1">
      <alignment horizontal="left"/>
    </xf>
    <xf numFmtId="0" fontId="9" fillId="0" borderId="22" xfId="4" applyFont="1" applyFill="1" applyBorder="1" applyAlignment="1">
      <alignment horizontal="left"/>
    </xf>
    <xf numFmtId="0" fontId="9" fillId="0" borderId="15" xfId="4" applyFont="1" applyFill="1" applyBorder="1" applyAlignment="1">
      <alignment horizontal="left"/>
    </xf>
    <xf numFmtId="0" fontId="9" fillId="0" borderId="16" xfId="4" applyFont="1" applyFill="1" applyBorder="1" applyAlignment="1">
      <alignment horizontal="left"/>
    </xf>
    <xf numFmtId="0" fontId="9" fillId="0" borderId="18" xfId="4" applyFont="1" applyFill="1" applyBorder="1" applyAlignment="1">
      <alignment horizontal="left"/>
    </xf>
    <xf numFmtId="0" fontId="9" fillId="0" borderId="19" xfId="4" applyFont="1" applyFill="1" applyBorder="1" applyAlignment="1">
      <alignment horizontal="left"/>
    </xf>
    <xf numFmtId="0" fontId="10" fillId="0" borderId="20" xfId="4" applyFont="1" applyBorder="1" applyAlignment="1">
      <alignment horizontal="left"/>
    </xf>
    <xf numFmtId="0" fontId="10" fillId="0" borderId="21" xfId="4" applyFont="1" applyBorder="1" applyAlignment="1">
      <alignment horizontal="left"/>
    </xf>
    <xf numFmtId="0" fontId="10" fillId="0" borderId="14" xfId="4" applyFont="1" applyBorder="1" applyAlignment="1">
      <alignment horizontal="left"/>
    </xf>
    <xf numFmtId="0" fontId="10" fillId="0" borderId="15" xfId="4" applyFont="1" applyBorder="1" applyAlignment="1">
      <alignment horizontal="left"/>
    </xf>
    <xf numFmtId="0" fontId="10" fillId="0" borderId="17" xfId="4" applyFont="1" applyBorder="1" applyAlignment="1">
      <alignment horizontal="left"/>
    </xf>
    <xf numFmtId="0" fontId="10" fillId="0" borderId="18" xfId="4" applyFont="1" applyBorder="1" applyAlignment="1">
      <alignment horizontal="left"/>
    </xf>
    <xf numFmtId="0" fontId="9" fillId="0" borderId="21" xfId="4" applyFont="1" applyBorder="1" applyAlignment="1">
      <alignment horizontal="left"/>
    </xf>
    <xf numFmtId="0" fontId="9" fillId="0" borderId="22" xfId="4" applyFont="1" applyBorder="1" applyAlignment="1">
      <alignment horizontal="left"/>
    </xf>
    <xf numFmtId="0" fontId="9" fillId="0" borderId="15" xfId="4" applyFont="1" applyBorder="1" applyAlignment="1">
      <alignment horizontal="left"/>
    </xf>
    <xf numFmtId="0" fontId="9" fillId="0" borderId="16" xfId="4" applyFont="1" applyBorder="1" applyAlignment="1">
      <alignment horizontal="left"/>
    </xf>
    <xf numFmtId="0" fontId="9" fillId="0" borderId="18" xfId="4" applyFont="1" applyBorder="1" applyAlignment="1">
      <alignment horizontal="left"/>
    </xf>
    <xf numFmtId="0" fontId="9" fillId="0" borderId="19" xfId="4" applyFont="1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8" xfId="0" applyBorder="1" applyAlignment="1">
      <alignment horizontal="left" vertical="center"/>
    </xf>
    <xf numFmtId="49" fontId="0" fillId="0" borderId="15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0" borderId="19" xfId="0" applyBorder="1" applyAlignment="1">
      <alignment horizontal="left" vertical="center"/>
    </xf>
    <xf numFmtId="0" fontId="0" fillId="0" borderId="18" xfId="0" applyBorder="1" applyAlignment="1">
      <alignment vertical="center"/>
    </xf>
    <xf numFmtId="164" fontId="0" fillId="0" borderId="27" xfId="0" applyNumberFormat="1" applyBorder="1" applyAlignment="1">
      <alignment horizontal="center" vertical="center"/>
    </xf>
  </cellXfs>
  <cellStyles count="7">
    <cellStyle name="Hyperlink 2" xfId="6" xr:uid="{00000000-0005-0000-0000-000000000000}"/>
    <cellStyle name="Normal" xfId="0" builtinId="0"/>
    <cellStyle name="Normal 2" xfId="2" xr:uid="{00000000-0005-0000-0000-000002000000}"/>
    <cellStyle name="Normal 3" xfId="1" xr:uid="{00000000-0005-0000-0000-000003000000}"/>
    <cellStyle name="Normal 4" xfId="3" xr:uid="{00000000-0005-0000-0000-000004000000}"/>
    <cellStyle name="Normal 5" xfId="4" xr:uid="{00000000-0005-0000-0000-000005000000}"/>
    <cellStyle name="Normal 6" xfId="5" xr:uid="{00000000-0005-0000-0000-000006000000}"/>
  </cellStyles>
  <dxfs count="2">
    <dxf>
      <font>
        <color rgb="FF006100"/>
      </font>
      <fill>
        <patternFill>
          <bgColor rgb="FFC6EFCE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M$7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66675</xdr:colOff>
      <xdr:row>12</xdr:row>
      <xdr:rowOff>0</xdr:rowOff>
    </xdr:from>
    <xdr:to>
      <xdr:col>7</xdr:col>
      <xdr:colOff>219075</xdr:colOff>
      <xdr:row>12</xdr:row>
      <xdr:rowOff>152400</xdr:rowOff>
    </xdr:to>
    <xdr:pic>
      <xdr:nvPicPr>
        <xdr:cNvPr id="2" name="DataFileGreenTick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0800" y="2552700"/>
          <a:ext cx="152400" cy="152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5</xdr:row>
          <xdr:rowOff>57150</xdr:rowOff>
        </xdr:from>
        <xdr:to>
          <xdr:col>8</xdr:col>
          <xdr:colOff>657225</xdr:colOff>
          <xdr:row>9</xdr:row>
          <xdr:rowOff>57150</xdr:rowOff>
        </xdr:to>
        <xdr:sp macro="" textlink="">
          <xdr:nvSpPr>
            <xdr:cNvPr id="1026" name="btnColla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Ready: </a:t>
              </a:r>
              <a:r>
                <a:rPr lang="en-GB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10</xdr:row>
          <xdr:rowOff>47625</xdr:rowOff>
        </xdr:from>
        <xdr:to>
          <xdr:col>8</xdr:col>
          <xdr:colOff>657225</xdr:colOff>
          <xdr:row>11</xdr:row>
          <xdr:rowOff>76200</xdr:rowOff>
        </xdr:to>
        <xdr:sp macro="" textlink="">
          <xdr:nvSpPr>
            <xdr:cNvPr id="1027" name="btnRese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57150</xdr:colOff>
      <xdr:row>12</xdr:row>
      <xdr:rowOff>0</xdr:rowOff>
    </xdr:from>
    <xdr:to>
      <xdr:col>7</xdr:col>
      <xdr:colOff>209550</xdr:colOff>
      <xdr:row>12</xdr:row>
      <xdr:rowOff>152400</xdr:rowOff>
    </xdr:to>
    <xdr:pic>
      <xdr:nvPicPr>
        <xdr:cNvPr id="13" name="SAPDataRedCross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3095625"/>
          <a:ext cx="152400" cy="1524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12</xdr:row>
      <xdr:rowOff>0</xdr:rowOff>
    </xdr:from>
    <xdr:to>
      <xdr:col>7</xdr:col>
      <xdr:colOff>209550</xdr:colOff>
      <xdr:row>12</xdr:row>
      <xdr:rowOff>146050</xdr:rowOff>
    </xdr:to>
    <xdr:pic>
      <xdr:nvPicPr>
        <xdr:cNvPr id="14" name="SAPDataGreenTick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3095625"/>
          <a:ext cx="152400" cy="146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6</xdr:row>
          <xdr:rowOff>9525</xdr:rowOff>
        </xdr:from>
        <xdr:to>
          <xdr:col>12</xdr:col>
          <xdr:colOff>0</xdr:colOff>
          <xdr:row>7</xdr:row>
          <xdr:rowOff>38100</xdr:rowOff>
        </xdr:to>
        <xdr:sp macro="" textlink="">
          <xdr:nvSpPr>
            <xdr:cNvPr id="1028" name="chkLoadNonSA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Load items without SAP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A1189"/>
  <sheetViews>
    <sheetView zoomScaleNormal="100" workbookViewId="0">
      <selection activeCell="D16" sqref="D16"/>
    </sheetView>
  </sheetViews>
  <sheetFormatPr defaultRowHeight="15" x14ac:dyDescent="0.25"/>
  <cols>
    <col min="1" max="1" width="1.42578125" customWidth="1"/>
    <col min="2" max="4" width="10.7109375" customWidth="1"/>
    <col min="5" max="5" width="1.7109375" customWidth="1"/>
    <col min="6" max="6" width="58.140625" style="24" customWidth="1"/>
    <col min="7" max="7" width="1.5703125" style="1" customWidth="1"/>
    <col min="8" max="8" width="21.42578125" style="6" customWidth="1"/>
    <col min="9" max="9" width="24.42578125" style="6" customWidth="1"/>
    <col min="10" max="10" width="1.28515625" customWidth="1"/>
    <col min="11" max="11" width="18.28515625" customWidth="1"/>
    <col min="12" max="12" width="18.5703125" customWidth="1"/>
    <col min="13" max="16" width="14.85546875" customWidth="1"/>
    <col min="17" max="17" width="17.5703125" customWidth="1"/>
    <col min="18" max="18" width="19.28515625" customWidth="1"/>
    <col min="19" max="19" width="1.140625" customWidth="1"/>
    <col min="20" max="20" width="9" customWidth="1"/>
    <col min="21" max="21" width="14.28515625" customWidth="1"/>
    <col min="22" max="22" width="13" customWidth="1"/>
    <col min="23" max="24" width="13.85546875" customWidth="1"/>
    <col min="25" max="25" width="11.7109375" customWidth="1"/>
    <col min="26" max="26" width="1.5703125" customWidth="1"/>
    <col min="27" max="27" width="9.140625" style="2"/>
  </cols>
  <sheetData>
    <row r="1" spans="2:27" ht="7.5" customHeight="1" x14ac:dyDescent="0.25">
      <c r="F1"/>
      <c r="H1"/>
      <c r="I1"/>
      <c r="AA1"/>
    </row>
    <row r="2" spans="2:27" ht="28.5" customHeight="1" x14ac:dyDescent="0.5">
      <c r="B2" s="3" t="s">
        <v>564</v>
      </c>
      <c r="C2" s="175"/>
      <c r="D2" s="175"/>
      <c r="G2" s="4"/>
      <c r="H2"/>
      <c r="I2"/>
      <c r="AA2"/>
    </row>
    <row r="3" spans="2:27" ht="15" customHeight="1" x14ac:dyDescent="0.25">
      <c r="B3" s="84"/>
      <c r="C3" s="84"/>
      <c r="D3" s="84"/>
      <c r="F3"/>
      <c r="H3"/>
      <c r="I3"/>
      <c r="AA3"/>
    </row>
    <row r="4" spans="2:27" ht="15" customHeight="1" x14ac:dyDescent="0.25">
      <c r="B4" s="84" t="s">
        <v>609</v>
      </c>
      <c r="C4" s="84"/>
      <c r="D4" s="84"/>
      <c r="F4"/>
      <c r="H4"/>
      <c r="I4"/>
      <c r="AA4"/>
    </row>
    <row r="5" spans="2:27" ht="15" customHeight="1" x14ac:dyDescent="0.5">
      <c r="B5" s="84"/>
      <c r="C5" s="175"/>
      <c r="D5" s="175"/>
      <c r="F5"/>
      <c r="H5"/>
      <c r="I5"/>
      <c r="AA5"/>
    </row>
    <row r="6" spans="2:27" ht="6" customHeight="1" x14ac:dyDescent="0.25">
      <c r="B6" s="84"/>
      <c r="F6"/>
      <c r="H6"/>
      <c r="I6"/>
      <c r="AA6"/>
    </row>
    <row r="7" spans="2:27" x14ac:dyDescent="0.25">
      <c r="B7" s="84" t="s">
        <v>565</v>
      </c>
      <c r="F7"/>
      <c r="H7"/>
      <c r="I7"/>
      <c r="M7" s="116" t="b">
        <v>0</v>
      </c>
      <c r="AA7"/>
    </row>
    <row r="8" spans="2:27" x14ac:dyDescent="0.25">
      <c r="B8" s="84" t="s">
        <v>171</v>
      </c>
      <c r="F8"/>
      <c r="H8"/>
      <c r="I8"/>
      <c r="AA8"/>
    </row>
    <row r="9" spans="2:27" x14ac:dyDescent="0.25">
      <c r="F9"/>
      <c r="H9"/>
      <c r="I9"/>
      <c r="AA9"/>
    </row>
    <row r="10" spans="2:27" ht="6" customHeight="1" x14ac:dyDescent="0.25">
      <c r="F10"/>
      <c r="H10"/>
      <c r="I10"/>
      <c r="AA10"/>
    </row>
    <row r="11" spans="2:27" x14ac:dyDescent="0.25">
      <c r="B11" t="s">
        <v>571</v>
      </c>
      <c r="F11" s="120"/>
      <c r="G11" s="5"/>
      <c r="H11"/>
      <c r="I11"/>
      <c r="AA11"/>
    </row>
    <row r="12" spans="2:27" x14ac:dyDescent="0.25">
      <c r="F12"/>
      <c r="G12"/>
      <c r="H12"/>
      <c r="I12"/>
      <c r="AA12"/>
    </row>
    <row r="13" spans="2:27" x14ac:dyDescent="0.25">
      <c r="F13"/>
      <c r="G13"/>
      <c r="H13"/>
      <c r="I13"/>
      <c r="AA13"/>
    </row>
    <row r="14" spans="2:27" ht="33" customHeight="1" x14ac:dyDescent="0.25">
      <c r="B14" s="7" t="s">
        <v>0</v>
      </c>
      <c r="C14" s="7" t="s">
        <v>1</v>
      </c>
      <c r="D14" s="7" t="s">
        <v>2</v>
      </c>
      <c r="E14" s="8"/>
      <c r="F14" s="7" t="s">
        <v>7</v>
      </c>
      <c r="G14" s="9"/>
      <c r="H14" s="20" t="s">
        <v>3</v>
      </c>
      <c r="I14" s="20" t="s">
        <v>4</v>
      </c>
      <c r="J14" s="18"/>
      <c r="K14" s="19" t="s">
        <v>158</v>
      </c>
      <c r="L14" s="19" t="s">
        <v>162</v>
      </c>
      <c r="M14" s="19" t="s">
        <v>155</v>
      </c>
      <c r="N14" s="19" t="s">
        <v>154</v>
      </c>
      <c r="O14" s="19" t="s">
        <v>160</v>
      </c>
      <c r="P14" s="19" t="s">
        <v>159</v>
      </c>
      <c r="Q14" s="19" t="s">
        <v>161</v>
      </c>
      <c r="R14" s="19" t="s">
        <v>157</v>
      </c>
      <c r="AA14"/>
    </row>
    <row r="15" spans="2:27" x14ac:dyDescent="0.25">
      <c r="F15"/>
      <c r="G15"/>
      <c r="H15"/>
      <c r="I15"/>
      <c r="AA15"/>
    </row>
    <row r="16" spans="2:27" x14ac:dyDescent="0.25">
      <c r="F16"/>
      <c r="G16"/>
      <c r="H16"/>
      <c r="I16"/>
      <c r="AA16"/>
    </row>
    <row r="17" spans="6:27" x14ac:dyDescent="0.25">
      <c r="F17"/>
      <c r="G17"/>
      <c r="H17"/>
      <c r="I17"/>
      <c r="AA17"/>
    </row>
    <row r="18" spans="6:27" x14ac:dyDescent="0.25">
      <c r="F18"/>
      <c r="G18"/>
      <c r="H18"/>
      <c r="I18"/>
      <c r="AA18"/>
    </row>
    <row r="19" spans="6:27" x14ac:dyDescent="0.25">
      <c r="F19"/>
      <c r="G19"/>
      <c r="H19"/>
      <c r="I19"/>
      <c r="AA19"/>
    </row>
    <row r="20" spans="6:27" x14ac:dyDescent="0.25">
      <c r="F20"/>
      <c r="G20"/>
      <c r="H20"/>
      <c r="I20"/>
      <c r="AA20"/>
    </row>
    <row r="21" spans="6:27" x14ac:dyDescent="0.25">
      <c r="F21"/>
      <c r="G21"/>
      <c r="H21"/>
      <c r="I21"/>
      <c r="AA21"/>
    </row>
    <row r="22" spans="6:27" x14ac:dyDescent="0.25">
      <c r="F22"/>
      <c r="G22"/>
      <c r="H22"/>
      <c r="I22"/>
      <c r="AA22"/>
    </row>
    <row r="23" spans="6:27" x14ac:dyDescent="0.25">
      <c r="F23"/>
      <c r="G23"/>
      <c r="H23"/>
      <c r="I23"/>
      <c r="AA23"/>
    </row>
    <row r="24" spans="6:27" x14ac:dyDescent="0.25">
      <c r="F24"/>
      <c r="G24"/>
      <c r="H24"/>
      <c r="I24"/>
      <c r="AA24"/>
    </row>
    <row r="25" spans="6:27" x14ac:dyDescent="0.25">
      <c r="F25"/>
      <c r="G25"/>
      <c r="H25"/>
      <c r="I25"/>
      <c r="AA25"/>
    </row>
    <row r="26" spans="6:27" x14ac:dyDescent="0.25">
      <c r="F26"/>
      <c r="G26"/>
      <c r="H26"/>
      <c r="I26"/>
      <c r="AA26"/>
    </row>
    <row r="27" spans="6:27" x14ac:dyDescent="0.25">
      <c r="F27"/>
      <c r="G27"/>
      <c r="H27"/>
      <c r="I27"/>
      <c r="AA27"/>
    </row>
    <row r="28" spans="6:27" x14ac:dyDescent="0.25">
      <c r="F28"/>
      <c r="G28"/>
      <c r="H28"/>
      <c r="I28"/>
      <c r="AA28"/>
    </row>
    <row r="29" spans="6:27" x14ac:dyDescent="0.25">
      <c r="F29"/>
      <c r="G29"/>
      <c r="H29"/>
      <c r="I29"/>
      <c r="AA29"/>
    </row>
    <row r="30" spans="6:27" x14ac:dyDescent="0.25">
      <c r="F30"/>
      <c r="G30"/>
      <c r="H30"/>
      <c r="I30"/>
      <c r="AA30"/>
    </row>
    <row r="31" spans="6:27" x14ac:dyDescent="0.25">
      <c r="F31"/>
      <c r="G31"/>
      <c r="H31"/>
      <c r="I31"/>
      <c r="AA31"/>
    </row>
    <row r="32" spans="6:27" x14ac:dyDescent="0.25">
      <c r="F32"/>
      <c r="G32"/>
      <c r="H32"/>
      <c r="I32"/>
      <c r="AA32"/>
    </row>
    <row r="33" spans="6:27" x14ac:dyDescent="0.25">
      <c r="F33"/>
      <c r="G33"/>
      <c r="H33"/>
      <c r="I33"/>
      <c r="AA33"/>
    </row>
    <row r="34" spans="6:27" x14ac:dyDescent="0.25">
      <c r="F34"/>
      <c r="G34"/>
      <c r="H34"/>
      <c r="I34"/>
      <c r="AA34"/>
    </row>
    <row r="35" spans="6:27" x14ac:dyDescent="0.25">
      <c r="F35"/>
      <c r="G35"/>
      <c r="H35"/>
      <c r="I35"/>
      <c r="AA35"/>
    </row>
    <row r="36" spans="6:27" x14ac:dyDescent="0.25">
      <c r="F36"/>
      <c r="G36"/>
      <c r="H36"/>
      <c r="I36"/>
      <c r="AA36"/>
    </row>
    <row r="37" spans="6:27" x14ac:dyDescent="0.25">
      <c r="F37"/>
      <c r="G37"/>
      <c r="H37"/>
      <c r="I37"/>
      <c r="AA37"/>
    </row>
    <row r="38" spans="6:27" x14ac:dyDescent="0.25">
      <c r="F38"/>
      <c r="G38"/>
      <c r="H38"/>
      <c r="I38"/>
      <c r="AA38"/>
    </row>
    <row r="39" spans="6:27" x14ac:dyDescent="0.25">
      <c r="F39"/>
      <c r="G39"/>
      <c r="H39"/>
      <c r="I39"/>
      <c r="AA39"/>
    </row>
    <row r="40" spans="6:27" x14ac:dyDescent="0.25">
      <c r="F40"/>
      <c r="G40"/>
      <c r="H40"/>
      <c r="I40"/>
      <c r="AA40"/>
    </row>
    <row r="41" spans="6:27" x14ac:dyDescent="0.25">
      <c r="F41"/>
      <c r="G41"/>
      <c r="H41"/>
      <c r="I41"/>
      <c r="AA41"/>
    </row>
    <row r="42" spans="6:27" x14ac:dyDescent="0.25">
      <c r="F42"/>
      <c r="G42"/>
      <c r="H42"/>
      <c r="I42"/>
      <c r="AA42"/>
    </row>
    <row r="43" spans="6:27" x14ac:dyDescent="0.25">
      <c r="F43"/>
      <c r="G43"/>
      <c r="H43"/>
      <c r="I43"/>
      <c r="AA43"/>
    </row>
    <row r="44" spans="6:27" x14ac:dyDescent="0.25">
      <c r="F44"/>
      <c r="G44"/>
      <c r="H44"/>
      <c r="I44"/>
      <c r="AA44"/>
    </row>
    <row r="45" spans="6:27" x14ac:dyDescent="0.25">
      <c r="F45"/>
      <c r="G45"/>
      <c r="H45"/>
      <c r="I45"/>
      <c r="AA45"/>
    </row>
    <row r="46" spans="6:27" x14ac:dyDescent="0.25">
      <c r="F46"/>
      <c r="G46"/>
      <c r="H46"/>
      <c r="I46"/>
      <c r="AA46"/>
    </row>
    <row r="47" spans="6:27" x14ac:dyDescent="0.25">
      <c r="F47"/>
      <c r="G47"/>
      <c r="H47"/>
      <c r="I47"/>
      <c r="AA47"/>
    </row>
    <row r="48" spans="6:27" x14ac:dyDescent="0.25">
      <c r="F48"/>
      <c r="G48"/>
      <c r="H48"/>
      <c r="I48"/>
      <c r="AA48"/>
    </row>
    <row r="49" spans="6:27" x14ac:dyDescent="0.25">
      <c r="F49"/>
      <c r="G49"/>
      <c r="H49"/>
      <c r="I49"/>
      <c r="AA49"/>
    </row>
    <row r="50" spans="6:27" x14ac:dyDescent="0.25">
      <c r="F50"/>
      <c r="G50"/>
      <c r="H50"/>
      <c r="I50"/>
      <c r="AA50"/>
    </row>
    <row r="51" spans="6:27" x14ac:dyDescent="0.25">
      <c r="F51"/>
      <c r="G51"/>
      <c r="H51"/>
      <c r="I51"/>
      <c r="AA51"/>
    </row>
    <row r="52" spans="6:27" x14ac:dyDescent="0.25">
      <c r="F52"/>
      <c r="G52"/>
      <c r="H52"/>
      <c r="I52"/>
      <c r="AA52"/>
    </row>
    <row r="53" spans="6:27" x14ac:dyDescent="0.25">
      <c r="F53"/>
      <c r="G53"/>
      <c r="H53"/>
      <c r="I53"/>
      <c r="AA53"/>
    </row>
    <row r="54" spans="6:27" x14ac:dyDescent="0.25">
      <c r="F54"/>
      <c r="G54"/>
      <c r="H54"/>
      <c r="I54"/>
      <c r="AA54"/>
    </row>
    <row r="55" spans="6:27" x14ac:dyDescent="0.25">
      <c r="F55"/>
      <c r="G55"/>
      <c r="H55"/>
      <c r="I55"/>
      <c r="AA55"/>
    </row>
    <row r="56" spans="6:27" x14ac:dyDescent="0.25">
      <c r="F56"/>
      <c r="G56"/>
      <c r="H56"/>
      <c r="I56"/>
      <c r="AA56"/>
    </row>
    <row r="57" spans="6:27" x14ac:dyDescent="0.25">
      <c r="F57"/>
      <c r="G57"/>
      <c r="H57"/>
      <c r="I57"/>
      <c r="AA57"/>
    </row>
    <row r="58" spans="6:27" x14ac:dyDescent="0.25">
      <c r="F58"/>
      <c r="G58"/>
      <c r="H58"/>
      <c r="I58"/>
      <c r="AA58"/>
    </row>
    <row r="59" spans="6:27" x14ac:dyDescent="0.25">
      <c r="F59"/>
      <c r="G59"/>
      <c r="H59"/>
      <c r="I59"/>
      <c r="AA59"/>
    </row>
    <row r="60" spans="6:27" x14ac:dyDescent="0.25">
      <c r="F60"/>
      <c r="G60"/>
      <c r="H60"/>
      <c r="I60"/>
      <c r="AA60"/>
    </row>
    <row r="61" spans="6:27" x14ac:dyDescent="0.25">
      <c r="F61"/>
      <c r="G61"/>
      <c r="H61"/>
      <c r="I61"/>
      <c r="AA61"/>
    </row>
    <row r="62" spans="6:27" x14ac:dyDescent="0.25">
      <c r="F62"/>
      <c r="G62"/>
      <c r="H62"/>
      <c r="I62"/>
      <c r="AA62"/>
    </row>
    <row r="63" spans="6:27" x14ac:dyDescent="0.25">
      <c r="F63"/>
      <c r="G63"/>
      <c r="H63"/>
      <c r="I63"/>
      <c r="AA63"/>
    </row>
    <row r="64" spans="6:27" x14ac:dyDescent="0.25">
      <c r="F64"/>
      <c r="G64"/>
      <c r="H64"/>
      <c r="I64"/>
      <c r="AA64"/>
    </row>
    <row r="65" spans="6:27" x14ac:dyDescent="0.25">
      <c r="F65"/>
      <c r="G65"/>
      <c r="H65"/>
      <c r="I65"/>
      <c r="AA65"/>
    </row>
    <row r="66" spans="6:27" x14ac:dyDescent="0.25">
      <c r="F66"/>
      <c r="G66"/>
      <c r="H66"/>
      <c r="I66"/>
      <c r="AA66"/>
    </row>
    <row r="67" spans="6:27" x14ac:dyDescent="0.25">
      <c r="F67"/>
      <c r="G67"/>
      <c r="H67"/>
      <c r="I67"/>
      <c r="AA67"/>
    </row>
    <row r="68" spans="6:27" x14ac:dyDescent="0.25">
      <c r="F68"/>
      <c r="G68"/>
      <c r="H68"/>
      <c r="I68"/>
      <c r="AA68"/>
    </row>
    <row r="69" spans="6:27" x14ac:dyDescent="0.25">
      <c r="F69"/>
      <c r="G69"/>
      <c r="H69"/>
      <c r="I69"/>
      <c r="AA69"/>
    </row>
    <row r="70" spans="6:27" x14ac:dyDescent="0.25">
      <c r="F70"/>
      <c r="G70"/>
      <c r="H70"/>
      <c r="I70"/>
      <c r="AA70"/>
    </row>
    <row r="71" spans="6:27" x14ac:dyDescent="0.25">
      <c r="F71"/>
      <c r="G71"/>
      <c r="H71"/>
      <c r="I71"/>
      <c r="AA71"/>
    </row>
    <row r="72" spans="6:27" x14ac:dyDescent="0.25">
      <c r="F72"/>
      <c r="G72"/>
      <c r="H72"/>
      <c r="I72"/>
      <c r="AA72"/>
    </row>
    <row r="73" spans="6:27" x14ac:dyDescent="0.25">
      <c r="F73"/>
      <c r="G73"/>
      <c r="H73"/>
      <c r="I73"/>
      <c r="AA73"/>
    </row>
    <row r="74" spans="6:27" x14ac:dyDescent="0.25">
      <c r="F74"/>
      <c r="G74"/>
      <c r="H74"/>
      <c r="I74"/>
      <c r="AA74"/>
    </row>
    <row r="75" spans="6:27" x14ac:dyDescent="0.25">
      <c r="F75"/>
      <c r="G75"/>
      <c r="H75"/>
      <c r="I75"/>
      <c r="AA75"/>
    </row>
    <row r="76" spans="6:27" x14ac:dyDescent="0.25">
      <c r="F76"/>
      <c r="G76"/>
      <c r="H76"/>
      <c r="I76"/>
      <c r="AA76"/>
    </row>
    <row r="77" spans="6:27" x14ac:dyDescent="0.25">
      <c r="F77"/>
      <c r="G77"/>
      <c r="H77"/>
      <c r="I77"/>
      <c r="AA77"/>
    </row>
    <row r="78" spans="6:27" x14ac:dyDescent="0.25">
      <c r="F78"/>
      <c r="G78"/>
      <c r="H78"/>
      <c r="I78"/>
      <c r="AA78"/>
    </row>
    <row r="79" spans="6:27" x14ac:dyDescent="0.25">
      <c r="F79"/>
      <c r="G79"/>
      <c r="H79"/>
      <c r="I79"/>
      <c r="AA79"/>
    </row>
    <row r="80" spans="6:27" x14ac:dyDescent="0.25">
      <c r="F80"/>
      <c r="G80"/>
      <c r="H80"/>
      <c r="I80"/>
      <c r="AA80"/>
    </row>
    <row r="81" spans="6:27" x14ac:dyDescent="0.25">
      <c r="F81"/>
      <c r="G81"/>
      <c r="H81"/>
      <c r="I81"/>
      <c r="AA81"/>
    </row>
    <row r="82" spans="6:27" x14ac:dyDescent="0.25">
      <c r="F82"/>
      <c r="G82"/>
      <c r="H82"/>
      <c r="I82"/>
      <c r="AA82"/>
    </row>
    <row r="83" spans="6:27" x14ac:dyDescent="0.25">
      <c r="F83"/>
      <c r="G83"/>
      <c r="H83"/>
      <c r="I83"/>
      <c r="AA83"/>
    </row>
    <row r="84" spans="6:27" x14ac:dyDescent="0.25">
      <c r="F84"/>
      <c r="G84"/>
      <c r="H84"/>
      <c r="I84"/>
      <c r="AA84"/>
    </row>
    <row r="85" spans="6:27" x14ac:dyDescent="0.25">
      <c r="F85"/>
      <c r="G85"/>
      <c r="H85"/>
      <c r="I85"/>
      <c r="AA85"/>
    </row>
    <row r="86" spans="6:27" x14ac:dyDescent="0.25">
      <c r="F86"/>
      <c r="G86"/>
      <c r="H86"/>
      <c r="I86"/>
      <c r="AA86"/>
    </row>
    <row r="87" spans="6:27" x14ac:dyDescent="0.25">
      <c r="F87"/>
      <c r="G87"/>
      <c r="H87"/>
      <c r="I87"/>
      <c r="AA87"/>
    </row>
    <row r="88" spans="6:27" x14ac:dyDescent="0.25">
      <c r="F88"/>
      <c r="G88"/>
      <c r="H88"/>
      <c r="I88"/>
      <c r="AA88"/>
    </row>
    <row r="89" spans="6:27" x14ac:dyDescent="0.25">
      <c r="F89"/>
      <c r="G89"/>
      <c r="H89"/>
      <c r="I89"/>
      <c r="AA89"/>
    </row>
    <row r="90" spans="6:27" x14ac:dyDescent="0.25">
      <c r="F90"/>
      <c r="G90"/>
      <c r="H90"/>
      <c r="I90"/>
      <c r="AA90"/>
    </row>
    <row r="91" spans="6:27" x14ac:dyDescent="0.25">
      <c r="F91"/>
      <c r="G91"/>
      <c r="H91"/>
      <c r="I91"/>
      <c r="AA91"/>
    </row>
    <row r="92" spans="6:27" x14ac:dyDescent="0.25">
      <c r="F92"/>
      <c r="G92"/>
      <c r="H92"/>
      <c r="I92"/>
      <c r="AA92"/>
    </row>
    <row r="93" spans="6:27" x14ac:dyDescent="0.25">
      <c r="F93"/>
      <c r="G93"/>
      <c r="H93"/>
      <c r="I93"/>
      <c r="AA93"/>
    </row>
    <row r="94" spans="6:27" x14ac:dyDescent="0.25">
      <c r="F94"/>
      <c r="G94"/>
      <c r="H94"/>
      <c r="I94"/>
      <c r="AA94"/>
    </row>
    <row r="95" spans="6:27" x14ac:dyDescent="0.25">
      <c r="F95"/>
      <c r="G95"/>
      <c r="H95"/>
      <c r="I95"/>
      <c r="AA95"/>
    </row>
    <row r="96" spans="6:27" x14ac:dyDescent="0.25">
      <c r="F96"/>
      <c r="G96"/>
      <c r="H96"/>
      <c r="I96"/>
      <c r="AA96"/>
    </row>
    <row r="97" spans="6:27" x14ac:dyDescent="0.25">
      <c r="F97"/>
      <c r="G97"/>
      <c r="H97"/>
      <c r="I97"/>
      <c r="AA97"/>
    </row>
    <row r="98" spans="6:27" x14ac:dyDescent="0.25">
      <c r="F98"/>
      <c r="G98"/>
      <c r="H98"/>
      <c r="I98"/>
      <c r="AA98"/>
    </row>
    <row r="99" spans="6:27" x14ac:dyDescent="0.25">
      <c r="F99"/>
      <c r="G99"/>
      <c r="H99"/>
      <c r="I99"/>
      <c r="AA99"/>
    </row>
    <row r="100" spans="6:27" x14ac:dyDescent="0.25">
      <c r="F100"/>
      <c r="G100"/>
      <c r="H100"/>
      <c r="I100"/>
      <c r="AA100"/>
    </row>
    <row r="101" spans="6:27" x14ac:dyDescent="0.25">
      <c r="F101"/>
      <c r="G101"/>
      <c r="H101"/>
      <c r="I101"/>
      <c r="AA101"/>
    </row>
    <row r="102" spans="6:27" x14ac:dyDescent="0.25">
      <c r="F102"/>
      <c r="G102"/>
      <c r="H102"/>
      <c r="I102"/>
      <c r="AA102"/>
    </row>
    <row r="103" spans="6:27" x14ac:dyDescent="0.25">
      <c r="F103"/>
      <c r="G103"/>
      <c r="H103"/>
      <c r="I103"/>
      <c r="AA103"/>
    </row>
    <row r="104" spans="6:27" x14ac:dyDescent="0.25">
      <c r="F104"/>
      <c r="G104"/>
      <c r="H104"/>
      <c r="I104"/>
      <c r="AA104"/>
    </row>
    <row r="105" spans="6:27" x14ac:dyDescent="0.25">
      <c r="F105"/>
      <c r="G105"/>
      <c r="H105"/>
      <c r="I105"/>
      <c r="AA105"/>
    </row>
    <row r="106" spans="6:27" x14ac:dyDescent="0.25">
      <c r="F106"/>
      <c r="G106"/>
      <c r="H106"/>
      <c r="I106"/>
      <c r="AA106"/>
    </row>
    <row r="107" spans="6:27" x14ac:dyDescent="0.25">
      <c r="F107"/>
      <c r="G107"/>
      <c r="H107"/>
      <c r="I107"/>
      <c r="AA107"/>
    </row>
    <row r="108" spans="6:27" x14ac:dyDescent="0.25">
      <c r="F108"/>
      <c r="G108"/>
      <c r="H108"/>
      <c r="I108"/>
      <c r="AA108"/>
    </row>
    <row r="109" spans="6:27" x14ac:dyDescent="0.25">
      <c r="F109"/>
      <c r="G109"/>
      <c r="H109"/>
      <c r="I109"/>
      <c r="AA109"/>
    </row>
    <row r="110" spans="6:27" x14ac:dyDescent="0.25">
      <c r="F110"/>
      <c r="G110"/>
      <c r="H110"/>
      <c r="I110"/>
      <c r="AA110"/>
    </row>
    <row r="111" spans="6:27" x14ac:dyDescent="0.25">
      <c r="F111"/>
      <c r="G111"/>
      <c r="H111"/>
      <c r="I111"/>
      <c r="AA111"/>
    </row>
    <row r="112" spans="6:27" x14ac:dyDescent="0.25">
      <c r="F112"/>
      <c r="G112"/>
      <c r="H112"/>
      <c r="I112"/>
      <c r="AA112"/>
    </row>
    <row r="113" spans="6:27" x14ac:dyDescent="0.25">
      <c r="F113"/>
      <c r="G113"/>
      <c r="H113"/>
      <c r="I113"/>
      <c r="AA113"/>
    </row>
    <row r="114" spans="6:27" x14ac:dyDescent="0.25">
      <c r="F114"/>
      <c r="G114"/>
      <c r="H114"/>
      <c r="I114"/>
      <c r="AA114"/>
    </row>
    <row r="115" spans="6:27" x14ac:dyDescent="0.25">
      <c r="F115"/>
      <c r="G115"/>
      <c r="H115"/>
      <c r="I115"/>
      <c r="AA115"/>
    </row>
    <row r="116" spans="6:27" x14ac:dyDescent="0.25">
      <c r="F116"/>
      <c r="G116"/>
      <c r="H116"/>
      <c r="I116"/>
      <c r="AA116"/>
    </row>
    <row r="117" spans="6:27" x14ac:dyDescent="0.25">
      <c r="F117"/>
      <c r="G117"/>
      <c r="H117"/>
      <c r="I117"/>
      <c r="AA117"/>
    </row>
    <row r="118" spans="6:27" x14ac:dyDescent="0.25">
      <c r="F118"/>
      <c r="G118"/>
      <c r="H118"/>
      <c r="I118"/>
      <c r="AA118"/>
    </row>
    <row r="119" spans="6:27" x14ac:dyDescent="0.25">
      <c r="F119"/>
      <c r="G119"/>
      <c r="H119"/>
      <c r="I119"/>
      <c r="AA119"/>
    </row>
    <row r="120" spans="6:27" x14ac:dyDescent="0.25">
      <c r="F120"/>
      <c r="G120"/>
      <c r="H120"/>
      <c r="I120"/>
      <c r="AA120"/>
    </row>
    <row r="121" spans="6:27" x14ac:dyDescent="0.25">
      <c r="F121"/>
      <c r="G121"/>
      <c r="H121"/>
      <c r="I121"/>
      <c r="AA121"/>
    </row>
    <row r="122" spans="6:27" x14ac:dyDescent="0.25">
      <c r="F122"/>
      <c r="G122"/>
      <c r="H122"/>
      <c r="I122"/>
      <c r="AA122"/>
    </row>
    <row r="123" spans="6:27" x14ac:dyDescent="0.25">
      <c r="F123"/>
      <c r="G123"/>
      <c r="H123"/>
      <c r="I123"/>
      <c r="AA123"/>
    </row>
    <row r="124" spans="6:27" x14ac:dyDescent="0.25">
      <c r="F124"/>
      <c r="G124"/>
      <c r="H124"/>
      <c r="I124"/>
      <c r="AA124"/>
    </row>
    <row r="125" spans="6:27" x14ac:dyDescent="0.25">
      <c r="F125"/>
      <c r="G125"/>
      <c r="H125"/>
      <c r="I125"/>
      <c r="AA125"/>
    </row>
    <row r="126" spans="6:27" x14ac:dyDescent="0.25">
      <c r="F126"/>
      <c r="G126"/>
      <c r="H126"/>
      <c r="I126"/>
      <c r="AA126"/>
    </row>
    <row r="127" spans="6:27" x14ac:dyDescent="0.25">
      <c r="F127"/>
      <c r="G127"/>
      <c r="H127"/>
      <c r="I127"/>
      <c r="AA127"/>
    </row>
    <row r="128" spans="6:27" x14ac:dyDescent="0.25">
      <c r="F128"/>
      <c r="G128"/>
      <c r="H128"/>
      <c r="I128"/>
      <c r="AA128"/>
    </row>
    <row r="129" spans="6:27" x14ac:dyDescent="0.25">
      <c r="F129"/>
      <c r="G129"/>
      <c r="H129"/>
      <c r="I129"/>
      <c r="AA129"/>
    </row>
    <row r="130" spans="6:27" x14ac:dyDescent="0.25">
      <c r="F130"/>
      <c r="G130"/>
      <c r="H130"/>
      <c r="I130"/>
      <c r="AA130"/>
    </row>
    <row r="131" spans="6:27" x14ac:dyDescent="0.25">
      <c r="F131"/>
      <c r="G131"/>
      <c r="H131"/>
      <c r="I131"/>
      <c r="AA131"/>
    </row>
    <row r="132" spans="6:27" x14ac:dyDescent="0.25">
      <c r="F132"/>
      <c r="G132"/>
      <c r="H132"/>
      <c r="I132"/>
      <c r="AA132"/>
    </row>
    <row r="133" spans="6:27" x14ac:dyDescent="0.25">
      <c r="F133"/>
      <c r="G133"/>
      <c r="H133"/>
      <c r="I133"/>
      <c r="AA133"/>
    </row>
    <row r="134" spans="6:27" x14ac:dyDescent="0.25">
      <c r="F134"/>
      <c r="G134"/>
      <c r="H134"/>
      <c r="I134"/>
      <c r="AA134"/>
    </row>
    <row r="135" spans="6:27" x14ac:dyDescent="0.25">
      <c r="F135"/>
      <c r="G135"/>
      <c r="H135"/>
      <c r="I135"/>
      <c r="AA135"/>
    </row>
    <row r="136" spans="6:27" x14ac:dyDescent="0.25">
      <c r="F136"/>
      <c r="G136"/>
      <c r="H136"/>
      <c r="I136"/>
      <c r="AA136"/>
    </row>
    <row r="137" spans="6:27" x14ac:dyDescent="0.25">
      <c r="F137"/>
      <c r="G137"/>
      <c r="H137"/>
      <c r="I137"/>
      <c r="AA137"/>
    </row>
    <row r="138" spans="6:27" x14ac:dyDescent="0.25">
      <c r="F138"/>
      <c r="G138"/>
      <c r="H138"/>
      <c r="I138"/>
      <c r="AA138"/>
    </row>
    <row r="139" spans="6:27" x14ac:dyDescent="0.25">
      <c r="F139"/>
      <c r="G139"/>
      <c r="H139"/>
      <c r="I139"/>
      <c r="AA139"/>
    </row>
    <row r="140" spans="6:27" x14ac:dyDescent="0.25">
      <c r="F140"/>
      <c r="G140"/>
      <c r="H140"/>
      <c r="I140"/>
      <c r="AA140"/>
    </row>
    <row r="141" spans="6:27" x14ac:dyDescent="0.25">
      <c r="F141"/>
      <c r="G141"/>
      <c r="H141"/>
      <c r="I141"/>
      <c r="AA141"/>
    </row>
    <row r="142" spans="6:27" x14ac:dyDescent="0.25">
      <c r="F142"/>
      <c r="G142"/>
      <c r="H142"/>
      <c r="I142"/>
      <c r="AA142"/>
    </row>
    <row r="143" spans="6:27" x14ac:dyDescent="0.25">
      <c r="F143"/>
      <c r="G143"/>
      <c r="H143"/>
      <c r="I143"/>
      <c r="AA143"/>
    </row>
    <row r="144" spans="6:27" x14ac:dyDescent="0.25">
      <c r="F144"/>
      <c r="G144"/>
      <c r="H144"/>
      <c r="I144"/>
      <c r="AA144"/>
    </row>
    <row r="145" spans="6:27" x14ac:dyDescent="0.25">
      <c r="F145"/>
      <c r="G145"/>
      <c r="H145"/>
      <c r="I145"/>
      <c r="AA145"/>
    </row>
    <row r="146" spans="6:27" x14ac:dyDescent="0.25">
      <c r="F146"/>
      <c r="G146"/>
      <c r="H146"/>
      <c r="I146"/>
      <c r="AA146"/>
    </row>
    <row r="147" spans="6:27" x14ac:dyDescent="0.25">
      <c r="F147"/>
      <c r="G147"/>
      <c r="H147"/>
      <c r="I147"/>
      <c r="AA147"/>
    </row>
    <row r="148" spans="6:27" x14ac:dyDescent="0.25">
      <c r="F148"/>
      <c r="G148"/>
      <c r="H148"/>
      <c r="I148"/>
      <c r="AA148"/>
    </row>
    <row r="149" spans="6:27" x14ac:dyDescent="0.25">
      <c r="F149"/>
      <c r="G149"/>
      <c r="H149"/>
      <c r="I149"/>
      <c r="AA149"/>
    </row>
    <row r="150" spans="6:27" x14ac:dyDescent="0.25">
      <c r="F150"/>
      <c r="G150"/>
      <c r="H150"/>
      <c r="I150"/>
      <c r="AA150"/>
    </row>
    <row r="151" spans="6:27" x14ac:dyDescent="0.25">
      <c r="F151"/>
      <c r="G151"/>
      <c r="H151"/>
      <c r="I151"/>
      <c r="AA151"/>
    </row>
    <row r="152" spans="6:27" x14ac:dyDescent="0.25">
      <c r="F152"/>
      <c r="G152"/>
      <c r="H152"/>
      <c r="I152"/>
      <c r="AA152"/>
    </row>
    <row r="153" spans="6:27" x14ac:dyDescent="0.25">
      <c r="F153"/>
      <c r="G153"/>
      <c r="H153"/>
      <c r="I153"/>
      <c r="AA153"/>
    </row>
    <row r="154" spans="6:27" x14ac:dyDescent="0.25">
      <c r="F154"/>
      <c r="G154"/>
      <c r="H154"/>
      <c r="I154"/>
      <c r="AA154"/>
    </row>
    <row r="155" spans="6:27" x14ac:dyDescent="0.25">
      <c r="F155"/>
      <c r="G155"/>
      <c r="H155"/>
      <c r="I155"/>
      <c r="AA155"/>
    </row>
    <row r="156" spans="6:27" x14ac:dyDescent="0.25">
      <c r="F156"/>
      <c r="G156"/>
      <c r="H156"/>
      <c r="I156"/>
      <c r="AA156"/>
    </row>
    <row r="157" spans="6:27" x14ac:dyDescent="0.25">
      <c r="F157"/>
      <c r="G157"/>
      <c r="H157"/>
      <c r="I157"/>
      <c r="AA157"/>
    </row>
    <row r="158" spans="6:27" x14ac:dyDescent="0.25">
      <c r="F158"/>
      <c r="G158"/>
      <c r="H158"/>
      <c r="I158"/>
      <c r="AA158"/>
    </row>
    <row r="159" spans="6:27" x14ac:dyDescent="0.25">
      <c r="F159"/>
      <c r="G159"/>
      <c r="H159"/>
      <c r="I159"/>
      <c r="AA159"/>
    </row>
    <row r="160" spans="6:27" x14ac:dyDescent="0.25">
      <c r="F160"/>
      <c r="G160"/>
      <c r="H160"/>
      <c r="I160"/>
      <c r="AA160"/>
    </row>
    <row r="161" spans="6:27" x14ac:dyDescent="0.25">
      <c r="F161"/>
      <c r="G161"/>
      <c r="H161"/>
      <c r="I161"/>
      <c r="AA161"/>
    </row>
    <row r="162" spans="6:27" x14ac:dyDescent="0.25">
      <c r="F162"/>
      <c r="G162"/>
      <c r="H162"/>
      <c r="I162"/>
      <c r="AA162"/>
    </row>
    <row r="163" spans="6:27" x14ac:dyDescent="0.25">
      <c r="F163"/>
      <c r="G163"/>
      <c r="H163"/>
      <c r="I163"/>
      <c r="AA163"/>
    </row>
    <row r="164" spans="6:27" x14ac:dyDescent="0.25">
      <c r="F164"/>
      <c r="G164"/>
      <c r="H164"/>
      <c r="I164"/>
      <c r="AA164"/>
    </row>
    <row r="165" spans="6:27" x14ac:dyDescent="0.25">
      <c r="F165"/>
      <c r="G165"/>
      <c r="H165"/>
      <c r="I165"/>
      <c r="AA165"/>
    </row>
    <row r="166" spans="6:27" x14ac:dyDescent="0.25">
      <c r="F166"/>
      <c r="G166"/>
      <c r="H166"/>
      <c r="I166"/>
      <c r="AA166"/>
    </row>
    <row r="167" spans="6:27" x14ac:dyDescent="0.25">
      <c r="F167"/>
      <c r="G167"/>
      <c r="H167"/>
      <c r="I167"/>
      <c r="AA167"/>
    </row>
    <row r="168" spans="6:27" x14ac:dyDescent="0.25">
      <c r="F168"/>
      <c r="G168"/>
      <c r="H168"/>
      <c r="I168"/>
      <c r="AA168"/>
    </row>
    <row r="169" spans="6:27" x14ac:dyDescent="0.25">
      <c r="F169"/>
      <c r="G169"/>
      <c r="H169"/>
      <c r="I169"/>
      <c r="AA169"/>
    </row>
    <row r="170" spans="6:27" x14ac:dyDescent="0.25">
      <c r="F170"/>
      <c r="G170"/>
      <c r="H170"/>
      <c r="I170"/>
      <c r="AA170"/>
    </row>
    <row r="171" spans="6:27" x14ac:dyDescent="0.25">
      <c r="F171"/>
      <c r="G171"/>
      <c r="H171"/>
      <c r="I171"/>
      <c r="AA171"/>
    </row>
    <row r="172" spans="6:27" x14ac:dyDescent="0.25">
      <c r="F172"/>
      <c r="G172"/>
      <c r="H172"/>
      <c r="I172"/>
      <c r="AA172"/>
    </row>
    <row r="173" spans="6:27" x14ac:dyDescent="0.25">
      <c r="F173"/>
      <c r="G173"/>
      <c r="H173"/>
      <c r="I173"/>
      <c r="AA173"/>
    </row>
    <row r="174" spans="6:27" x14ac:dyDescent="0.25">
      <c r="F174"/>
      <c r="G174"/>
      <c r="H174"/>
      <c r="I174"/>
      <c r="AA174"/>
    </row>
    <row r="175" spans="6:27" x14ac:dyDescent="0.25">
      <c r="F175"/>
      <c r="G175"/>
      <c r="H175"/>
      <c r="I175"/>
      <c r="AA175"/>
    </row>
    <row r="176" spans="6:27" x14ac:dyDescent="0.25">
      <c r="F176"/>
      <c r="G176"/>
      <c r="H176"/>
      <c r="I176"/>
      <c r="AA176"/>
    </row>
    <row r="177" spans="6:27" x14ac:dyDescent="0.25">
      <c r="F177"/>
      <c r="G177"/>
      <c r="H177"/>
      <c r="I177"/>
      <c r="AA177"/>
    </row>
    <row r="178" spans="6:27" x14ac:dyDescent="0.25">
      <c r="F178"/>
      <c r="G178"/>
      <c r="H178"/>
      <c r="I178"/>
      <c r="AA178"/>
    </row>
    <row r="179" spans="6:27" x14ac:dyDescent="0.25">
      <c r="F179"/>
      <c r="G179"/>
      <c r="H179"/>
      <c r="I179"/>
      <c r="AA179"/>
    </row>
    <row r="180" spans="6:27" x14ac:dyDescent="0.25">
      <c r="F180"/>
      <c r="G180"/>
      <c r="H180"/>
      <c r="I180"/>
      <c r="AA180"/>
    </row>
    <row r="181" spans="6:27" x14ac:dyDescent="0.25">
      <c r="F181"/>
      <c r="G181"/>
      <c r="H181"/>
      <c r="I181"/>
      <c r="AA181"/>
    </row>
    <row r="182" spans="6:27" x14ac:dyDescent="0.25">
      <c r="F182"/>
      <c r="G182"/>
      <c r="H182"/>
      <c r="I182"/>
      <c r="AA182"/>
    </row>
    <row r="183" spans="6:27" x14ac:dyDescent="0.25">
      <c r="F183"/>
      <c r="G183"/>
      <c r="H183"/>
      <c r="I183"/>
      <c r="AA183"/>
    </row>
    <row r="184" spans="6:27" x14ac:dyDescent="0.25">
      <c r="F184"/>
      <c r="G184"/>
      <c r="H184"/>
      <c r="I184"/>
      <c r="AA184"/>
    </row>
    <row r="185" spans="6:27" x14ac:dyDescent="0.25">
      <c r="F185"/>
      <c r="G185"/>
      <c r="H185"/>
      <c r="I185"/>
      <c r="AA185"/>
    </row>
    <row r="186" spans="6:27" x14ac:dyDescent="0.25">
      <c r="F186"/>
      <c r="G186"/>
      <c r="H186"/>
      <c r="I186"/>
      <c r="AA186"/>
    </row>
    <row r="187" spans="6:27" x14ac:dyDescent="0.25">
      <c r="F187"/>
      <c r="G187"/>
      <c r="H187"/>
      <c r="I187"/>
      <c r="AA187"/>
    </row>
    <row r="188" spans="6:27" x14ac:dyDescent="0.25">
      <c r="F188"/>
      <c r="G188"/>
      <c r="H188"/>
      <c r="I188"/>
      <c r="AA188"/>
    </row>
    <row r="189" spans="6:27" x14ac:dyDescent="0.25">
      <c r="F189"/>
      <c r="G189"/>
      <c r="H189"/>
      <c r="I189"/>
      <c r="AA189"/>
    </row>
    <row r="190" spans="6:27" x14ac:dyDescent="0.25">
      <c r="F190"/>
      <c r="G190"/>
      <c r="H190"/>
      <c r="I190"/>
      <c r="AA190"/>
    </row>
    <row r="191" spans="6:27" x14ac:dyDescent="0.25">
      <c r="F191"/>
      <c r="G191"/>
      <c r="H191"/>
      <c r="I191"/>
      <c r="AA191"/>
    </row>
    <row r="192" spans="6:27" x14ac:dyDescent="0.25">
      <c r="F192"/>
      <c r="G192"/>
      <c r="H192"/>
      <c r="I192"/>
      <c r="AA192"/>
    </row>
    <row r="193" spans="6:27" x14ac:dyDescent="0.25">
      <c r="F193"/>
      <c r="G193"/>
      <c r="H193"/>
      <c r="I193"/>
      <c r="AA193"/>
    </row>
    <row r="194" spans="6:27" x14ac:dyDescent="0.25">
      <c r="F194"/>
      <c r="G194"/>
      <c r="H194"/>
      <c r="I194"/>
      <c r="AA194"/>
    </row>
    <row r="195" spans="6:27" x14ac:dyDescent="0.25">
      <c r="F195"/>
      <c r="G195"/>
      <c r="H195"/>
      <c r="I195"/>
      <c r="AA195"/>
    </row>
    <row r="196" spans="6:27" x14ac:dyDescent="0.25">
      <c r="F196"/>
      <c r="G196"/>
      <c r="H196"/>
      <c r="I196"/>
      <c r="AA196"/>
    </row>
    <row r="197" spans="6:27" x14ac:dyDescent="0.25">
      <c r="F197"/>
      <c r="G197"/>
      <c r="H197"/>
      <c r="I197"/>
      <c r="AA197"/>
    </row>
    <row r="198" spans="6:27" x14ac:dyDescent="0.25">
      <c r="F198"/>
      <c r="G198"/>
      <c r="H198"/>
      <c r="I198"/>
      <c r="AA198"/>
    </row>
    <row r="199" spans="6:27" x14ac:dyDescent="0.25">
      <c r="F199"/>
      <c r="G199"/>
      <c r="H199"/>
      <c r="I199"/>
      <c r="AA199"/>
    </row>
    <row r="200" spans="6:27" x14ac:dyDescent="0.25">
      <c r="F200"/>
      <c r="G200"/>
      <c r="H200"/>
      <c r="I200"/>
      <c r="AA200"/>
    </row>
    <row r="201" spans="6:27" x14ac:dyDescent="0.25">
      <c r="F201"/>
      <c r="G201"/>
      <c r="H201"/>
      <c r="I201"/>
      <c r="AA201"/>
    </row>
    <row r="202" spans="6:27" x14ac:dyDescent="0.25">
      <c r="F202"/>
      <c r="G202"/>
      <c r="H202"/>
      <c r="I202"/>
      <c r="AA202"/>
    </row>
    <row r="203" spans="6:27" x14ac:dyDescent="0.25">
      <c r="F203"/>
      <c r="G203"/>
      <c r="H203"/>
      <c r="I203"/>
      <c r="AA203"/>
    </row>
    <row r="204" spans="6:27" x14ac:dyDescent="0.25">
      <c r="F204"/>
      <c r="G204"/>
      <c r="H204"/>
      <c r="I204"/>
      <c r="AA204"/>
    </row>
    <row r="205" spans="6:27" x14ac:dyDescent="0.25">
      <c r="F205"/>
      <c r="G205"/>
      <c r="H205"/>
      <c r="I205"/>
      <c r="AA205"/>
    </row>
    <row r="206" spans="6:27" x14ac:dyDescent="0.25">
      <c r="F206"/>
      <c r="G206"/>
      <c r="H206"/>
      <c r="I206"/>
      <c r="AA206"/>
    </row>
    <row r="207" spans="6:27" x14ac:dyDescent="0.25">
      <c r="F207"/>
      <c r="G207"/>
      <c r="H207"/>
      <c r="I207"/>
      <c r="AA207"/>
    </row>
    <row r="208" spans="6:27" x14ac:dyDescent="0.25">
      <c r="F208"/>
      <c r="G208"/>
      <c r="H208"/>
      <c r="I208"/>
      <c r="AA208"/>
    </row>
    <row r="209" spans="6:27" x14ac:dyDescent="0.25">
      <c r="F209"/>
      <c r="G209"/>
      <c r="H209"/>
      <c r="I209"/>
      <c r="AA209"/>
    </row>
    <row r="210" spans="6:27" x14ac:dyDescent="0.25">
      <c r="F210"/>
      <c r="G210"/>
      <c r="H210"/>
      <c r="I210"/>
      <c r="AA210"/>
    </row>
    <row r="211" spans="6:27" x14ac:dyDescent="0.25">
      <c r="F211"/>
      <c r="G211"/>
      <c r="H211"/>
      <c r="I211"/>
      <c r="AA211"/>
    </row>
    <row r="212" spans="6:27" x14ac:dyDescent="0.25">
      <c r="F212"/>
      <c r="G212"/>
      <c r="H212"/>
      <c r="I212"/>
      <c r="AA212"/>
    </row>
    <row r="213" spans="6:27" x14ac:dyDescent="0.25">
      <c r="F213"/>
      <c r="G213"/>
      <c r="H213"/>
      <c r="I213"/>
      <c r="AA213"/>
    </row>
    <row r="214" spans="6:27" x14ac:dyDescent="0.25">
      <c r="F214"/>
      <c r="G214"/>
      <c r="H214"/>
      <c r="I214"/>
      <c r="AA214"/>
    </row>
    <row r="215" spans="6:27" x14ac:dyDescent="0.25">
      <c r="F215"/>
      <c r="G215"/>
      <c r="H215"/>
      <c r="I215"/>
      <c r="AA215"/>
    </row>
    <row r="216" spans="6:27" x14ac:dyDescent="0.25">
      <c r="F216"/>
      <c r="G216"/>
      <c r="H216"/>
      <c r="I216"/>
      <c r="AA216"/>
    </row>
    <row r="217" spans="6:27" x14ac:dyDescent="0.25">
      <c r="F217"/>
      <c r="G217"/>
      <c r="H217"/>
      <c r="I217"/>
      <c r="AA217"/>
    </row>
    <row r="218" spans="6:27" x14ac:dyDescent="0.25">
      <c r="F218"/>
      <c r="G218"/>
      <c r="H218"/>
      <c r="I218"/>
      <c r="AA218"/>
    </row>
    <row r="219" spans="6:27" x14ac:dyDescent="0.25">
      <c r="F219"/>
      <c r="G219"/>
      <c r="H219"/>
      <c r="I219"/>
      <c r="AA219"/>
    </row>
    <row r="220" spans="6:27" x14ac:dyDescent="0.25">
      <c r="F220"/>
      <c r="G220"/>
      <c r="H220"/>
      <c r="I220"/>
      <c r="AA220"/>
    </row>
    <row r="221" spans="6:27" x14ac:dyDescent="0.25">
      <c r="F221"/>
      <c r="G221"/>
      <c r="H221"/>
      <c r="I221"/>
      <c r="AA221"/>
    </row>
    <row r="222" spans="6:27" x14ac:dyDescent="0.25">
      <c r="F222"/>
      <c r="G222"/>
      <c r="H222"/>
      <c r="I222"/>
      <c r="AA222"/>
    </row>
    <row r="223" spans="6:27" x14ac:dyDescent="0.25">
      <c r="F223"/>
      <c r="G223"/>
      <c r="H223"/>
      <c r="I223"/>
      <c r="AA223"/>
    </row>
    <row r="224" spans="6:27" x14ac:dyDescent="0.25">
      <c r="F224"/>
      <c r="G224"/>
      <c r="H224"/>
      <c r="I224"/>
      <c r="AA224"/>
    </row>
    <row r="225" spans="6:27" x14ac:dyDescent="0.25">
      <c r="F225"/>
      <c r="G225"/>
      <c r="H225"/>
      <c r="I225"/>
      <c r="AA225"/>
    </row>
    <row r="226" spans="6:27" x14ac:dyDescent="0.25">
      <c r="F226"/>
      <c r="G226"/>
      <c r="H226"/>
      <c r="I226"/>
      <c r="AA226"/>
    </row>
    <row r="227" spans="6:27" x14ac:dyDescent="0.25">
      <c r="F227"/>
      <c r="G227"/>
      <c r="H227"/>
      <c r="I227"/>
      <c r="AA227"/>
    </row>
    <row r="228" spans="6:27" x14ac:dyDescent="0.25">
      <c r="F228"/>
      <c r="G228"/>
      <c r="H228"/>
      <c r="I228"/>
      <c r="AA228"/>
    </row>
    <row r="229" spans="6:27" x14ac:dyDescent="0.25">
      <c r="F229"/>
      <c r="G229"/>
      <c r="H229"/>
      <c r="I229"/>
      <c r="AA229"/>
    </row>
    <row r="230" spans="6:27" x14ac:dyDescent="0.25">
      <c r="F230"/>
      <c r="G230"/>
      <c r="H230"/>
      <c r="I230"/>
      <c r="AA230"/>
    </row>
    <row r="231" spans="6:27" x14ac:dyDescent="0.25">
      <c r="F231"/>
      <c r="G231"/>
      <c r="H231"/>
      <c r="I231"/>
      <c r="AA231"/>
    </row>
    <row r="232" spans="6:27" x14ac:dyDescent="0.25">
      <c r="F232"/>
      <c r="G232"/>
      <c r="H232"/>
      <c r="I232"/>
      <c r="AA232"/>
    </row>
    <row r="233" spans="6:27" x14ac:dyDescent="0.25">
      <c r="F233"/>
      <c r="G233"/>
      <c r="H233"/>
      <c r="I233"/>
      <c r="AA233"/>
    </row>
    <row r="234" spans="6:27" x14ac:dyDescent="0.25">
      <c r="F234"/>
      <c r="G234"/>
      <c r="H234"/>
      <c r="I234"/>
      <c r="AA234"/>
    </row>
    <row r="235" spans="6:27" x14ac:dyDescent="0.25">
      <c r="F235"/>
      <c r="G235"/>
      <c r="H235"/>
      <c r="I235"/>
      <c r="AA235"/>
    </row>
    <row r="236" spans="6:27" x14ac:dyDescent="0.25">
      <c r="F236"/>
      <c r="G236"/>
      <c r="H236"/>
      <c r="I236"/>
      <c r="AA236"/>
    </row>
    <row r="237" spans="6:27" x14ac:dyDescent="0.25">
      <c r="F237"/>
      <c r="G237"/>
      <c r="H237"/>
      <c r="I237"/>
      <c r="AA237"/>
    </row>
    <row r="238" spans="6:27" x14ac:dyDescent="0.25">
      <c r="F238"/>
      <c r="G238"/>
      <c r="H238"/>
      <c r="I238"/>
      <c r="AA238"/>
    </row>
    <row r="239" spans="6:27" x14ac:dyDescent="0.25">
      <c r="F239"/>
      <c r="G239"/>
      <c r="H239"/>
      <c r="I239"/>
      <c r="AA239"/>
    </row>
    <row r="240" spans="6:27" x14ac:dyDescent="0.25">
      <c r="F240"/>
      <c r="G240"/>
      <c r="H240"/>
      <c r="I240"/>
      <c r="AA240"/>
    </row>
    <row r="241" spans="6:27" x14ac:dyDescent="0.25">
      <c r="F241"/>
      <c r="G241"/>
      <c r="H241"/>
      <c r="I241"/>
      <c r="AA241"/>
    </row>
    <row r="242" spans="6:27" x14ac:dyDescent="0.25">
      <c r="F242"/>
      <c r="G242"/>
      <c r="H242"/>
      <c r="I242"/>
      <c r="AA242"/>
    </row>
    <row r="243" spans="6:27" x14ac:dyDescent="0.25">
      <c r="F243"/>
      <c r="G243"/>
      <c r="H243"/>
      <c r="I243"/>
      <c r="AA243"/>
    </row>
    <row r="244" spans="6:27" x14ac:dyDescent="0.25">
      <c r="F244"/>
      <c r="G244"/>
      <c r="H244"/>
      <c r="I244"/>
      <c r="AA244"/>
    </row>
    <row r="245" spans="6:27" x14ac:dyDescent="0.25">
      <c r="F245"/>
      <c r="G245"/>
      <c r="H245"/>
      <c r="I245"/>
      <c r="AA245"/>
    </row>
    <row r="246" spans="6:27" x14ac:dyDescent="0.25">
      <c r="F246"/>
      <c r="G246"/>
      <c r="H246"/>
      <c r="I246"/>
      <c r="AA246"/>
    </row>
    <row r="247" spans="6:27" x14ac:dyDescent="0.25">
      <c r="F247"/>
      <c r="G247"/>
      <c r="H247"/>
      <c r="I247"/>
      <c r="AA247"/>
    </row>
    <row r="248" spans="6:27" x14ac:dyDescent="0.25">
      <c r="F248"/>
      <c r="G248"/>
      <c r="H248"/>
      <c r="I248"/>
      <c r="AA248"/>
    </row>
    <row r="249" spans="6:27" x14ac:dyDescent="0.25">
      <c r="F249"/>
      <c r="G249"/>
      <c r="H249"/>
      <c r="I249"/>
      <c r="AA249"/>
    </row>
    <row r="250" spans="6:27" x14ac:dyDescent="0.25">
      <c r="F250"/>
      <c r="G250"/>
      <c r="H250"/>
      <c r="I250"/>
      <c r="AA250"/>
    </row>
    <row r="251" spans="6:27" x14ac:dyDescent="0.25">
      <c r="F251"/>
      <c r="G251"/>
      <c r="H251"/>
      <c r="I251"/>
      <c r="AA251"/>
    </row>
    <row r="252" spans="6:27" x14ac:dyDescent="0.25">
      <c r="F252"/>
      <c r="G252"/>
      <c r="H252"/>
      <c r="I252"/>
      <c r="AA252"/>
    </row>
    <row r="253" spans="6:27" x14ac:dyDescent="0.25">
      <c r="F253"/>
      <c r="G253"/>
      <c r="H253"/>
      <c r="I253"/>
      <c r="AA253"/>
    </row>
    <row r="254" spans="6:27" x14ac:dyDescent="0.25">
      <c r="F254"/>
      <c r="G254"/>
      <c r="H254"/>
      <c r="I254"/>
      <c r="AA254"/>
    </row>
    <row r="255" spans="6:27" x14ac:dyDescent="0.25">
      <c r="F255"/>
      <c r="G255"/>
      <c r="H255"/>
      <c r="I255"/>
      <c r="AA255"/>
    </row>
    <row r="256" spans="6:27" x14ac:dyDescent="0.25">
      <c r="F256"/>
      <c r="G256"/>
      <c r="H256"/>
      <c r="I256"/>
      <c r="AA256"/>
    </row>
    <row r="257" spans="6:27" x14ac:dyDescent="0.25">
      <c r="F257"/>
      <c r="G257"/>
      <c r="H257"/>
      <c r="I257"/>
      <c r="AA257"/>
    </row>
    <row r="258" spans="6:27" x14ac:dyDescent="0.25">
      <c r="F258"/>
      <c r="G258"/>
      <c r="H258"/>
      <c r="I258"/>
      <c r="AA258"/>
    </row>
    <row r="259" spans="6:27" x14ac:dyDescent="0.25">
      <c r="F259"/>
      <c r="G259"/>
      <c r="H259"/>
      <c r="I259"/>
      <c r="AA259"/>
    </row>
    <row r="260" spans="6:27" x14ac:dyDescent="0.25">
      <c r="F260"/>
      <c r="G260"/>
      <c r="H260"/>
      <c r="I260"/>
      <c r="AA260"/>
    </row>
    <row r="261" spans="6:27" x14ac:dyDescent="0.25">
      <c r="F261"/>
      <c r="G261"/>
      <c r="H261"/>
      <c r="I261"/>
      <c r="AA261"/>
    </row>
    <row r="262" spans="6:27" x14ac:dyDescent="0.25">
      <c r="F262"/>
      <c r="G262"/>
      <c r="H262"/>
      <c r="I262"/>
      <c r="AA262"/>
    </row>
    <row r="263" spans="6:27" x14ac:dyDescent="0.25">
      <c r="F263"/>
      <c r="G263"/>
      <c r="H263"/>
      <c r="I263"/>
      <c r="AA263"/>
    </row>
    <row r="264" spans="6:27" x14ac:dyDescent="0.25">
      <c r="F264"/>
      <c r="G264"/>
      <c r="H264"/>
      <c r="I264"/>
      <c r="AA264"/>
    </row>
    <row r="265" spans="6:27" x14ac:dyDescent="0.25">
      <c r="F265"/>
      <c r="G265"/>
      <c r="H265"/>
      <c r="I265"/>
      <c r="AA265"/>
    </row>
    <row r="266" spans="6:27" x14ac:dyDescent="0.25">
      <c r="F266"/>
      <c r="G266"/>
      <c r="H266"/>
      <c r="I266"/>
      <c r="AA266"/>
    </row>
    <row r="267" spans="6:27" x14ac:dyDescent="0.25">
      <c r="F267"/>
      <c r="G267"/>
      <c r="H267"/>
      <c r="I267"/>
      <c r="AA267"/>
    </row>
    <row r="268" spans="6:27" x14ac:dyDescent="0.25">
      <c r="F268"/>
      <c r="G268"/>
      <c r="H268"/>
      <c r="I268"/>
      <c r="AA268"/>
    </row>
    <row r="269" spans="6:27" x14ac:dyDescent="0.25">
      <c r="F269"/>
      <c r="G269"/>
      <c r="H269"/>
      <c r="I269"/>
      <c r="AA269"/>
    </row>
    <row r="270" spans="6:27" x14ac:dyDescent="0.25">
      <c r="F270"/>
      <c r="G270"/>
      <c r="H270"/>
      <c r="I270"/>
      <c r="AA270"/>
    </row>
    <row r="271" spans="6:27" x14ac:dyDescent="0.25">
      <c r="F271"/>
      <c r="G271"/>
      <c r="H271"/>
      <c r="I271"/>
      <c r="AA271"/>
    </row>
    <row r="272" spans="6:27" x14ac:dyDescent="0.25">
      <c r="F272"/>
      <c r="G272"/>
      <c r="H272"/>
      <c r="I272"/>
      <c r="AA272"/>
    </row>
    <row r="273" spans="6:27" x14ac:dyDescent="0.25">
      <c r="F273"/>
      <c r="G273"/>
      <c r="H273"/>
      <c r="I273"/>
      <c r="AA273"/>
    </row>
    <row r="274" spans="6:27" x14ac:dyDescent="0.25">
      <c r="F274"/>
      <c r="G274"/>
      <c r="H274"/>
      <c r="I274"/>
      <c r="AA274"/>
    </row>
    <row r="275" spans="6:27" x14ac:dyDescent="0.25">
      <c r="F275"/>
      <c r="G275"/>
      <c r="H275"/>
      <c r="I275"/>
      <c r="AA275"/>
    </row>
    <row r="276" spans="6:27" x14ac:dyDescent="0.25">
      <c r="F276"/>
      <c r="G276"/>
      <c r="H276"/>
      <c r="I276"/>
      <c r="AA276"/>
    </row>
    <row r="277" spans="6:27" x14ac:dyDescent="0.25">
      <c r="F277"/>
      <c r="G277"/>
      <c r="H277"/>
      <c r="I277"/>
      <c r="AA277"/>
    </row>
    <row r="278" spans="6:27" x14ac:dyDescent="0.25">
      <c r="F278"/>
      <c r="G278"/>
      <c r="H278"/>
      <c r="I278"/>
      <c r="AA278"/>
    </row>
    <row r="279" spans="6:27" x14ac:dyDescent="0.25">
      <c r="F279"/>
      <c r="G279"/>
      <c r="H279"/>
      <c r="I279"/>
      <c r="AA279"/>
    </row>
    <row r="280" spans="6:27" x14ac:dyDescent="0.25">
      <c r="F280"/>
      <c r="G280"/>
      <c r="H280"/>
      <c r="I280"/>
      <c r="AA280"/>
    </row>
    <row r="281" spans="6:27" x14ac:dyDescent="0.25">
      <c r="F281"/>
      <c r="G281"/>
      <c r="H281"/>
      <c r="I281"/>
      <c r="AA281"/>
    </row>
    <row r="282" spans="6:27" x14ac:dyDescent="0.25">
      <c r="F282"/>
      <c r="G282"/>
      <c r="H282"/>
      <c r="I282"/>
      <c r="AA282"/>
    </row>
    <row r="283" spans="6:27" x14ac:dyDescent="0.25">
      <c r="F283"/>
      <c r="G283"/>
      <c r="H283"/>
      <c r="I283"/>
      <c r="AA283"/>
    </row>
    <row r="284" spans="6:27" x14ac:dyDescent="0.25">
      <c r="F284"/>
      <c r="G284"/>
      <c r="H284"/>
      <c r="I284"/>
      <c r="AA284"/>
    </row>
    <row r="285" spans="6:27" x14ac:dyDescent="0.25">
      <c r="F285"/>
      <c r="G285"/>
      <c r="H285"/>
      <c r="I285"/>
      <c r="AA285"/>
    </row>
    <row r="286" spans="6:27" x14ac:dyDescent="0.25">
      <c r="F286"/>
      <c r="G286"/>
      <c r="H286"/>
      <c r="I286"/>
      <c r="AA286"/>
    </row>
    <row r="287" spans="6:27" x14ac:dyDescent="0.25">
      <c r="F287"/>
      <c r="G287"/>
      <c r="H287"/>
      <c r="I287"/>
      <c r="AA287"/>
    </row>
    <row r="288" spans="6:27" x14ac:dyDescent="0.25">
      <c r="F288"/>
      <c r="G288"/>
      <c r="H288"/>
      <c r="I288"/>
      <c r="AA288"/>
    </row>
    <row r="289" spans="6:27" x14ac:dyDescent="0.25">
      <c r="F289"/>
      <c r="G289"/>
      <c r="H289"/>
      <c r="I289"/>
      <c r="AA289"/>
    </row>
    <row r="290" spans="6:27" x14ac:dyDescent="0.25">
      <c r="F290"/>
      <c r="G290"/>
      <c r="H290"/>
      <c r="I290"/>
      <c r="AA290"/>
    </row>
    <row r="291" spans="6:27" x14ac:dyDescent="0.25">
      <c r="F291"/>
      <c r="G291"/>
      <c r="H291"/>
      <c r="I291"/>
      <c r="AA291"/>
    </row>
    <row r="292" spans="6:27" x14ac:dyDescent="0.25">
      <c r="F292"/>
      <c r="G292"/>
      <c r="H292"/>
      <c r="I292"/>
      <c r="AA292"/>
    </row>
    <row r="293" spans="6:27" x14ac:dyDescent="0.25">
      <c r="F293"/>
      <c r="G293"/>
      <c r="H293"/>
      <c r="I293"/>
      <c r="AA293"/>
    </row>
    <row r="294" spans="6:27" x14ac:dyDescent="0.25">
      <c r="F294"/>
      <c r="G294"/>
      <c r="H294"/>
      <c r="I294"/>
      <c r="AA294"/>
    </row>
    <row r="295" spans="6:27" x14ac:dyDescent="0.25">
      <c r="F295"/>
      <c r="G295"/>
      <c r="H295"/>
      <c r="I295"/>
      <c r="AA295"/>
    </row>
    <row r="296" spans="6:27" x14ac:dyDescent="0.25">
      <c r="F296"/>
      <c r="G296"/>
      <c r="H296"/>
      <c r="I296"/>
      <c r="AA296"/>
    </row>
    <row r="297" spans="6:27" x14ac:dyDescent="0.25">
      <c r="F297"/>
      <c r="G297"/>
      <c r="H297"/>
      <c r="I297"/>
      <c r="AA297"/>
    </row>
    <row r="298" spans="6:27" x14ac:dyDescent="0.25">
      <c r="F298"/>
      <c r="G298"/>
      <c r="H298"/>
      <c r="I298"/>
      <c r="AA298"/>
    </row>
    <row r="299" spans="6:27" x14ac:dyDescent="0.25">
      <c r="F299"/>
      <c r="G299"/>
      <c r="H299"/>
      <c r="I299"/>
      <c r="AA299"/>
    </row>
    <row r="300" spans="6:27" x14ac:dyDescent="0.25">
      <c r="F300"/>
      <c r="G300"/>
      <c r="H300"/>
      <c r="I300"/>
      <c r="AA300"/>
    </row>
    <row r="301" spans="6:27" x14ac:dyDescent="0.25">
      <c r="F301"/>
      <c r="G301"/>
      <c r="H301"/>
      <c r="I301"/>
      <c r="AA301"/>
    </row>
    <row r="302" spans="6:27" x14ac:dyDescent="0.25">
      <c r="F302"/>
      <c r="G302"/>
      <c r="H302"/>
      <c r="I302"/>
      <c r="AA302"/>
    </row>
    <row r="303" spans="6:27" x14ac:dyDescent="0.25">
      <c r="F303"/>
      <c r="G303"/>
      <c r="H303"/>
      <c r="I303"/>
      <c r="AA303"/>
    </row>
    <row r="304" spans="6:27" x14ac:dyDescent="0.25">
      <c r="F304"/>
      <c r="G304"/>
      <c r="H304"/>
      <c r="I304"/>
      <c r="AA304"/>
    </row>
    <row r="305" spans="6:27" x14ac:dyDescent="0.25">
      <c r="F305"/>
      <c r="G305"/>
      <c r="H305"/>
      <c r="I305"/>
      <c r="AA305"/>
    </row>
    <row r="306" spans="6:27" x14ac:dyDescent="0.25">
      <c r="F306"/>
      <c r="G306"/>
      <c r="H306"/>
      <c r="I306"/>
      <c r="AA306"/>
    </row>
    <row r="307" spans="6:27" x14ac:dyDescent="0.25">
      <c r="F307"/>
      <c r="G307"/>
      <c r="H307"/>
      <c r="I307"/>
      <c r="AA307"/>
    </row>
    <row r="308" spans="6:27" x14ac:dyDescent="0.25">
      <c r="F308"/>
      <c r="G308"/>
      <c r="H308"/>
      <c r="I308"/>
      <c r="AA308"/>
    </row>
    <row r="309" spans="6:27" x14ac:dyDescent="0.25">
      <c r="F309"/>
      <c r="G309"/>
      <c r="H309"/>
      <c r="I309"/>
      <c r="AA309"/>
    </row>
    <row r="310" spans="6:27" x14ac:dyDescent="0.25">
      <c r="F310"/>
      <c r="G310"/>
      <c r="H310"/>
      <c r="I310"/>
      <c r="AA310"/>
    </row>
    <row r="311" spans="6:27" x14ac:dyDescent="0.25">
      <c r="F311"/>
      <c r="G311"/>
      <c r="H311"/>
      <c r="I311"/>
      <c r="AA311"/>
    </row>
    <row r="312" spans="6:27" x14ac:dyDescent="0.25">
      <c r="F312"/>
      <c r="G312"/>
      <c r="H312"/>
      <c r="I312"/>
      <c r="AA312"/>
    </row>
    <row r="313" spans="6:27" x14ac:dyDescent="0.25">
      <c r="F313"/>
      <c r="G313"/>
      <c r="H313"/>
      <c r="I313"/>
      <c r="AA313"/>
    </row>
    <row r="314" spans="6:27" x14ac:dyDescent="0.25">
      <c r="F314"/>
      <c r="G314"/>
      <c r="H314"/>
      <c r="I314"/>
      <c r="AA314"/>
    </row>
    <row r="315" spans="6:27" x14ac:dyDescent="0.25">
      <c r="F315"/>
      <c r="G315"/>
      <c r="H315"/>
      <c r="I315"/>
      <c r="AA315"/>
    </row>
    <row r="316" spans="6:27" x14ac:dyDescent="0.25">
      <c r="F316"/>
      <c r="G316"/>
      <c r="H316"/>
      <c r="I316"/>
      <c r="AA316"/>
    </row>
    <row r="317" spans="6:27" x14ac:dyDescent="0.25">
      <c r="F317"/>
      <c r="G317"/>
      <c r="H317"/>
      <c r="I317"/>
      <c r="AA317"/>
    </row>
    <row r="318" spans="6:27" x14ac:dyDescent="0.25">
      <c r="F318"/>
      <c r="G318"/>
      <c r="H318"/>
      <c r="I318"/>
      <c r="AA318"/>
    </row>
    <row r="319" spans="6:27" x14ac:dyDescent="0.25">
      <c r="F319"/>
      <c r="G319"/>
      <c r="H319"/>
      <c r="I319"/>
      <c r="AA319"/>
    </row>
    <row r="320" spans="6:27" x14ac:dyDescent="0.25">
      <c r="F320"/>
      <c r="G320"/>
      <c r="H320"/>
      <c r="I320"/>
      <c r="AA320"/>
    </row>
    <row r="321" spans="6:27" x14ac:dyDescent="0.25">
      <c r="F321"/>
      <c r="G321"/>
      <c r="H321"/>
      <c r="I321"/>
      <c r="AA321"/>
    </row>
    <row r="322" spans="6:27" x14ac:dyDescent="0.25">
      <c r="F322"/>
      <c r="G322"/>
      <c r="H322"/>
      <c r="I322"/>
      <c r="AA322"/>
    </row>
    <row r="323" spans="6:27" x14ac:dyDescent="0.25">
      <c r="F323"/>
      <c r="G323"/>
      <c r="H323"/>
      <c r="I323"/>
      <c r="AA323"/>
    </row>
    <row r="324" spans="6:27" x14ac:dyDescent="0.25">
      <c r="F324"/>
      <c r="G324"/>
      <c r="H324"/>
      <c r="I324"/>
      <c r="AA324"/>
    </row>
    <row r="325" spans="6:27" x14ac:dyDescent="0.25">
      <c r="F325"/>
      <c r="G325"/>
      <c r="H325"/>
      <c r="I325"/>
      <c r="AA325"/>
    </row>
    <row r="326" spans="6:27" x14ac:dyDescent="0.25">
      <c r="F326"/>
      <c r="G326"/>
      <c r="H326"/>
      <c r="I326"/>
      <c r="AA326"/>
    </row>
    <row r="327" spans="6:27" x14ac:dyDescent="0.25">
      <c r="F327"/>
      <c r="G327"/>
      <c r="H327"/>
      <c r="I327"/>
      <c r="AA327"/>
    </row>
    <row r="328" spans="6:27" x14ac:dyDescent="0.25">
      <c r="F328"/>
      <c r="G328"/>
      <c r="H328"/>
      <c r="I328"/>
      <c r="AA328"/>
    </row>
    <row r="329" spans="6:27" x14ac:dyDescent="0.25">
      <c r="F329"/>
      <c r="G329"/>
      <c r="H329"/>
      <c r="I329"/>
      <c r="AA329"/>
    </row>
    <row r="330" spans="6:27" x14ac:dyDescent="0.25">
      <c r="F330"/>
      <c r="G330"/>
      <c r="H330"/>
      <c r="I330"/>
      <c r="AA330"/>
    </row>
    <row r="331" spans="6:27" x14ac:dyDescent="0.25">
      <c r="F331"/>
      <c r="G331"/>
      <c r="H331"/>
      <c r="I331"/>
      <c r="AA331"/>
    </row>
    <row r="332" spans="6:27" x14ac:dyDescent="0.25">
      <c r="F332"/>
      <c r="G332"/>
      <c r="H332"/>
      <c r="I332"/>
      <c r="AA332"/>
    </row>
    <row r="333" spans="6:27" x14ac:dyDescent="0.25">
      <c r="F333"/>
      <c r="G333"/>
      <c r="H333"/>
      <c r="I333"/>
      <c r="AA333"/>
    </row>
    <row r="334" spans="6:27" x14ac:dyDescent="0.25">
      <c r="F334"/>
      <c r="G334"/>
      <c r="H334"/>
      <c r="I334"/>
      <c r="AA334"/>
    </row>
    <row r="335" spans="6:27" x14ac:dyDescent="0.25">
      <c r="F335"/>
      <c r="G335"/>
      <c r="H335"/>
      <c r="I335"/>
      <c r="AA335"/>
    </row>
    <row r="336" spans="6:27" x14ac:dyDescent="0.25">
      <c r="F336"/>
      <c r="G336"/>
      <c r="H336"/>
      <c r="I336"/>
      <c r="AA336"/>
    </row>
    <row r="337" spans="6:27" x14ac:dyDescent="0.25">
      <c r="F337"/>
      <c r="G337"/>
      <c r="H337"/>
      <c r="I337"/>
      <c r="AA337"/>
    </row>
    <row r="338" spans="6:27" x14ac:dyDescent="0.25">
      <c r="F338"/>
      <c r="G338"/>
      <c r="H338"/>
      <c r="I338"/>
      <c r="AA338"/>
    </row>
    <row r="339" spans="6:27" x14ac:dyDescent="0.25">
      <c r="F339"/>
      <c r="G339"/>
      <c r="H339"/>
      <c r="I339"/>
      <c r="AA339"/>
    </row>
    <row r="340" spans="6:27" x14ac:dyDescent="0.25">
      <c r="F340"/>
      <c r="G340"/>
      <c r="H340"/>
      <c r="I340"/>
      <c r="AA340"/>
    </row>
    <row r="341" spans="6:27" x14ac:dyDescent="0.25">
      <c r="F341"/>
      <c r="G341"/>
      <c r="H341"/>
      <c r="I341"/>
      <c r="AA341"/>
    </row>
    <row r="342" spans="6:27" x14ac:dyDescent="0.25">
      <c r="F342"/>
      <c r="G342"/>
      <c r="H342"/>
      <c r="I342"/>
      <c r="AA342"/>
    </row>
    <row r="343" spans="6:27" x14ac:dyDescent="0.25">
      <c r="F343"/>
      <c r="G343"/>
      <c r="H343"/>
      <c r="I343"/>
      <c r="AA343"/>
    </row>
    <row r="344" spans="6:27" x14ac:dyDescent="0.25">
      <c r="F344"/>
      <c r="G344"/>
      <c r="H344"/>
      <c r="I344"/>
      <c r="AA344"/>
    </row>
    <row r="345" spans="6:27" x14ac:dyDescent="0.25">
      <c r="F345"/>
      <c r="G345"/>
      <c r="H345"/>
      <c r="I345"/>
      <c r="AA345"/>
    </row>
    <row r="346" spans="6:27" x14ac:dyDescent="0.25">
      <c r="F346"/>
      <c r="G346"/>
      <c r="H346"/>
      <c r="I346"/>
      <c r="AA346"/>
    </row>
    <row r="347" spans="6:27" x14ac:dyDescent="0.25">
      <c r="F347"/>
      <c r="G347"/>
      <c r="H347"/>
      <c r="I347"/>
      <c r="AA347"/>
    </row>
    <row r="348" spans="6:27" x14ac:dyDescent="0.25">
      <c r="F348"/>
      <c r="G348"/>
      <c r="H348"/>
      <c r="I348"/>
      <c r="AA348"/>
    </row>
    <row r="349" spans="6:27" x14ac:dyDescent="0.25">
      <c r="F349"/>
      <c r="G349"/>
      <c r="H349"/>
      <c r="I349"/>
      <c r="AA349"/>
    </row>
    <row r="350" spans="6:27" x14ac:dyDescent="0.25">
      <c r="F350"/>
      <c r="G350"/>
      <c r="H350"/>
      <c r="I350"/>
      <c r="AA350"/>
    </row>
    <row r="351" spans="6:27" x14ac:dyDescent="0.25">
      <c r="F351"/>
      <c r="G351"/>
      <c r="H351"/>
      <c r="I351"/>
      <c r="AA351"/>
    </row>
    <row r="352" spans="6:27" x14ac:dyDescent="0.25">
      <c r="F352"/>
      <c r="G352"/>
      <c r="H352"/>
      <c r="I352"/>
      <c r="AA352"/>
    </row>
    <row r="353" spans="6:27" x14ac:dyDescent="0.25">
      <c r="F353"/>
      <c r="G353"/>
      <c r="H353"/>
      <c r="I353"/>
      <c r="AA353"/>
    </row>
    <row r="354" spans="6:27" x14ac:dyDescent="0.25">
      <c r="F354"/>
      <c r="G354"/>
      <c r="H354"/>
      <c r="I354"/>
      <c r="AA354"/>
    </row>
    <row r="355" spans="6:27" x14ac:dyDescent="0.25">
      <c r="F355"/>
      <c r="G355"/>
      <c r="H355"/>
      <c r="I355"/>
      <c r="AA355"/>
    </row>
    <row r="356" spans="6:27" x14ac:dyDescent="0.25">
      <c r="F356"/>
      <c r="G356"/>
      <c r="H356"/>
      <c r="I356"/>
      <c r="AA356"/>
    </row>
    <row r="357" spans="6:27" x14ac:dyDescent="0.25">
      <c r="F357"/>
      <c r="G357"/>
      <c r="H357"/>
      <c r="I357"/>
      <c r="AA357"/>
    </row>
    <row r="358" spans="6:27" x14ac:dyDescent="0.25">
      <c r="F358"/>
      <c r="G358"/>
      <c r="H358"/>
      <c r="I358"/>
      <c r="AA358"/>
    </row>
    <row r="359" spans="6:27" x14ac:dyDescent="0.25">
      <c r="F359"/>
      <c r="G359"/>
      <c r="H359"/>
      <c r="I359"/>
      <c r="AA359"/>
    </row>
    <row r="360" spans="6:27" x14ac:dyDescent="0.25">
      <c r="F360"/>
      <c r="G360"/>
      <c r="H360"/>
      <c r="I360"/>
      <c r="AA360"/>
    </row>
    <row r="361" spans="6:27" x14ac:dyDescent="0.25">
      <c r="F361"/>
      <c r="G361"/>
      <c r="H361"/>
      <c r="I361"/>
      <c r="AA361"/>
    </row>
    <row r="362" spans="6:27" x14ac:dyDescent="0.25">
      <c r="F362"/>
      <c r="G362"/>
      <c r="H362"/>
      <c r="I362"/>
      <c r="AA362"/>
    </row>
    <row r="363" spans="6:27" x14ac:dyDescent="0.25">
      <c r="F363"/>
      <c r="G363"/>
      <c r="H363"/>
      <c r="I363"/>
      <c r="AA363"/>
    </row>
    <row r="364" spans="6:27" x14ac:dyDescent="0.25">
      <c r="F364"/>
      <c r="G364"/>
      <c r="H364"/>
      <c r="I364"/>
      <c r="AA364"/>
    </row>
    <row r="365" spans="6:27" x14ac:dyDescent="0.25">
      <c r="F365"/>
      <c r="G365"/>
      <c r="H365"/>
      <c r="I365"/>
      <c r="AA365"/>
    </row>
    <row r="366" spans="6:27" x14ac:dyDescent="0.25">
      <c r="F366"/>
      <c r="G366"/>
      <c r="H366"/>
      <c r="I366"/>
      <c r="AA366"/>
    </row>
    <row r="367" spans="6:27" x14ac:dyDescent="0.25">
      <c r="F367"/>
      <c r="G367"/>
      <c r="H367"/>
      <c r="I367"/>
      <c r="AA367"/>
    </row>
    <row r="368" spans="6:27" x14ac:dyDescent="0.25">
      <c r="F368"/>
      <c r="G368"/>
      <c r="H368"/>
      <c r="I368"/>
      <c r="AA368"/>
    </row>
    <row r="369" spans="6:27" x14ac:dyDescent="0.25">
      <c r="F369"/>
      <c r="G369"/>
      <c r="H369"/>
      <c r="I369"/>
      <c r="AA369"/>
    </row>
    <row r="370" spans="6:27" x14ac:dyDescent="0.25">
      <c r="F370"/>
      <c r="G370"/>
      <c r="H370"/>
      <c r="I370"/>
      <c r="AA370"/>
    </row>
    <row r="371" spans="6:27" x14ac:dyDescent="0.25">
      <c r="F371"/>
      <c r="G371"/>
      <c r="H371"/>
      <c r="I371"/>
      <c r="AA371"/>
    </row>
    <row r="372" spans="6:27" x14ac:dyDescent="0.25">
      <c r="F372"/>
      <c r="G372"/>
      <c r="H372"/>
      <c r="I372"/>
      <c r="AA372"/>
    </row>
    <row r="373" spans="6:27" x14ac:dyDescent="0.25">
      <c r="F373"/>
      <c r="G373"/>
      <c r="H373"/>
      <c r="I373"/>
      <c r="AA373"/>
    </row>
    <row r="374" spans="6:27" x14ac:dyDescent="0.25">
      <c r="F374"/>
      <c r="G374"/>
      <c r="H374"/>
      <c r="I374"/>
      <c r="AA374"/>
    </row>
    <row r="375" spans="6:27" x14ac:dyDescent="0.25">
      <c r="F375"/>
      <c r="G375"/>
      <c r="H375"/>
      <c r="I375"/>
      <c r="AA375"/>
    </row>
    <row r="376" spans="6:27" x14ac:dyDescent="0.25">
      <c r="F376"/>
      <c r="G376"/>
      <c r="H376"/>
      <c r="I376"/>
      <c r="AA376"/>
    </row>
    <row r="377" spans="6:27" x14ac:dyDescent="0.25">
      <c r="F377"/>
      <c r="G377"/>
      <c r="H377"/>
      <c r="I377"/>
      <c r="AA377"/>
    </row>
    <row r="378" spans="6:27" x14ac:dyDescent="0.25">
      <c r="F378"/>
      <c r="G378"/>
      <c r="H378"/>
      <c r="I378"/>
      <c r="AA378"/>
    </row>
    <row r="379" spans="6:27" x14ac:dyDescent="0.25">
      <c r="F379"/>
      <c r="G379"/>
      <c r="H379"/>
      <c r="I379"/>
      <c r="AA379"/>
    </row>
    <row r="380" spans="6:27" x14ac:dyDescent="0.25">
      <c r="F380"/>
      <c r="G380"/>
      <c r="H380"/>
      <c r="I380"/>
      <c r="AA380"/>
    </row>
    <row r="381" spans="6:27" x14ac:dyDescent="0.25">
      <c r="F381"/>
      <c r="G381"/>
      <c r="H381"/>
      <c r="I381"/>
      <c r="AA381"/>
    </row>
    <row r="382" spans="6:27" x14ac:dyDescent="0.25">
      <c r="F382"/>
      <c r="G382"/>
      <c r="H382"/>
      <c r="I382"/>
      <c r="AA382"/>
    </row>
    <row r="383" spans="6:27" x14ac:dyDescent="0.25">
      <c r="F383"/>
      <c r="G383"/>
      <c r="H383"/>
      <c r="I383"/>
      <c r="AA383"/>
    </row>
    <row r="384" spans="6:27" x14ac:dyDescent="0.25">
      <c r="F384"/>
      <c r="G384"/>
      <c r="H384"/>
      <c r="I384"/>
      <c r="AA384"/>
    </row>
    <row r="385" spans="6:27" x14ac:dyDescent="0.25">
      <c r="F385"/>
      <c r="G385"/>
      <c r="H385"/>
      <c r="I385"/>
      <c r="AA385"/>
    </row>
    <row r="386" spans="6:27" x14ac:dyDescent="0.25">
      <c r="F386"/>
      <c r="G386"/>
      <c r="H386"/>
      <c r="I386"/>
      <c r="AA386"/>
    </row>
    <row r="387" spans="6:27" x14ac:dyDescent="0.25">
      <c r="F387"/>
      <c r="G387"/>
      <c r="H387"/>
      <c r="I387"/>
      <c r="AA387"/>
    </row>
    <row r="388" spans="6:27" x14ac:dyDescent="0.25">
      <c r="F388"/>
      <c r="G388"/>
      <c r="H388"/>
      <c r="I388"/>
      <c r="AA388"/>
    </row>
    <row r="389" spans="6:27" x14ac:dyDescent="0.25">
      <c r="F389"/>
      <c r="G389"/>
      <c r="H389"/>
      <c r="I389"/>
      <c r="AA389"/>
    </row>
    <row r="390" spans="6:27" x14ac:dyDescent="0.25">
      <c r="F390"/>
      <c r="G390"/>
      <c r="H390"/>
      <c r="I390"/>
      <c r="AA390"/>
    </row>
    <row r="391" spans="6:27" x14ac:dyDescent="0.25">
      <c r="F391"/>
      <c r="G391"/>
      <c r="H391"/>
      <c r="I391"/>
      <c r="AA391"/>
    </row>
    <row r="392" spans="6:27" x14ac:dyDescent="0.25">
      <c r="F392"/>
      <c r="G392"/>
      <c r="H392"/>
      <c r="I392"/>
      <c r="AA392"/>
    </row>
    <row r="393" spans="6:27" x14ac:dyDescent="0.25">
      <c r="F393"/>
      <c r="G393"/>
      <c r="H393"/>
      <c r="I393"/>
      <c r="AA393"/>
    </row>
    <row r="394" spans="6:27" x14ac:dyDescent="0.25">
      <c r="F394"/>
      <c r="G394"/>
      <c r="H394"/>
      <c r="I394"/>
      <c r="AA394"/>
    </row>
    <row r="395" spans="6:27" x14ac:dyDescent="0.25">
      <c r="F395"/>
      <c r="G395"/>
      <c r="H395"/>
      <c r="I395"/>
      <c r="AA395"/>
    </row>
    <row r="396" spans="6:27" x14ac:dyDescent="0.25">
      <c r="F396"/>
      <c r="G396"/>
      <c r="H396"/>
      <c r="I396"/>
      <c r="AA396"/>
    </row>
    <row r="397" spans="6:27" x14ac:dyDescent="0.25">
      <c r="F397"/>
      <c r="G397"/>
      <c r="H397"/>
      <c r="I397"/>
      <c r="AA397"/>
    </row>
    <row r="398" spans="6:27" x14ac:dyDescent="0.25">
      <c r="F398"/>
      <c r="G398"/>
      <c r="H398"/>
      <c r="I398"/>
      <c r="AA398"/>
    </row>
    <row r="399" spans="6:27" x14ac:dyDescent="0.25">
      <c r="F399"/>
      <c r="G399"/>
      <c r="H399"/>
      <c r="I399"/>
      <c r="AA399"/>
    </row>
    <row r="400" spans="6:27" x14ac:dyDescent="0.25">
      <c r="F400"/>
      <c r="G400"/>
      <c r="H400"/>
      <c r="I400"/>
      <c r="AA400"/>
    </row>
    <row r="401" spans="6:27" x14ac:dyDescent="0.25">
      <c r="F401"/>
      <c r="G401"/>
      <c r="H401"/>
      <c r="I401"/>
      <c r="AA401"/>
    </row>
    <row r="402" spans="6:27" x14ac:dyDescent="0.25">
      <c r="F402"/>
      <c r="G402"/>
      <c r="H402"/>
      <c r="I402"/>
      <c r="AA402"/>
    </row>
    <row r="403" spans="6:27" x14ac:dyDescent="0.25">
      <c r="F403"/>
      <c r="G403"/>
      <c r="H403"/>
      <c r="I403"/>
      <c r="AA403"/>
    </row>
    <row r="404" spans="6:27" x14ac:dyDescent="0.25">
      <c r="F404"/>
      <c r="G404"/>
      <c r="H404"/>
      <c r="I404"/>
      <c r="AA404"/>
    </row>
    <row r="405" spans="6:27" x14ac:dyDescent="0.25">
      <c r="F405"/>
      <c r="G405"/>
      <c r="H405"/>
      <c r="I405"/>
      <c r="AA405"/>
    </row>
    <row r="406" spans="6:27" x14ac:dyDescent="0.25">
      <c r="F406"/>
      <c r="G406"/>
      <c r="H406"/>
      <c r="I406"/>
      <c r="AA406"/>
    </row>
    <row r="407" spans="6:27" x14ac:dyDescent="0.25">
      <c r="F407"/>
      <c r="G407"/>
      <c r="H407"/>
      <c r="I407"/>
      <c r="AA407"/>
    </row>
    <row r="408" spans="6:27" x14ac:dyDescent="0.25">
      <c r="F408"/>
      <c r="G408"/>
      <c r="H408"/>
      <c r="I408"/>
      <c r="AA408"/>
    </row>
    <row r="409" spans="6:27" x14ac:dyDescent="0.25">
      <c r="F409"/>
      <c r="G409"/>
      <c r="H409"/>
      <c r="I409"/>
      <c r="AA409"/>
    </row>
    <row r="410" spans="6:27" x14ac:dyDescent="0.25">
      <c r="F410"/>
      <c r="G410"/>
      <c r="H410"/>
      <c r="I410"/>
      <c r="AA410"/>
    </row>
    <row r="411" spans="6:27" x14ac:dyDescent="0.25">
      <c r="F411"/>
      <c r="G411"/>
      <c r="H411"/>
      <c r="I411"/>
      <c r="AA411"/>
    </row>
    <row r="412" spans="6:27" x14ac:dyDescent="0.25">
      <c r="F412"/>
      <c r="G412"/>
      <c r="H412"/>
      <c r="I412"/>
      <c r="AA412"/>
    </row>
    <row r="413" spans="6:27" x14ac:dyDescent="0.25">
      <c r="F413"/>
      <c r="G413"/>
      <c r="H413"/>
      <c r="I413"/>
      <c r="AA413"/>
    </row>
    <row r="414" spans="6:27" x14ac:dyDescent="0.25">
      <c r="F414"/>
      <c r="G414"/>
      <c r="H414"/>
      <c r="I414"/>
      <c r="AA414"/>
    </row>
    <row r="415" spans="6:27" x14ac:dyDescent="0.25">
      <c r="F415"/>
      <c r="G415"/>
      <c r="H415"/>
      <c r="I415"/>
      <c r="AA415"/>
    </row>
    <row r="416" spans="6:27" x14ac:dyDescent="0.25">
      <c r="F416"/>
      <c r="G416"/>
      <c r="H416"/>
      <c r="I416"/>
      <c r="AA416"/>
    </row>
    <row r="417" spans="6:27" x14ac:dyDescent="0.25">
      <c r="F417"/>
      <c r="G417"/>
      <c r="H417"/>
      <c r="I417"/>
      <c r="AA417"/>
    </row>
    <row r="418" spans="6:27" x14ac:dyDescent="0.25">
      <c r="F418"/>
      <c r="G418"/>
      <c r="H418"/>
      <c r="I418"/>
      <c r="AA418"/>
    </row>
    <row r="419" spans="6:27" x14ac:dyDescent="0.25">
      <c r="F419"/>
      <c r="G419"/>
      <c r="H419"/>
      <c r="I419"/>
      <c r="AA419"/>
    </row>
    <row r="420" spans="6:27" x14ac:dyDescent="0.25">
      <c r="F420"/>
      <c r="G420"/>
      <c r="H420"/>
      <c r="I420"/>
      <c r="AA420"/>
    </row>
    <row r="421" spans="6:27" x14ac:dyDescent="0.25">
      <c r="F421"/>
      <c r="G421"/>
      <c r="H421"/>
      <c r="I421"/>
      <c r="AA421"/>
    </row>
    <row r="422" spans="6:27" x14ac:dyDescent="0.25">
      <c r="F422"/>
      <c r="G422"/>
      <c r="H422"/>
      <c r="I422"/>
      <c r="AA422"/>
    </row>
    <row r="423" spans="6:27" x14ac:dyDescent="0.25">
      <c r="F423"/>
      <c r="G423"/>
      <c r="H423"/>
      <c r="I423"/>
      <c r="AA423"/>
    </row>
    <row r="424" spans="6:27" x14ac:dyDescent="0.25">
      <c r="F424"/>
      <c r="G424"/>
      <c r="H424"/>
      <c r="I424"/>
      <c r="AA424"/>
    </row>
    <row r="425" spans="6:27" x14ac:dyDescent="0.25">
      <c r="F425"/>
      <c r="G425"/>
      <c r="H425"/>
      <c r="I425"/>
      <c r="AA425"/>
    </row>
    <row r="426" spans="6:27" x14ac:dyDescent="0.25">
      <c r="F426"/>
      <c r="G426"/>
      <c r="H426"/>
      <c r="I426"/>
      <c r="AA426"/>
    </row>
    <row r="427" spans="6:27" x14ac:dyDescent="0.25">
      <c r="F427"/>
      <c r="G427"/>
      <c r="H427"/>
      <c r="I427"/>
      <c r="AA427"/>
    </row>
    <row r="428" spans="6:27" x14ac:dyDescent="0.25">
      <c r="F428"/>
      <c r="G428"/>
      <c r="H428"/>
      <c r="I428"/>
      <c r="AA428"/>
    </row>
    <row r="429" spans="6:27" x14ac:dyDescent="0.25">
      <c r="F429"/>
      <c r="G429"/>
      <c r="H429"/>
      <c r="I429"/>
      <c r="AA429"/>
    </row>
    <row r="430" spans="6:27" x14ac:dyDescent="0.25">
      <c r="F430"/>
      <c r="G430"/>
      <c r="H430"/>
      <c r="I430"/>
      <c r="AA430"/>
    </row>
    <row r="431" spans="6:27" x14ac:dyDescent="0.25">
      <c r="F431"/>
      <c r="G431"/>
      <c r="H431"/>
      <c r="I431"/>
      <c r="AA431"/>
    </row>
    <row r="432" spans="6:27" x14ac:dyDescent="0.25">
      <c r="F432"/>
      <c r="G432"/>
      <c r="H432"/>
      <c r="I432"/>
      <c r="AA432"/>
    </row>
    <row r="433" spans="6:27" x14ac:dyDescent="0.25">
      <c r="F433"/>
      <c r="G433"/>
      <c r="H433"/>
      <c r="I433"/>
      <c r="AA433"/>
    </row>
    <row r="434" spans="6:27" x14ac:dyDescent="0.25">
      <c r="F434"/>
      <c r="G434"/>
      <c r="H434"/>
      <c r="I434"/>
      <c r="AA434"/>
    </row>
    <row r="435" spans="6:27" x14ac:dyDescent="0.25">
      <c r="F435"/>
      <c r="G435"/>
      <c r="H435"/>
      <c r="I435"/>
      <c r="AA435"/>
    </row>
    <row r="436" spans="6:27" x14ac:dyDescent="0.25">
      <c r="F436"/>
      <c r="G436"/>
      <c r="H436"/>
      <c r="I436"/>
      <c r="AA436"/>
    </row>
    <row r="437" spans="6:27" x14ac:dyDescent="0.25">
      <c r="F437"/>
      <c r="G437"/>
      <c r="H437"/>
      <c r="I437"/>
      <c r="AA437"/>
    </row>
    <row r="438" spans="6:27" x14ac:dyDescent="0.25">
      <c r="F438"/>
      <c r="G438"/>
      <c r="H438"/>
      <c r="I438"/>
      <c r="AA438"/>
    </row>
    <row r="439" spans="6:27" x14ac:dyDescent="0.25">
      <c r="F439"/>
      <c r="G439"/>
      <c r="H439"/>
      <c r="I439"/>
      <c r="AA439"/>
    </row>
    <row r="440" spans="6:27" x14ac:dyDescent="0.25">
      <c r="F440"/>
      <c r="G440"/>
      <c r="H440"/>
      <c r="I440"/>
      <c r="AA440"/>
    </row>
    <row r="441" spans="6:27" x14ac:dyDescent="0.25">
      <c r="F441"/>
      <c r="G441"/>
      <c r="H441"/>
      <c r="I441"/>
      <c r="AA441"/>
    </row>
    <row r="442" spans="6:27" x14ac:dyDescent="0.25">
      <c r="F442"/>
      <c r="G442"/>
      <c r="H442"/>
      <c r="I442"/>
      <c r="AA442"/>
    </row>
    <row r="443" spans="6:27" x14ac:dyDescent="0.25">
      <c r="F443"/>
      <c r="G443"/>
      <c r="H443"/>
      <c r="I443"/>
      <c r="AA443"/>
    </row>
    <row r="444" spans="6:27" x14ac:dyDescent="0.25">
      <c r="F444"/>
      <c r="G444"/>
      <c r="H444"/>
      <c r="I444"/>
      <c r="AA444"/>
    </row>
    <row r="445" spans="6:27" x14ac:dyDescent="0.25">
      <c r="F445"/>
      <c r="G445"/>
      <c r="H445"/>
      <c r="I445"/>
      <c r="AA445"/>
    </row>
    <row r="446" spans="6:27" x14ac:dyDescent="0.25">
      <c r="F446"/>
      <c r="G446"/>
      <c r="H446"/>
      <c r="I446"/>
      <c r="AA446"/>
    </row>
    <row r="447" spans="6:27" x14ac:dyDescent="0.25">
      <c r="F447"/>
      <c r="G447"/>
      <c r="H447"/>
      <c r="I447"/>
      <c r="AA447"/>
    </row>
    <row r="448" spans="6:27" x14ac:dyDescent="0.25">
      <c r="F448"/>
      <c r="G448"/>
      <c r="H448"/>
      <c r="I448"/>
      <c r="AA448"/>
    </row>
    <row r="449" spans="6:27" x14ac:dyDescent="0.25">
      <c r="F449"/>
      <c r="G449"/>
      <c r="H449"/>
      <c r="I449"/>
      <c r="AA449"/>
    </row>
    <row r="450" spans="6:27" x14ac:dyDescent="0.25">
      <c r="F450"/>
      <c r="G450"/>
      <c r="H450"/>
      <c r="I450"/>
      <c r="AA450"/>
    </row>
    <row r="451" spans="6:27" x14ac:dyDescent="0.25">
      <c r="F451"/>
      <c r="G451"/>
      <c r="H451"/>
      <c r="I451"/>
      <c r="AA451"/>
    </row>
    <row r="452" spans="6:27" x14ac:dyDescent="0.25">
      <c r="F452"/>
      <c r="G452"/>
      <c r="H452"/>
      <c r="I452"/>
      <c r="AA452"/>
    </row>
    <row r="453" spans="6:27" x14ac:dyDescent="0.25">
      <c r="F453"/>
      <c r="G453"/>
      <c r="H453"/>
      <c r="I453"/>
      <c r="AA453"/>
    </row>
    <row r="454" spans="6:27" x14ac:dyDescent="0.25">
      <c r="F454"/>
      <c r="G454"/>
      <c r="H454"/>
      <c r="I454"/>
      <c r="AA454"/>
    </row>
    <row r="455" spans="6:27" x14ac:dyDescent="0.25">
      <c r="F455"/>
      <c r="G455"/>
      <c r="H455"/>
      <c r="I455"/>
      <c r="AA455"/>
    </row>
    <row r="456" spans="6:27" x14ac:dyDescent="0.25">
      <c r="F456"/>
      <c r="G456"/>
      <c r="H456"/>
      <c r="I456"/>
      <c r="AA456"/>
    </row>
    <row r="457" spans="6:27" x14ac:dyDescent="0.25">
      <c r="F457"/>
      <c r="G457"/>
      <c r="H457"/>
      <c r="I457"/>
      <c r="AA457"/>
    </row>
    <row r="458" spans="6:27" x14ac:dyDescent="0.25">
      <c r="F458"/>
      <c r="G458"/>
      <c r="H458"/>
      <c r="I458"/>
      <c r="AA458"/>
    </row>
    <row r="459" spans="6:27" x14ac:dyDescent="0.25">
      <c r="F459"/>
      <c r="G459"/>
      <c r="H459"/>
      <c r="I459"/>
      <c r="AA459"/>
    </row>
    <row r="460" spans="6:27" x14ac:dyDescent="0.25">
      <c r="F460"/>
      <c r="G460"/>
      <c r="H460"/>
      <c r="I460"/>
      <c r="AA460"/>
    </row>
    <row r="461" spans="6:27" x14ac:dyDescent="0.25">
      <c r="F461"/>
      <c r="G461"/>
      <c r="H461"/>
      <c r="I461"/>
      <c r="AA461"/>
    </row>
    <row r="462" spans="6:27" x14ac:dyDescent="0.25">
      <c r="F462"/>
      <c r="G462"/>
      <c r="H462"/>
      <c r="I462"/>
      <c r="AA462"/>
    </row>
    <row r="463" spans="6:27" x14ac:dyDescent="0.25">
      <c r="F463"/>
      <c r="G463"/>
      <c r="H463"/>
      <c r="I463"/>
      <c r="AA463"/>
    </row>
    <row r="464" spans="6:27" x14ac:dyDescent="0.25">
      <c r="F464"/>
      <c r="G464"/>
      <c r="H464"/>
      <c r="I464"/>
      <c r="AA464"/>
    </row>
    <row r="465" spans="6:27" x14ac:dyDescent="0.25">
      <c r="F465"/>
      <c r="G465"/>
      <c r="H465"/>
      <c r="I465"/>
      <c r="AA465"/>
    </row>
    <row r="466" spans="6:27" x14ac:dyDescent="0.25">
      <c r="F466"/>
      <c r="G466"/>
      <c r="H466"/>
      <c r="I466"/>
      <c r="AA466"/>
    </row>
    <row r="467" spans="6:27" x14ac:dyDescent="0.25">
      <c r="F467"/>
      <c r="G467"/>
      <c r="H467"/>
      <c r="I467"/>
      <c r="AA467"/>
    </row>
    <row r="468" spans="6:27" x14ac:dyDescent="0.25">
      <c r="F468"/>
      <c r="G468"/>
      <c r="H468"/>
      <c r="I468"/>
      <c r="AA468"/>
    </row>
    <row r="469" spans="6:27" x14ac:dyDescent="0.25">
      <c r="F469"/>
      <c r="G469"/>
      <c r="H469"/>
      <c r="I469"/>
      <c r="AA469"/>
    </row>
    <row r="470" spans="6:27" x14ac:dyDescent="0.25">
      <c r="F470"/>
      <c r="G470"/>
      <c r="H470"/>
      <c r="I470"/>
      <c r="AA470"/>
    </row>
    <row r="471" spans="6:27" x14ac:dyDescent="0.25">
      <c r="F471"/>
      <c r="G471"/>
      <c r="H471"/>
      <c r="I471"/>
      <c r="AA471"/>
    </row>
    <row r="472" spans="6:27" x14ac:dyDescent="0.25">
      <c r="F472"/>
      <c r="G472"/>
      <c r="H472"/>
      <c r="I472"/>
      <c r="AA472"/>
    </row>
    <row r="473" spans="6:27" x14ac:dyDescent="0.25">
      <c r="F473"/>
      <c r="G473"/>
      <c r="H473"/>
      <c r="I473"/>
      <c r="AA473"/>
    </row>
    <row r="474" spans="6:27" x14ac:dyDescent="0.25">
      <c r="F474"/>
      <c r="G474"/>
      <c r="H474"/>
      <c r="I474"/>
      <c r="AA474"/>
    </row>
    <row r="475" spans="6:27" x14ac:dyDescent="0.25">
      <c r="F475"/>
      <c r="G475"/>
      <c r="H475"/>
      <c r="I475"/>
      <c r="AA475"/>
    </row>
    <row r="476" spans="6:27" x14ac:dyDescent="0.25">
      <c r="F476"/>
      <c r="G476"/>
      <c r="H476"/>
      <c r="I476"/>
      <c r="AA476"/>
    </row>
    <row r="477" spans="6:27" x14ac:dyDescent="0.25">
      <c r="F477"/>
      <c r="G477"/>
      <c r="H477"/>
      <c r="I477"/>
      <c r="AA477"/>
    </row>
    <row r="478" spans="6:27" x14ac:dyDescent="0.25">
      <c r="F478"/>
      <c r="G478"/>
      <c r="H478"/>
      <c r="I478"/>
      <c r="AA478"/>
    </row>
    <row r="479" spans="6:27" x14ac:dyDescent="0.25">
      <c r="F479"/>
      <c r="G479"/>
      <c r="H479"/>
      <c r="I479"/>
      <c r="AA479"/>
    </row>
    <row r="480" spans="6:27" x14ac:dyDescent="0.25">
      <c r="F480"/>
      <c r="G480"/>
      <c r="H480"/>
      <c r="I480"/>
      <c r="AA480"/>
    </row>
    <row r="481" spans="6:27" x14ac:dyDescent="0.25">
      <c r="F481"/>
      <c r="G481"/>
      <c r="H481"/>
      <c r="I481"/>
      <c r="AA481"/>
    </row>
    <row r="482" spans="6:27" x14ac:dyDescent="0.25">
      <c r="F482"/>
      <c r="G482"/>
      <c r="H482"/>
      <c r="I482"/>
      <c r="AA482"/>
    </row>
    <row r="483" spans="6:27" x14ac:dyDescent="0.25">
      <c r="F483"/>
      <c r="G483"/>
      <c r="H483"/>
      <c r="I483"/>
      <c r="AA483"/>
    </row>
    <row r="484" spans="6:27" x14ac:dyDescent="0.25">
      <c r="F484"/>
      <c r="G484"/>
      <c r="H484"/>
      <c r="I484"/>
      <c r="AA484"/>
    </row>
    <row r="485" spans="6:27" x14ac:dyDescent="0.25">
      <c r="F485"/>
      <c r="G485"/>
      <c r="H485"/>
      <c r="I485"/>
      <c r="AA485"/>
    </row>
    <row r="486" spans="6:27" x14ac:dyDescent="0.25">
      <c r="F486"/>
      <c r="G486"/>
      <c r="H486"/>
      <c r="I486"/>
      <c r="AA486"/>
    </row>
    <row r="487" spans="6:27" x14ac:dyDescent="0.25">
      <c r="F487"/>
      <c r="G487"/>
      <c r="H487"/>
      <c r="I487"/>
      <c r="AA487"/>
    </row>
    <row r="488" spans="6:27" x14ac:dyDescent="0.25">
      <c r="F488"/>
      <c r="G488"/>
      <c r="H488"/>
      <c r="I488"/>
      <c r="AA488"/>
    </row>
    <row r="489" spans="6:27" x14ac:dyDescent="0.25">
      <c r="F489"/>
      <c r="G489"/>
      <c r="H489"/>
      <c r="I489"/>
      <c r="AA489"/>
    </row>
    <row r="490" spans="6:27" x14ac:dyDescent="0.25">
      <c r="F490"/>
      <c r="G490"/>
      <c r="H490"/>
      <c r="I490"/>
      <c r="AA490"/>
    </row>
    <row r="491" spans="6:27" x14ac:dyDescent="0.25">
      <c r="F491"/>
      <c r="G491"/>
      <c r="H491"/>
      <c r="I491"/>
      <c r="AA491"/>
    </row>
    <row r="492" spans="6:27" x14ac:dyDescent="0.25">
      <c r="F492"/>
      <c r="G492"/>
      <c r="H492"/>
      <c r="I492"/>
      <c r="AA492"/>
    </row>
    <row r="493" spans="6:27" x14ac:dyDescent="0.25">
      <c r="F493"/>
      <c r="G493"/>
      <c r="H493"/>
      <c r="I493"/>
      <c r="AA493"/>
    </row>
    <row r="494" spans="6:27" x14ac:dyDescent="0.25">
      <c r="F494"/>
      <c r="G494"/>
      <c r="H494"/>
      <c r="I494"/>
      <c r="AA494"/>
    </row>
    <row r="495" spans="6:27" x14ac:dyDescent="0.25">
      <c r="F495"/>
      <c r="G495"/>
      <c r="H495"/>
      <c r="I495"/>
      <c r="AA495"/>
    </row>
    <row r="496" spans="6:27" x14ac:dyDescent="0.25">
      <c r="F496"/>
      <c r="G496"/>
      <c r="H496"/>
      <c r="I496"/>
      <c r="AA496"/>
    </row>
    <row r="497" spans="6:27" x14ac:dyDescent="0.25">
      <c r="F497"/>
      <c r="G497"/>
      <c r="H497"/>
      <c r="I497"/>
      <c r="AA497"/>
    </row>
    <row r="498" spans="6:27" x14ac:dyDescent="0.25">
      <c r="F498"/>
      <c r="G498"/>
      <c r="H498"/>
      <c r="I498"/>
      <c r="AA498"/>
    </row>
    <row r="499" spans="6:27" x14ac:dyDescent="0.25">
      <c r="F499"/>
      <c r="G499"/>
      <c r="H499"/>
      <c r="I499"/>
      <c r="AA499"/>
    </row>
    <row r="500" spans="6:27" x14ac:dyDescent="0.25">
      <c r="F500"/>
      <c r="G500"/>
      <c r="H500"/>
      <c r="I500"/>
      <c r="AA500"/>
    </row>
    <row r="501" spans="6:27" x14ac:dyDescent="0.25">
      <c r="F501"/>
      <c r="G501"/>
      <c r="H501"/>
      <c r="I501"/>
      <c r="AA501"/>
    </row>
    <row r="502" spans="6:27" x14ac:dyDescent="0.25">
      <c r="F502"/>
      <c r="G502"/>
      <c r="H502"/>
      <c r="I502"/>
      <c r="AA502"/>
    </row>
    <row r="503" spans="6:27" x14ac:dyDescent="0.25">
      <c r="F503"/>
      <c r="G503"/>
      <c r="H503"/>
      <c r="I503"/>
      <c r="AA503"/>
    </row>
    <row r="504" spans="6:27" x14ac:dyDescent="0.25">
      <c r="F504"/>
      <c r="G504"/>
      <c r="H504"/>
      <c r="I504"/>
      <c r="AA504"/>
    </row>
    <row r="505" spans="6:27" x14ac:dyDescent="0.25">
      <c r="F505"/>
      <c r="G505"/>
      <c r="H505"/>
      <c r="I505"/>
      <c r="AA505"/>
    </row>
    <row r="506" spans="6:27" x14ac:dyDescent="0.25">
      <c r="F506"/>
      <c r="G506"/>
      <c r="H506"/>
      <c r="I506"/>
      <c r="AA506"/>
    </row>
    <row r="507" spans="6:27" x14ac:dyDescent="0.25">
      <c r="F507"/>
      <c r="G507"/>
      <c r="H507"/>
      <c r="I507"/>
      <c r="AA507"/>
    </row>
    <row r="508" spans="6:27" x14ac:dyDescent="0.25">
      <c r="F508"/>
      <c r="G508"/>
      <c r="H508"/>
      <c r="I508"/>
      <c r="AA508"/>
    </row>
    <row r="509" spans="6:27" x14ac:dyDescent="0.25">
      <c r="F509"/>
      <c r="G509"/>
      <c r="H509"/>
      <c r="I509"/>
      <c r="AA509"/>
    </row>
    <row r="510" spans="6:27" x14ac:dyDescent="0.25">
      <c r="F510"/>
      <c r="G510"/>
      <c r="H510"/>
      <c r="I510"/>
      <c r="AA510"/>
    </row>
    <row r="511" spans="6:27" x14ac:dyDescent="0.25">
      <c r="F511"/>
      <c r="G511"/>
      <c r="H511"/>
      <c r="I511"/>
      <c r="AA511"/>
    </row>
    <row r="512" spans="6:27" x14ac:dyDescent="0.25">
      <c r="F512"/>
      <c r="G512"/>
      <c r="H512"/>
      <c r="I512"/>
      <c r="AA512"/>
    </row>
    <row r="513" spans="6:27" x14ac:dyDescent="0.25">
      <c r="F513"/>
      <c r="G513"/>
      <c r="H513"/>
      <c r="I513"/>
      <c r="AA513"/>
    </row>
    <row r="514" spans="6:27" x14ac:dyDescent="0.25">
      <c r="F514"/>
      <c r="G514"/>
      <c r="H514"/>
      <c r="I514"/>
      <c r="AA514"/>
    </row>
    <row r="515" spans="6:27" x14ac:dyDescent="0.25">
      <c r="F515"/>
      <c r="G515"/>
      <c r="H515"/>
      <c r="I515"/>
      <c r="AA515"/>
    </row>
    <row r="516" spans="6:27" x14ac:dyDescent="0.25">
      <c r="F516"/>
      <c r="G516"/>
      <c r="H516"/>
      <c r="I516"/>
      <c r="AA516"/>
    </row>
    <row r="517" spans="6:27" x14ac:dyDescent="0.25">
      <c r="F517"/>
      <c r="G517"/>
      <c r="H517"/>
      <c r="I517"/>
      <c r="AA517"/>
    </row>
    <row r="518" spans="6:27" x14ac:dyDescent="0.25">
      <c r="F518"/>
      <c r="G518"/>
      <c r="H518"/>
      <c r="I518"/>
      <c r="AA518"/>
    </row>
    <row r="519" spans="6:27" x14ac:dyDescent="0.25">
      <c r="F519"/>
      <c r="G519"/>
      <c r="H519"/>
      <c r="I519"/>
      <c r="AA519"/>
    </row>
    <row r="520" spans="6:27" x14ac:dyDescent="0.25">
      <c r="F520"/>
      <c r="G520"/>
      <c r="H520"/>
      <c r="I520"/>
      <c r="AA520"/>
    </row>
    <row r="521" spans="6:27" x14ac:dyDescent="0.25">
      <c r="F521"/>
      <c r="G521"/>
      <c r="H521"/>
      <c r="I521"/>
      <c r="AA521"/>
    </row>
    <row r="522" spans="6:27" x14ac:dyDescent="0.25">
      <c r="F522"/>
      <c r="G522"/>
      <c r="H522"/>
      <c r="I522"/>
      <c r="AA522"/>
    </row>
    <row r="523" spans="6:27" x14ac:dyDescent="0.25">
      <c r="F523"/>
      <c r="G523"/>
      <c r="H523"/>
      <c r="I523"/>
      <c r="AA523"/>
    </row>
    <row r="524" spans="6:27" x14ac:dyDescent="0.25">
      <c r="F524"/>
      <c r="G524"/>
      <c r="H524"/>
      <c r="I524"/>
      <c r="AA524"/>
    </row>
    <row r="525" spans="6:27" x14ac:dyDescent="0.25">
      <c r="F525"/>
      <c r="G525"/>
      <c r="H525"/>
      <c r="I525"/>
      <c r="AA525"/>
    </row>
    <row r="526" spans="6:27" x14ac:dyDescent="0.25">
      <c r="F526"/>
      <c r="G526"/>
      <c r="H526"/>
      <c r="I526"/>
      <c r="AA526"/>
    </row>
    <row r="527" spans="6:27" x14ac:dyDescent="0.25">
      <c r="F527"/>
      <c r="G527"/>
      <c r="H527"/>
      <c r="I527"/>
      <c r="AA527"/>
    </row>
    <row r="528" spans="6:27" x14ac:dyDescent="0.25">
      <c r="F528"/>
      <c r="G528"/>
      <c r="H528"/>
      <c r="I528"/>
      <c r="AA528"/>
    </row>
    <row r="529" spans="6:27" x14ac:dyDescent="0.25">
      <c r="F529"/>
      <c r="G529"/>
      <c r="H529"/>
      <c r="I529"/>
      <c r="AA529"/>
    </row>
    <row r="530" spans="6:27" x14ac:dyDescent="0.25">
      <c r="F530"/>
      <c r="G530"/>
      <c r="H530"/>
      <c r="I530"/>
      <c r="AA530"/>
    </row>
    <row r="531" spans="6:27" x14ac:dyDescent="0.25">
      <c r="F531"/>
      <c r="G531"/>
      <c r="H531"/>
      <c r="I531"/>
      <c r="AA531"/>
    </row>
    <row r="532" spans="6:27" x14ac:dyDescent="0.25">
      <c r="F532"/>
      <c r="G532"/>
      <c r="H532"/>
      <c r="I532"/>
      <c r="AA532"/>
    </row>
    <row r="533" spans="6:27" x14ac:dyDescent="0.25">
      <c r="F533"/>
      <c r="G533"/>
      <c r="H533"/>
      <c r="I533"/>
      <c r="AA533"/>
    </row>
    <row r="534" spans="6:27" x14ac:dyDescent="0.25">
      <c r="F534"/>
      <c r="G534"/>
      <c r="H534"/>
      <c r="I534"/>
      <c r="AA534"/>
    </row>
    <row r="535" spans="6:27" x14ac:dyDescent="0.25">
      <c r="F535"/>
      <c r="G535"/>
      <c r="H535"/>
      <c r="I535"/>
      <c r="AA535"/>
    </row>
    <row r="536" spans="6:27" x14ac:dyDescent="0.25">
      <c r="F536"/>
      <c r="G536"/>
      <c r="H536"/>
      <c r="I536"/>
      <c r="AA536"/>
    </row>
    <row r="537" spans="6:27" x14ac:dyDescent="0.25">
      <c r="F537"/>
      <c r="G537"/>
      <c r="H537"/>
      <c r="I537"/>
      <c r="AA537"/>
    </row>
    <row r="538" spans="6:27" x14ac:dyDescent="0.25">
      <c r="F538"/>
      <c r="G538"/>
      <c r="H538"/>
      <c r="I538"/>
      <c r="AA538"/>
    </row>
    <row r="539" spans="6:27" x14ac:dyDescent="0.25">
      <c r="F539"/>
      <c r="G539"/>
      <c r="H539"/>
      <c r="I539"/>
      <c r="AA539"/>
    </row>
    <row r="540" spans="6:27" x14ac:dyDescent="0.25">
      <c r="F540"/>
      <c r="G540"/>
      <c r="H540"/>
      <c r="I540"/>
      <c r="AA540"/>
    </row>
    <row r="541" spans="6:27" x14ac:dyDescent="0.25">
      <c r="F541"/>
      <c r="G541"/>
      <c r="H541"/>
      <c r="I541"/>
      <c r="AA541"/>
    </row>
    <row r="542" spans="6:27" x14ac:dyDescent="0.25">
      <c r="F542"/>
      <c r="G542"/>
      <c r="H542"/>
      <c r="I542"/>
      <c r="AA542"/>
    </row>
    <row r="543" spans="6:27" x14ac:dyDescent="0.25">
      <c r="F543"/>
      <c r="G543"/>
      <c r="H543"/>
      <c r="I543"/>
      <c r="AA543"/>
    </row>
    <row r="544" spans="6:27" x14ac:dyDescent="0.25">
      <c r="F544"/>
      <c r="G544"/>
      <c r="H544"/>
      <c r="I544"/>
      <c r="AA544"/>
    </row>
    <row r="545" spans="6:27" x14ac:dyDescent="0.25">
      <c r="F545"/>
      <c r="G545"/>
      <c r="H545"/>
      <c r="I545"/>
      <c r="AA545"/>
    </row>
    <row r="546" spans="6:27" x14ac:dyDescent="0.25">
      <c r="F546"/>
      <c r="G546"/>
      <c r="H546"/>
      <c r="I546"/>
      <c r="AA546"/>
    </row>
    <row r="547" spans="6:27" x14ac:dyDescent="0.25">
      <c r="F547"/>
      <c r="G547"/>
      <c r="H547"/>
      <c r="I547"/>
      <c r="AA547"/>
    </row>
    <row r="548" spans="6:27" x14ac:dyDescent="0.25">
      <c r="F548"/>
      <c r="G548"/>
      <c r="H548"/>
      <c r="I548"/>
      <c r="AA548"/>
    </row>
    <row r="549" spans="6:27" x14ac:dyDescent="0.25">
      <c r="F549"/>
      <c r="G549"/>
      <c r="H549"/>
      <c r="I549"/>
      <c r="AA549"/>
    </row>
    <row r="550" spans="6:27" x14ac:dyDescent="0.25">
      <c r="F550"/>
      <c r="G550"/>
      <c r="H550"/>
      <c r="I550"/>
      <c r="AA550"/>
    </row>
    <row r="551" spans="6:27" x14ac:dyDescent="0.25">
      <c r="F551"/>
      <c r="G551"/>
      <c r="H551"/>
      <c r="I551"/>
      <c r="AA551"/>
    </row>
    <row r="552" spans="6:27" x14ac:dyDescent="0.25">
      <c r="F552"/>
      <c r="G552"/>
      <c r="H552"/>
      <c r="I552"/>
      <c r="AA552"/>
    </row>
    <row r="553" spans="6:27" x14ac:dyDescent="0.25">
      <c r="F553"/>
      <c r="G553"/>
      <c r="H553"/>
      <c r="I553"/>
      <c r="AA553"/>
    </row>
    <row r="554" spans="6:27" x14ac:dyDescent="0.25">
      <c r="F554"/>
      <c r="G554"/>
      <c r="H554"/>
      <c r="I554"/>
      <c r="AA554"/>
    </row>
    <row r="555" spans="6:27" x14ac:dyDescent="0.25">
      <c r="F555"/>
      <c r="G555"/>
      <c r="H555"/>
      <c r="I555"/>
      <c r="AA555"/>
    </row>
    <row r="556" spans="6:27" x14ac:dyDescent="0.25">
      <c r="F556"/>
      <c r="G556"/>
      <c r="H556"/>
      <c r="I556"/>
      <c r="AA556"/>
    </row>
    <row r="557" spans="6:27" x14ac:dyDescent="0.25">
      <c r="F557"/>
      <c r="G557"/>
      <c r="H557"/>
      <c r="I557"/>
      <c r="AA557"/>
    </row>
    <row r="558" spans="6:27" x14ac:dyDescent="0.25">
      <c r="F558"/>
      <c r="G558"/>
      <c r="H558"/>
      <c r="I558"/>
      <c r="AA558"/>
    </row>
    <row r="559" spans="6:27" x14ac:dyDescent="0.25">
      <c r="F559"/>
      <c r="G559"/>
      <c r="H559"/>
      <c r="I559"/>
      <c r="AA559"/>
    </row>
    <row r="560" spans="6:27" x14ac:dyDescent="0.25">
      <c r="F560"/>
      <c r="G560"/>
      <c r="H560"/>
      <c r="I560"/>
      <c r="AA560"/>
    </row>
    <row r="561" spans="6:27" x14ac:dyDescent="0.25">
      <c r="F561"/>
      <c r="G561"/>
      <c r="H561"/>
      <c r="I561"/>
      <c r="AA561"/>
    </row>
    <row r="562" spans="6:27" x14ac:dyDescent="0.25">
      <c r="F562"/>
      <c r="G562"/>
      <c r="H562"/>
      <c r="I562"/>
      <c r="AA562"/>
    </row>
    <row r="563" spans="6:27" x14ac:dyDescent="0.25">
      <c r="F563"/>
      <c r="G563"/>
      <c r="H563"/>
      <c r="I563"/>
      <c r="AA563"/>
    </row>
    <row r="564" spans="6:27" x14ac:dyDescent="0.25">
      <c r="F564"/>
      <c r="G564"/>
      <c r="H564"/>
      <c r="I564"/>
      <c r="AA564"/>
    </row>
    <row r="565" spans="6:27" x14ac:dyDescent="0.25">
      <c r="F565"/>
      <c r="G565"/>
      <c r="H565"/>
      <c r="I565"/>
      <c r="AA565"/>
    </row>
    <row r="566" spans="6:27" x14ac:dyDescent="0.25">
      <c r="F566"/>
      <c r="G566"/>
      <c r="H566"/>
      <c r="I566"/>
      <c r="AA566"/>
    </row>
    <row r="567" spans="6:27" x14ac:dyDescent="0.25">
      <c r="F567"/>
      <c r="G567"/>
      <c r="H567"/>
      <c r="I567"/>
      <c r="AA567"/>
    </row>
    <row r="568" spans="6:27" x14ac:dyDescent="0.25">
      <c r="F568"/>
      <c r="G568"/>
      <c r="H568"/>
      <c r="I568"/>
      <c r="AA568"/>
    </row>
    <row r="569" spans="6:27" x14ac:dyDescent="0.25">
      <c r="F569"/>
      <c r="G569"/>
      <c r="H569"/>
      <c r="I569"/>
      <c r="AA569"/>
    </row>
    <row r="570" spans="6:27" x14ac:dyDescent="0.25">
      <c r="F570"/>
      <c r="G570"/>
      <c r="H570"/>
      <c r="I570"/>
      <c r="AA570"/>
    </row>
    <row r="571" spans="6:27" x14ac:dyDescent="0.25">
      <c r="F571"/>
      <c r="G571"/>
      <c r="H571"/>
      <c r="I571"/>
      <c r="AA571"/>
    </row>
    <row r="572" spans="6:27" x14ac:dyDescent="0.25">
      <c r="F572"/>
      <c r="G572"/>
      <c r="H572"/>
      <c r="I572"/>
      <c r="AA572"/>
    </row>
    <row r="573" spans="6:27" x14ac:dyDescent="0.25">
      <c r="F573"/>
      <c r="G573"/>
      <c r="H573"/>
      <c r="I573"/>
      <c r="AA573"/>
    </row>
    <row r="574" spans="6:27" x14ac:dyDescent="0.25">
      <c r="F574"/>
      <c r="G574"/>
      <c r="H574"/>
      <c r="I574"/>
      <c r="AA574"/>
    </row>
    <row r="575" spans="6:27" x14ac:dyDescent="0.25">
      <c r="F575"/>
      <c r="G575"/>
      <c r="H575"/>
      <c r="I575"/>
      <c r="AA575"/>
    </row>
    <row r="576" spans="6:27" x14ac:dyDescent="0.25">
      <c r="F576"/>
      <c r="G576"/>
      <c r="H576"/>
      <c r="I576"/>
      <c r="AA576"/>
    </row>
    <row r="577" spans="6:27" x14ac:dyDescent="0.25">
      <c r="F577"/>
      <c r="G577"/>
      <c r="H577"/>
      <c r="I577"/>
      <c r="AA577"/>
    </row>
    <row r="578" spans="6:27" x14ac:dyDescent="0.25">
      <c r="F578"/>
      <c r="G578"/>
      <c r="H578"/>
      <c r="I578"/>
      <c r="AA578"/>
    </row>
    <row r="579" spans="6:27" x14ac:dyDescent="0.25">
      <c r="F579"/>
      <c r="G579"/>
      <c r="H579"/>
      <c r="I579"/>
      <c r="AA579"/>
    </row>
    <row r="580" spans="6:27" x14ac:dyDescent="0.25">
      <c r="F580"/>
      <c r="G580"/>
      <c r="H580"/>
      <c r="I580"/>
      <c r="AA580"/>
    </row>
    <row r="581" spans="6:27" x14ac:dyDescent="0.25">
      <c r="F581"/>
      <c r="G581"/>
      <c r="H581"/>
      <c r="I581"/>
      <c r="AA581"/>
    </row>
    <row r="582" spans="6:27" x14ac:dyDescent="0.25">
      <c r="F582"/>
      <c r="G582"/>
      <c r="H582"/>
      <c r="I582"/>
      <c r="AA582"/>
    </row>
    <row r="583" spans="6:27" x14ac:dyDescent="0.25">
      <c r="F583"/>
      <c r="G583"/>
      <c r="H583"/>
      <c r="I583"/>
      <c r="AA583"/>
    </row>
    <row r="584" spans="6:27" x14ac:dyDescent="0.25">
      <c r="F584"/>
      <c r="G584"/>
      <c r="H584"/>
      <c r="I584"/>
      <c r="AA584"/>
    </row>
    <row r="585" spans="6:27" x14ac:dyDescent="0.25">
      <c r="F585"/>
      <c r="G585"/>
      <c r="H585"/>
      <c r="I585"/>
      <c r="AA585"/>
    </row>
    <row r="586" spans="6:27" x14ac:dyDescent="0.25">
      <c r="F586"/>
      <c r="G586"/>
      <c r="H586"/>
      <c r="I586"/>
      <c r="AA586"/>
    </row>
    <row r="587" spans="6:27" x14ac:dyDescent="0.25">
      <c r="F587"/>
      <c r="G587"/>
      <c r="H587"/>
      <c r="I587"/>
      <c r="AA587"/>
    </row>
    <row r="588" spans="6:27" x14ac:dyDescent="0.25">
      <c r="F588"/>
      <c r="G588"/>
      <c r="H588"/>
      <c r="I588"/>
      <c r="AA588"/>
    </row>
    <row r="589" spans="6:27" x14ac:dyDescent="0.25">
      <c r="F589"/>
      <c r="G589"/>
      <c r="H589"/>
      <c r="I589"/>
      <c r="AA589"/>
    </row>
    <row r="590" spans="6:27" x14ac:dyDescent="0.25">
      <c r="F590"/>
      <c r="G590"/>
      <c r="H590"/>
      <c r="I590"/>
      <c r="AA590"/>
    </row>
    <row r="591" spans="6:27" x14ac:dyDescent="0.25">
      <c r="F591"/>
      <c r="G591"/>
      <c r="H591"/>
      <c r="I591"/>
      <c r="AA591"/>
    </row>
    <row r="592" spans="6:27" x14ac:dyDescent="0.25">
      <c r="F592"/>
      <c r="G592"/>
      <c r="H592"/>
      <c r="I592"/>
      <c r="AA592"/>
    </row>
    <row r="593" spans="6:27" x14ac:dyDescent="0.25">
      <c r="F593"/>
      <c r="G593"/>
      <c r="H593"/>
      <c r="I593"/>
      <c r="AA593"/>
    </row>
    <row r="594" spans="6:27" x14ac:dyDescent="0.25">
      <c r="F594"/>
      <c r="G594"/>
      <c r="H594"/>
      <c r="I594"/>
      <c r="AA594"/>
    </row>
    <row r="595" spans="6:27" x14ac:dyDescent="0.25">
      <c r="F595"/>
      <c r="G595"/>
      <c r="H595"/>
      <c r="I595"/>
      <c r="AA595"/>
    </row>
    <row r="596" spans="6:27" x14ac:dyDescent="0.25">
      <c r="F596"/>
      <c r="G596"/>
      <c r="H596"/>
      <c r="I596"/>
      <c r="AA596"/>
    </row>
    <row r="597" spans="6:27" x14ac:dyDescent="0.25">
      <c r="F597"/>
      <c r="G597"/>
      <c r="H597"/>
      <c r="I597"/>
      <c r="AA597"/>
    </row>
    <row r="598" spans="6:27" x14ac:dyDescent="0.25">
      <c r="F598"/>
      <c r="G598"/>
      <c r="H598"/>
      <c r="I598"/>
      <c r="AA598"/>
    </row>
    <row r="599" spans="6:27" x14ac:dyDescent="0.25">
      <c r="F599"/>
      <c r="G599"/>
      <c r="H599"/>
      <c r="I599"/>
      <c r="AA599"/>
    </row>
    <row r="600" spans="6:27" x14ac:dyDescent="0.25">
      <c r="F600"/>
      <c r="G600"/>
      <c r="H600"/>
      <c r="I600"/>
      <c r="AA600"/>
    </row>
    <row r="601" spans="6:27" x14ac:dyDescent="0.25">
      <c r="F601"/>
      <c r="G601"/>
      <c r="H601"/>
      <c r="I601"/>
      <c r="AA601"/>
    </row>
    <row r="602" spans="6:27" x14ac:dyDescent="0.25">
      <c r="F602"/>
      <c r="G602"/>
      <c r="H602"/>
      <c r="I602"/>
      <c r="AA602"/>
    </row>
    <row r="603" spans="6:27" x14ac:dyDescent="0.25">
      <c r="F603"/>
      <c r="G603"/>
      <c r="H603"/>
      <c r="I603"/>
      <c r="AA603"/>
    </row>
    <row r="604" spans="6:27" x14ac:dyDescent="0.25">
      <c r="F604"/>
      <c r="G604"/>
      <c r="H604"/>
      <c r="I604"/>
      <c r="AA604"/>
    </row>
    <row r="605" spans="6:27" x14ac:dyDescent="0.25">
      <c r="F605"/>
      <c r="G605"/>
      <c r="H605"/>
      <c r="I605"/>
      <c r="AA605"/>
    </row>
    <row r="606" spans="6:27" x14ac:dyDescent="0.25">
      <c r="F606"/>
      <c r="G606"/>
      <c r="H606"/>
      <c r="I606"/>
      <c r="AA606"/>
    </row>
    <row r="607" spans="6:27" x14ac:dyDescent="0.25">
      <c r="F607"/>
      <c r="G607"/>
      <c r="H607"/>
      <c r="I607"/>
      <c r="AA607"/>
    </row>
    <row r="608" spans="6:27" x14ac:dyDescent="0.25">
      <c r="F608"/>
      <c r="G608"/>
      <c r="H608"/>
      <c r="I608"/>
      <c r="AA608"/>
    </row>
    <row r="609" spans="6:27" x14ac:dyDescent="0.25">
      <c r="F609"/>
      <c r="G609"/>
      <c r="H609"/>
      <c r="I609"/>
      <c r="AA609"/>
    </row>
    <row r="610" spans="6:27" x14ac:dyDescent="0.25">
      <c r="F610"/>
      <c r="G610"/>
      <c r="H610"/>
      <c r="I610"/>
      <c r="AA610"/>
    </row>
    <row r="611" spans="6:27" x14ac:dyDescent="0.25">
      <c r="F611"/>
      <c r="G611"/>
      <c r="H611"/>
      <c r="I611"/>
      <c r="AA611"/>
    </row>
    <row r="612" spans="6:27" x14ac:dyDescent="0.25">
      <c r="F612"/>
      <c r="G612"/>
      <c r="H612"/>
      <c r="I612"/>
      <c r="AA612"/>
    </row>
    <row r="613" spans="6:27" x14ac:dyDescent="0.25">
      <c r="F613"/>
      <c r="G613"/>
      <c r="H613"/>
      <c r="I613"/>
      <c r="AA613"/>
    </row>
    <row r="614" spans="6:27" x14ac:dyDescent="0.25">
      <c r="F614"/>
      <c r="G614"/>
      <c r="H614"/>
      <c r="I614"/>
      <c r="AA614"/>
    </row>
    <row r="615" spans="6:27" x14ac:dyDescent="0.25">
      <c r="F615"/>
      <c r="G615"/>
      <c r="H615"/>
      <c r="I615"/>
      <c r="AA615"/>
    </row>
    <row r="616" spans="6:27" x14ac:dyDescent="0.25">
      <c r="F616"/>
      <c r="G616"/>
      <c r="H616"/>
      <c r="I616"/>
      <c r="AA616"/>
    </row>
    <row r="617" spans="6:27" x14ac:dyDescent="0.25">
      <c r="F617"/>
      <c r="G617"/>
      <c r="H617"/>
      <c r="I617"/>
      <c r="AA617"/>
    </row>
    <row r="618" spans="6:27" x14ac:dyDescent="0.25">
      <c r="F618"/>
      <c r="G618"/>
      <c r="H618"/>
      <c r="I618"/>
      <c r="AA618"/>
    </row>
    <row r="619" spans="6:27" x14ac:dyDescent="0.25">
      <c r="F619"/>
      <c r="G619"/>
      <c r="H619"/>
      <c r="I619"/>
      <c r="AA619"/>
    </row>
    <row r="620" spans="6:27" x14ac:dyDescent="0.25">
      <c r="F620"/>
      <c r="G620"/>
      <c r="H620"/>
      <c r="I620"/>
      <c r="AA620"/>
    </row>
    <row r="621" spans="6:27" x14ac:dyDescent="0.25">
      <c r="F621"/>
      <c r="G621"/>
      <c r="H621"/>
      <c r="I621"/>
      <c r="AA621"/>
    </row>
    <row r="622" spans="6:27" x14ac:dyDescent="0.25">
      <c r="F622"/>
      <c r="G622"/>
      <c r="H622"/>
      <c r="I622"/>
      <c r="AA622"/>
    </row>
    <row r="623" spans="6:27" x14ac:dyDescent="0.25">
      <c r="F623"/>
      <c r="G623"/>
      <c r="H623"/>
      <c r="I623"/>
      <c r="AA623"/>
    </row>
    <row r="624" spans="6:27" x14ac:dyDescent="0.25">
      <c r="F624"/>
      <c r="G624"/>
      <c r="H624"/>
      <c r="I624"/>
      <c r="AA624"/>
    </row>
    <row r="625" spans="6:27" x14ac:dyDescent="0.25">
      <c r="F625"/>
      <c r="G625"/>
      <c r="H625"/>
      <c r="I625"/>
      <c r="AA625"/>
    </row>
    <row r="626" spans="6:27" x14ac:dyDescent="0.25">
      <c r="F626"/>
      <c r="G626"/>
      <c r="H626"/>
      <c r="I626"/>
      <c r="AA626"/>
    </row>
    <row r="627" spans="6:27" x14ac:dyDescent="0.25">
      <c r="F627"/>
      <c r="G627"/>
      <c r="H627"/>
      <c r="I627"/>
      <c r="AA627"/>
    </row>
    <row r="628" spans="6:27" x14ac:dyDescent="0.25">
      <c r="F628"/>
      <c r="G628"/>
      <c r="H628"/>
      <c r="I628"/>
      <c r="AA628"/>
    </row>
    <row r="629" spans="6:27" x14ac:dyDescent="0.25">
      <c r="F629"/>
      <c r="G629"/>
      <c r="H629"/>
      <c r="I629"/>
      <c r="AA629"/>
    </row>
    <row r="630" spans="6:27" x14ac:dyDescent="0.25">
      <c r="F630"/>
      <c r="G630"/>
      <c r="H630"/>
      <c r="I630"/>
      <c r="AA630"/>
    </row>
    <row r="631" spans="6:27" x14ac:dyDescent="0.25">
      <c r="F631"/>
      <c r="G631"/>
      <c r="H631"/>
      <c r="I631"/>
      <c r="AA631"/>
    </row>
    <row r="632" spans="6:27" x14ac:dyDescent="0.25">
      <c r="F632"/>
      <c r="G632"/>
      <c r="H632"/>
      <c r="I632"/>
      <c r="AA632"/>
    </row>
    <row r="633" spans="6:27" x14ac:dyDescent="0.25">
      <c r="F633"/>
      <c r="G633"/>
      <c r="H633"/>
      <c r="I633"/>
      <c r="AA633"/>
    </row>
    <row r="634" spans="6:27" x14ac:dyDescent="0.25">
      <c r="F634"/>
      <c r="G634"/>
      <c r="H634"/>
      <c r="I634"/>
      <c r="AA634"/>
    </row>
    <row r="635" spans="6:27" x14ac:dyDescent="0.25">
      <c r="F635"/>
      <c r="G635"/>
      <c r="H635"/>
      <c r="I635"/>
      <c r="AA635"/>
    </row>
    <row r="636" spans="6:27" x14ac:dyDescent="0.25">
      <c r="F636"/>
      <c r="G636"/>
      <c r="H636"/>
      <c r="I636"/>
      <c r="AA636"/>
    </row>
    <row r="637" spans="6:27" x14ac:dyDescent="0.25">
      <c r="F637"/>
      <c r="G637"/>
      <c r="H637"/>
      <c r="I637"/>
      <c r="AA637"/>
    </row>
    <row r="638" spans="6:27" x14ac:dyDescent="0.25">
      <c r="F638"/>
      <c r="G638"/>
      <c r="H638"/>
      <c r="I638"/>
      <c r="AA638"/>
    </row>
    <row r="639" spans="6:27" x14ac:dyDescent="0.25">
      <c r="F639"/>
      <c r="G639"/>
      <c r="H639"/>
      <c r="I639"/>
      <c r="AA639"/>
    </row>
    <row r="640" spans="6:27" x14ac:dyDescent="0.25">
      <c r="F640"/>
      <c r="G640"/>
      <c r="H640"/>
      <c r="I640"/>
      <c r="AA640"/>
    </row>
    <row r="641" spans="6:27" x14ac:dyDescent="0.25">
      <c r="F641"/>
      <c r="G641"/>
      <c r="H641"/>
      <c r="I641"/>
      <c r="AA641"/>
    </row>
    <row r="642" spans="6:27" x14ac:dyDescent="0.25">
      <c r="F642"/>
      <c r="G642"/>
      <c r="H642"/>
      <c r="I642"/>
      <c r="AA642"/>
    </row>
    <row r="643" spans="6:27" x14ac:dyDescent="0.25">
      <c r="F643"/>
      <c r="G643"/>
      <c r="H643"/>
      <c r="I643"/>
      <c r="AA643"/>
    </row>
    <row r="644" spans="6:27" x14ac:dyDescent="0.25">
      <c r="F644"/>
      <c r="G644"/>
      <c r="H644"/>
      <c r="I644"/>
      <c r="AA644"/>
    </row>
    <row r="645" spans="6:27" x14ac:dyDescent="0.25">
      <c r="F645"/>
      <c r="G645"/>
      <c r="H645"/>
      <c r="I645"/>
      <c r="AA645"/>
    </row>
    <row r="646" spans="6:27" x14ac:dyDescent="0.25">
      <c r="F646"/>
      <c r="G646"/>
      <c r="H646"/>
      <c r="I646"/>
      <c r="AA646"/>
    </row>
    <row r="647" spans="6:27" x14ac:dyDescent="0.25">
      <c r="F647"/>
      <c r="G647"/>
      <c r="H647"/>
      <c r="I647"/>
      <c r="AA647"/>
    </row>
    <row r="648" spans="6:27" x14ac:dyDescent="0.25">
      <c r="F648"/>
      <c r="G648"/>
      <c r="H648"/>
      <c r="I648"/>
      <c r="AA648"/>
    </row>
    <row r="649" spans="6:27" x14ac:dyDescent="0.25">
      <c r="F649"/>
      <c r="G649"/>
      <c r="H649"/>
      <c r="I649"/>
      <c r="AA649"/>
    </row>
    <row r="650" spans="6:27" x14ac:dyDescent="0.25">
      <c r="F650"/>
      <c r="G650"/>
      <c r="H650"/>
      <c r="I650"/>
      <c r="AA650"/>
    </row>
    <row r="651" spans="6:27" x14ac:dyDescent="0.25">
      <c r="F651"/>
      <c r="G651"/>
      <c r="H651"/>
      <c r="I651"/>
      <c r="AA651"/>
    </row>
    <row r="652" spans="6:27" x14ac:dyDescent="0.25">
      <c r="F652"/>
      <c r="G652"/>
      <c r="H652"/>
      <c r="I652"/>
      <c r="AA652"/>
    </row>
    <row r="653" spans="6:27" x14ac:dyDescent="0.25">
      <c r="F653"/>
      <c r="G653"/>
      <c r="H653"/>
      <c r="I653"/>
      <c r="AA653"/>
    </row>
    <row r="654" spans="6:27" x14ac:dyDescent="0.25">
      <c r="F654"/>
      <c r="G654"/>
      <c r="H654"/>
      <c r="I654"/>
      <c r="AA654"/>
    </row>
    <row r="655" spans="6:27" x14ac:dyDescent="0.25">
      <c r="F655"/>
      <c r="G655"/>
      <c r="H655"/>
      <c r="I655"/>
      <c r="AA655"/>
    </row>
    <row r="656" spans="6:27" x14ac:dyDescent="0.25">
      <c r="F656"/>
      <c r="G656"/>
      <c r="H656"/>
      <c r="I656"/>
      <c r="AA656"/>
    </row>
    <row r="657" spans="6:27" x14ac:dyDescent="0.25">
      <c r="F657"/>
      <c r="G657"/>
      <c r="H657"/>
      <c r="I657"/>
      <c r="AA657"/>
    </row>
    <row r="658" spans="6:27" x14ac:dyDescent="0.25">
      <c r="F658"/>
      <c r="G658"/>
      <c r="H658"/>
      <c r="I658"/>
      <c r="AA658"/>
    </row>
    <row r="659" spans="6:27" x14ac:dyDescent="0.25">
      <c r="F659"/>
      <c r="G659"/>
      <c r="H659"/>
      <c r="I659"/>
      <c r="AA659"/>
    </row>
    <row r="660" spans="6:27" x14ac:dyDescent="0.25">
      <c r="F660"/>
      <c r="G660"/>
      <c r="H660"/>
      <c r="I660"/>
      <c r="AA660"/>
    </row>
    <row r="661" spans="6:27" x14ac:dyDescent="0.25">
      <c r="F661"/>
      <c r="G661"/>
      <c r="H661"/>
      <c r="I661"/>
      <c r="AA661"/>
    </row>
    <row r="662" spans="6:27" x14ac:dyDescent="0.25">
      <c r="F662"/>
      <c r="G662"/>
      <c r="H662"/>
      <c r="I662"/>
      <c r="AA662"/>
    </row>
    <row r="663" spans="6:27" x14ac:dyDescent="0.25">
      <c r="F663"/>
      <c r="G663"/>
      <c r="H663"/>
      <c r="I663"/>
      <c r="AA663"/>
    </row>
    <row r="664" spans="6:27" x14ac:dyDescent="0.25">
      <c r="F664"/>
      <c r="G664"/>
      <c r="H664"/>
      <c r="I664"/>
      <c r="AA664"/>
    </row>
    <row r="665" spans="6:27" x14ac:dyDescent="0.25">
      <c r="F665"/>
      <c r="G665"/>
      <c r="H665"/>
      <c r="I665"/>
      <c r="AA665"/>
    </row>
    <row r="666" spans="6:27" x14ac:dyDescent="0.25">
      <c r="F666"/>
      <c r="G666"/>
      <c r="H666"/>
      <c r="I666"/>
      <c r="AA666"/>
    </row>
    <row r="667" spans="6:27" x14ac:dyDescent="0.25">
      <c r="F667"/>
      <c r="G667"/>
      <c r="H667"/>
      <c r="I667"/>
      <c r="AA667"/>
    </row>
    <row r="668" spans="6:27" x14ac:dyDescent="0.25">
      <c r="F668"/>
      <c r="G668"/>
      <c r="H668"/>
      <c r="I668"/>
      <c r="AA668"/>
    </row>
    <row r="669" spans="6:27" x14ac:dyDescent="0.25">
      <c r="F669"/>
      <c r="G669"/>
      <c r="H669"/>
      <c r="I669"/>
      <c r="AA669"/>
    </row>
    <row r="670" spans="6:27" x14ac:dyDescent="0.25">
      <c r="F670"/>
      <c r="G670"/>
      <c r="H670"/>
      <c r="I670"/>
      <c r="AA670"/>
    </row>
    <row r="671" spans="6:27" x14ac:dyDescent="0.25">
      <c r="F671"/>
      <c r="G671"/>
      <c r="H671"/>
      <c r="I671"/>
      <c r="AA671"/>
    </row>
    <row r="672" spans="6:27" x14ac:dyDescent="0.25">
      <c r="F672"/>
      <c r="G672"/>
      <c r="H672"/>
      <c r="I672"/>
      <c r="AA672"/>
    </row>
    <row r="673" spans="6:27" x14ac:dyDescent="0.25">
      <c r="F673"/>
      <c r="G673"/>
      <c r="H673"/>
      <c r="I673"/>
      <c r="AA673"/>
    </row>
    <row r="674" spans="6:27" x14ac:dyDescent="0.25">
      <c r="F674"/>
      <c r="G674"/>
      <c r="H674"/>
      <c r="I674"/>
      <c r="AA674"/>
    </row>
    <row r="675" spans="6:27" x14ac:dyDescent="0.25">
      <c r="F675"/>
      <c r="G675"/>
      <c r="H675"/>
      <c r="I675"/>
      <c r="AA675"/>
    </row>
    <row r="676" spans="6:27" x14ac:dyDescent="0.25">
      <c r="F676"/>
      <c r="G676"/>
      <c r="H676"/>
      <c r="I676"/>
      <c r="AA676"/>
    </row>
    <row r="677" spans="6:27" x14ac:dyDescent="0.25">
      <c r="F677"/>
      <c r="G677"/>
      <c r="H677"/>
      <c r="I677"/>
      <c r="AA677"/>
    </row>
    <row r="678" spans="6:27" x14ac:dyDescent="0.25">
      <c r="F678"/>
      <c r="G678"/>
      <c r="H678"/>
      <c r="I678"/>
      <c r="AA678"/>
    </row>
    <row r="679" spans="6:27" x14ac:dyDescent="0.25">
      <c r="F679"/>
      <c r="G679"/>
      <c r="H679"/>
      <c r="I679"/>
      <c r="AA679"/>
    </row>
    <row r="680" spans="6:27" x14ac:dyDescent="0.25">
      <c r="F680"/>
      <c r="G680"/>
      <c r="H680"/>
      <c r="I680"/>
      <c r="AA680"/>
    </row>
    <row r="681" spans="6:27" x14ac:dyDescent="0.25">
      <c r="F681"/>
      <c r="G681"/>
      <c r="H681"/>
      <c r="I681"/>
      <c r="AA681"/>
    </row>
    <row r="682" spans="6:27" x14ac:dyDescent="0.25">
      <c r="F682"/>
      <c r="G682"/>
      <c r="H682"/>
      <c r="I682"/>
      <c r="AA682"/>
    </row>
    <row r="683" spans="6:27" x14ac:dyDescent="0.25">
      <c r="F683"/>
      <c r="G683"/>
      <c r="H683"/>
      <c r="I683"/>
      <c r="AA683"/>
    </row>
    <row r="684" spans="6:27" x14ac:dyDescent="0.25">
      <c r="F684"/>
      <c r="G684"/>
      <c r="H684"/>
      <c r="I684"/>
      <c r="AA684"/>
    </row>
    <row r="685" spans="6:27" x14ac:dyDescent="0.25">
      <c r="F685"/>
      <c r="G685"/>
      <c r="H685"/>
      <c r="I685"/>
      <c r="AA685"/>
    </row>
    <row r="686" spans="6:27" x14ac:dyDescent="0.25">
      <c r="F686"/>
      <c r="G686"/>
      <c r="H686"/>
      <c r="I686"/>
      <c r="AA686"/>
    </row>
    <row r="687" spans="6:27" x14ac:dyDescent="0.25">
      <c r="F687"/>
      <c r="G687"/>
      <c r="H687"/>
      <c r="I687"/>
      <c r="AA687"/>
    </row>
    <row r="688" spans="6:27" x14ac:dyDescent="0.25">
      <c r="F688"/>
      <c r="G688"/>
      <c r="H688"/>
      <c r="I688"/>
      <c r="AA688"/>
    </row>
    <row r="689" spans="6:27" x14ac:dyDescent="0.25">
      <c r="F689"/>
      <c r="G689"/>
      <c r="H689"/>
      <c r="I689"/>
      <c r="AA689"/>
    </row>
    <row r="690" spans="6:27" x14ac:dyDescent="0.25">
      <c r="F690"/>
      <c r="G690"/>
      <c r="H690"/>
      <c r="I690"/>
      <c r="AA690"/>
    </row>
    <row r="691" spans="6:27" x14ac:dyDescent="0.25">
      <c r="F691"/>
      <c r="G691"/>
      <c r="H691"/>
      <c r="I691"/>
      <c r="AA691"/>
    </row>
    <row r="692" spans="6:27" x14ac:dyDescent="0.25">
      <c r="F692"/>
      <c r="G692"/>
      <c r="H692"/>
      <c r="I692"/>
      <c r="AA692"/>
    </row>
    <row r="693" spans="6:27" x14ac:dyDescent="0.25">
      <c r="F693"/>
      <c r="G693"/>
      <c r="H693"/>
      <c r="I693"/>
      <c r="AA693"/>
    </row>
    <row r="694" spans="6:27" x14ac:dyDescent="0.25">
      <c r="F694"/>
      <c r="G694"/>
      <c r="H694"/>
      <c r="I694"/>
      <c r="AA694"/>
    </row>
    <row r="695" spans="6:27" x14ac:dyDescent="0.25">
      <c r="F695"/>
      <c r="G695"/>
      <c r="H695"/>
      <c r="I695"/>
      <c r="AA695"/>
    </row>
    <row r="696" spans="6:27" x14ac:dyDescent="0.25">
      <c r="F696"/>
      <c r="G696"/>
      <c r="H696"/>
      <c r="I696"/>
      <c r="AA696"/>
    </row>
    <row r="697" spans="6:27" x14ac:dyDescent="0.25">
      <c r="F697"/>
      <c r="G697"/>
      <c r="H697"/>
      <c r="I697"/>
      <c r="AA697"/>
    </row>
    <row r="698" spans="6:27" x14ac:dyDescent="0.25">
      <c r="F698"/>
      <c r="G698"/>
      <c r="H698"/>
      <c r="I698"/>
      <c r="AA698"/>
    </row>
    <row r="699" spans="6:27" x14ac:dyDescent="0.25">
      <c r="F699"/>
      <c r="G699"/>
      <c r="H699"/>
      <c r="I699"/>
      <c r="AA699"/>
    </row>
    <row r="700" spans="6:27" x14ac:dyDescent="0.25">
      <c r="F700"/>
      <c r="G700"/>
      <c r="H700"/>
      <c r="I700"/>
      <c r="AA700"/>
    </row>
    <row r="701" spans="6:27" x14ac:dyDescent="0.25">
      <c r="F701"/>
      <c r="G701"/>
      <c r="H701"/>
      <c r="I701"/>
      <c r="AA701"/>
    </row>
    <row r="702" spans="6:27" x14ac:dyDescent="0.25">
      <c r="F702"/>
      <c r="G702"/>
      <c r="H702"/>
      <c r="I702"/>
      <c r="AA702"/>
    </row>
    <row r="703" spans="6:27" x14ac:dyDescent="0.25">
      <c r="F703"/>
      <c r="G703"/>
      <c r="H703"/>
      <c r="I703"/>
      <c r="AA703"/>
    </row>
    <row r="704" spans="6:27" x14ac:dyDescent="0.25">
      <c r="F704"/>
      <c r="G704"/>
      <c r="H704"/>
      <c r="I704"/>
      <c r="AA704"/>
    </row>
    <row r="705" spans="6:27" x14ac:dyDescent="0.25">
      <c r="F705"/>
      <c r="G705"/>
      <c r="H705"/>
      <c r="I705"/>
      <c r="AA705"/>
    </row>
    <row r="706" spans="6:27" x14ac:dyDescent="0.25">
      <c r="F706"/>
      <c r="G706"/>
      <c r="H706"/>
      <c r="I706"/>
      <c r="AA706"/>
    </row>
    <row r="707" spans="6:27" x14ac:dyDescent="0.25">
      <c r="F707"/>
      <c r="G707"/>
      <c r="H707"/>
      <c r="I707"/>
      <c r="AA707"/>
    </row>
    <row r="708" spans="6:27" x14ac:dyDescent="0.25">
      <c r="F708"/>
      <c r="G708"/>
      <c r="H708"/>
      <c r="I708"/>
      <c r="AA708"/>
    </row>
    <row r="709" spans="6:27" x14ac:dyDescent="0.25">
      <c r="F709"/>
      <c r="G709"/>
      <c r="H709"/>
      <c r="I709"/>
      <c r="AA709"/>
    </row>
    <row r="710" spans="6:27" x14ac:dyDescent="0.25">
      <c r="F710"/>
      <c r="G710"/>
      <c r="H710"/>
      <c r="I710"/>
      <c r="AA710"/>
    </row>
    <row r="711" spans="6:27" x14ac:dyDescent="0.25">
      <c r="F711"/>
      <c r="G711"/>
      <c r="H711"/>
      <c r="I711"/>
      <c r="AA711"/>
    </row>
    <row r="712" spans="6:27" x14ac:dyDescent="0.25">
      <c r="F712"/>
      <c r="G712"/>
      <c r="H712"/>
      <c r="I712"/>
      <c r="AA712"/>
    </row>
    <row r="713" spans="6:27" x14ac:dyDescent="0.25">
      <c r="F713"/>
      <c r="G713"/>
      <c r="H713"/>
      <c r="I713"/>
      <c r="AA713"/>
    </row>
    <row r="714" spans="6:27" x14ac:dyDescent="0.25">
      <c r="F714"/>
      <c r="G714"/>
      <c r="H714"/>
      <c r="I714"/>
      <c r="AA714"/>
    </row>
    <row r="715" spans="6:27" x14ac:dyDescent="0.25">
      <c r="F715"/>
      <c r="G715"/>
      <c r="H715"/>
      <c r="I715"/>
      <c r="AA715"/>
    </row>
    <row r="716" spans="6:27" x14ac:dyDescent="0.25">
      <c r="F716"/>
      <c r="G716"/>
      <c r="H716"/>
      <c r="I716"/>
      <c r="AA716"/>
    </row>
    <row r="717" spans="6:27" x14ac:dyDescent="0.25">
      <c r="F717"/>
      <c r="G717"/>
      <c r="H717"/>
      <c r="I717"/>
      <c r="AA717"/>
    </row>
    <row r="718" spans="6:27" x14ac:dyDescent="0.25">
      <c r="F718"/>
      <c r="G718"/>
      <c r="H718"/>
      <c r="I718"/>
      <c r="AA718"/>
    </row>
    <row r="719" spans="6:27" x14ac:dyDescent="0.25">
      <c r="F719"/>
      <c r="G719"/>
      <c r="H719"/>
      <c r="I719"/>
      <c r="AA719"/>
    </row>
    <row r="720" spans="6:27" x14ac:dyDescent="0.25">
      <c r="F720"/>
      <c r="G720"/>
      <c r="H720"/>
      <c r="I720"/>
      <c r="AA720"/>
    </row>
    <row r="721" spans="6:27" x14ac:dyDescent="0.25">
      <c r="F721"/>
      <c r="G721"/>
      <c r="H721"/>
      <c r="I721"/>
      <c r="AA721"/>
    </row>
    <row r="722" spans="6:27" x14ac:dyDescent="0.25">
      <c r="F722"/>
      <c r="G722"/>
      <c r="H722"/>
      <c r="I722"/>
      <c r="AA722"/>
    </row>
    <row r="723" spans="6:27" x14ac:dyDescent="0.25">
      <c r="F723"/>
      <c r="G723"/>
      <c r="H723"/>
      <c r="I723"/>
      <c r="AA723"/>
    </row>
    <row r="724" spans="6:27" x14ac:dyDescent="0.25">
      <c r="F724"/>
      <c r="G724"/>
      <c r="H724"/>
      <c r="I724"/>
      <c r="AA724"/>
    </row>
    <row r="725" spans="6:27" x14ac:dyDescent="0.25">
      <c r="F725"/>
      <c r="G725"/>
      <c r="H725"/>
      <c r="I725"/>
      <c r="AA725"/>
    </row>
    <row r="726" spans="6:27" x14ac:dyDescent="0.25">
      <c r="F726"/>
      <c r="G726"/>
      <c r="H726"/>
      <c r="I726"/>
      <c r="AA726"/>
    </row>
    <row r="727" spans="6:27" x14ac:dyDescent="0.25">
      <c r="F727"/>
      <c r="G727"/>
      <c r="H727"/>
      <c r="I727"/>
      <c r="AA727"/>
    </row>
    <row r="728" spans="6:27" x14ac:dyDescent="0.25">
      <c r="F728"/>
      <c r="G728"/>
      <c r="H728"/>
      <c r="I728"/>
      <c r="AA728"/>
    </row>
    <row r="729" spans="6:27" x14ac:dyDescent="0.25">
      <c r="F729"/>
      <c r="G729"/>
      <c r="H729"/>
      <c r="I729"/>
      <c r="AA729"/>
    </row>
    <row r="730" spans="6:27" x14ac:dyDescent="0.25">
      <c r="F730"/>
      <c r="G730"/>
      <c r="H730"/>
      <c r="I730"/>
      <c r="AA730"/>
    </row>
    <row r="731" spans="6:27" x14ac:dyDescent="0.25">
      <c r="F731"/>
      <c r="G731"/>
      <c r="H731"/>
      <c r="I731"/>
      <c r="AA731"/>
    </row>
    <row r="732" spans="6:27" x14ac:dyDescent="0.25">
      <c r="F732"/>
      <c r="G732"/>
      <c r="H732"/>
      <c r="I732"/>
      <c r="AA732"/>
    </row>
    <row r="733" spans="6:27" x14ac:dyDescent="0.25">
      <c r="F733"/>
      <c r="G733"/>
      <c r="H733"/>
      <c r="I733"/>
      <c r="AA733"/>
    </row>
    <row r="734" spans="6:27" x14ac:dyDescent="0.25">
      <c r="F734"/>
      <c r="G734"/>
      <c r="H734"/>
      <c r="I734"/>
      <c r="AA734"/>
    </row>
    <row r="735" spans="6:27" x14ac:dyDescent="0.25">
      <c r="F735"/>
      <c r="G735"/>
      <c r="H735"/>
      <c r="I735"/>
      <c r="AA735"/>
    </row>
    <row r="736" spans="6:27" x14ac:dyDescent="0.25">
      <c r="F736"/>
      <c r="G736"/>
      <c r="H736"/>
      <c r="I736"/>
      <c r="AA736"/>
    </row>
    <row r="737" spans="6:27" x14ac:dyDescent="0.25">
      <c r="F737"/>
      <c r="G737"/>
      <c r="H737"/>
      <c r="I737"/>
      <c r="AA737"/>
    </row>
    <row r="738" spans="6:27" x14ac:dyDescent="0.25">
      <c r="F738"/>
      <c r="G738"/>
      <c r="H738"/>
      <c r="I738"/>
      <c r="AA738"/>
    </row>
    <row r="739" spans="6:27" x14ac:dyDescent="0.25">
      <c r="F739"/>
      <c r="G739"/>
      <c r="H739"/>
      <c r="I739"/>
      <c r="AA739"/>
    </row>
    <row r="740" spans="6:27" x14ac:dyDescent="0.25">
      <c r="F740"/>
      <c r="G740"/>
      <c r="H740"/>
      <c r="I740"/>
      <c r="AA740"/>
    </row>
    <row r="741" spans="6:27" x14ac:dyDescent="0.25">
      <c r="F741"/>
      <c r="G741"/>
      <c r="H741"/>
      <c r="I741"/>
      <c r="AA741"/>
    </row>
    <row r="742" spans="6:27" x14ac:dyDescent="0.25">
      <c r="F742"/>
      <c r="G742"/>
      <c r="H742"/>
      <c r="I742"/>
      <c r="AA742"/>
    </row>
    <row r="743" spans="6:27" x14ac:dyDescent="0.25">
      <c r="F743"/>
      <c r="G743"/>
      <c r="H743"/>
      <c r="I743"/>
      <c r="AA743"/>
    </row>
    <row r="744" spans="6:27" x14ac:dyDescent="0.25">
      <c r="F744"/>
      <c r="G744"/>
      <c r="H744"/>
      <c r="I744"/>
      <c r="AA744"/>
    </row>
    <row r="745" spans="6:27" x14ac:dyDescent="0.25">
      <c r="F745"/>
      <c r="G745"/>
      <c r="H745"/>
      <c r="I745"/>
      <c r="AA745"/>
    </row>
    <row r="746" spans="6:27" x14ac:dyDescent="0.25">
      <c r="F746"/>
      <c r="G746"/>
      <c r="H746"/>
      <c r="I746"/>
      <c r="AA746"/>
    </row>
    <row r="747" spans="6:27" x14ac:dyDescent="0.25">
      <c r="F747"/>
      <c r="G747"/>
      <c r="H747"/>
      <c r="I747"/>
      <c r="AA747"/>
    </row>
    <row r="748" spans="6:27" x14ac:dyDescent="0.25">
      <c r="F748"/>
      <c r="G748"/>
      <c r="H748"/>
      <c r="I748"/>
      <c r="AA748"/>
    </row>
    <row r="749" spans="6:27" x14ac:dyDescent="0.25">
      <c r="F749"/>
      <c r="G749"/>
      <c r="H749"/>
      <c r="I749"/>
      <c r="AA749"/>
    </row>
    <row r="750" spans="6:27" x14ac:dyDescent="0.25">
      <c r="F750"/>
      <c r="G750"/>
      <c r="H750"/>
      <c r="I750"/>
      <c r="AA750"/>
    </row>
    <row r="751" spans="6:27" x14ac:dyDescent="0.25">
      <c r="F751"/>
      <c r="G751"/>
      <c r="H751"/>
      <c r="I751"/>
      <c r="AA751"/>
    </row>
    <row r="752" spans="6:27" x14ac:dyDescent="0.25">
      <c r="F752"/>
      <c r="G752"/>
      <c r="H752"/>
      <c r="I752"/>
      <c r="AA752"/>
    </row>
    <row r="753" spans="6:27" x14ac:dyDescent="0.25">
      <c r="F753"/>
      <c r="G753"/>
      <c r="H753"/>
      <c r="I753"/>
      <c r="AA753"/>
    </row>
    <row r="754" spans="6:27" x14ac:dyDescent="0.25">
      <c r="F754"/>
      <c r="G754"/>
      <c r="H754"/>
      <c r="I754"/>
      <c r="AA754"/>
    </row>
    <row r="755" spans="6:27" x14ac:dyDescent="0.25">
      <c r="F755"/>
      <c r="G755"/>
      <c r="H755"/>
      <c r="I755"/>
      <c r="AA755"/>
    </row>
    <row r="756" spans="6:27" x14ac:dyDescent="0.25">
      <c r="F756"/>
      <c r="G756"/>
      <c r="H756"/>
      <c r="I756"/>
      <c r="AA756"/>
    </row>
    <row r="757" spans="6:27" x14ac:dyDescent="0.25">
      <c r="F757"/>
      <c r="G757"/>
      <c r="H757"/>
      <c r="I757"/>
      <c r="AA757"/>
    </row>
    <row r="758" spans="6:27" x14ac:dyDescent="0.25">
      <c r="F758"/>
      <c r="G758"/>
      <c r="H758"/>
      <c r="I758"/>
      <c r="AA758"/>
    </row>
    <row r="759" spans="6:27" x14ac:dyDescent="0.25">
      <c r="F759"/>
      <c r="G759"/>
      <c r="H759"/>
      <c r="I759"/>
      <c r="AA759"/>
    </row>
    <row r="760" spans="6:27" x14ac:dyDescent="0.25">
      <c r="F760"/>
      <c r="G760"/>
      <c r="H760"/>
      <c r="I760"/>
      <c r="AA760"/>
    </row>
    <row r="761" spans="6:27" x14ac:dyDescent="0.25">
      <c r="F761"/>
      <c r="G761"/>
      <c r="H761"/>
      <c r="I761"/>
      <c r="AA761"/>
    </row>
    <row r="762" spans="6:27" x14ac:dyDescent="0.25">
      <c r="F762"/>
      <c r="G762"/>
      <c r="H762"/>
      <c r="I762"/>
      <c r="AA762"/>
    </row>
    <row r="763" spans="6:27" x14ac:dyDescent="0.25">
      <c r="F763"/>
      <c r="G763"/>
      <c r="H763"/>
      <c r="I763"/>
      <c r="AA763"/>
    </row>
    <row r="764" spans="6:27" x14ac:dyDescent="0.25">
      <c r="F764"/>
      <c r="G764"/>
      <c r="H764"/>
      <c r="I764"/>
      <c r="AA764"/>
    </row>
    <row r="765" spans="6:27" x14ac:dyDescent="0.25">
      <c r="F765"/>
      <c r="G765"/>
      <c r="H765"/>
      <c r="I765"/>
      <c r="AA765"/>
    </row>
    <row r="766" spans="6:27" x14ac:dyDescent="0.25">
      <c r="F766"/>
      <c r="G766"/>
      <c r="H766"/>
      <c r="I766"/>
      <c r="AA766"/>
    </row>
    <row r="767" spans="6:27" x14ac:dyDescent="0.25">
      <c r="F767"/>
      <c r="G767"/>
      <c r="H767"/>
      <c r="I767"/>
      <c r="AA767"/>
    </row>
    <row r="768" spans="6:27" x14ac:dyDescent="0.25">
      <c r="F768"/>
      <c r="G768"/>
      <c r="H768"/>
      <c r="I768"/>
      <c r="AA768"/>
    </row>
    <row r="769" spans="6:27" x14ac:dyDescent="0.25">
      <c r="F769"/>
      <c r="G769"/>
      <c r="H769"/>
      <c r="I769"/>
      <c r="AA769"/>
    </row>
    <row r="770" spans="6:27" x14ac:dyDescent="0.25">
      <c r="F770"/>
      <c r="G770"/>
      <c r="H770"/>
      <c r="I770"/>
      <c r="AA770"/>
    </row>
    <row r="771" spans="6:27" x14ac:dyDescent="0.25">
      <c r="F771"/>
      <c r="G771"/>
      <c r="H771"/>
      <c r="I771"/>
      <c r="AA771"/>
    </row>
    <row r="772" spans="6:27" x14ac:dyDescent="0.25">
      <c r="F772"/>
      <c r="G772"/>
      <c r="H772"/>
      <c r="I772"/>
      <c r="AA772"/>
    </row>
    <row r="773" spans="6:27" x14ac:dyDescent="0.25">
      <c r="F773"/>
      <c r="G773"/>
      <c r="H773"/>
      <c r="I773"/>
      <c r="AA773"/>
    </row>
    <row r="774" spans="6:27" x14ac:dyDescent="0.25">
      <c r="F774"/>
      <c r="G774"/>
      <c r="H774"/>
      <c r="I774"/>
      <c r="AA774"/>
    </row>
    <row r="775" spans="6:27" x14ac:dyDescent="0.25">
      <c r="F775"/>
      <c r="G775"/>
      <c r="H775"/>
      <c r="I775"/>
      <c r="AA775"/>
    </row>
    <row r="776" spans="6:27" x14ac:dyDescent="0.25">
      <c r="F776"/>
      <c r="G776"/>
      <c r="H776"/>
      <c r="I776"/>
      <c r="AA776"/>
    </row>
    <row r="777" spans="6:27" x14ac:dyDescent="0.25">
      <c r="F777"/>
      <c r="G777"/>
      <c r="H777"/>
      <c r="I777"/>
      <c r="AA777"/>
    </row>
    <row r="778" spans="6:27" x14ac:dyDescent="0.25">
      <c r="F778"/>
      <c r="G778"/>
      <c r="H778"/>
      <c r="I778"/>
      <c r="AA778"/>
    </row>
    <row r="779" spans="6:27" x14ac:dyDescent="0.25">
      <c r="F779"/>
      <c r="G779"/>
      <c r="H779"/>
      <c r="I779"/>
      <c r="AA779"/>
    </row>
    <row r="780" spans="6:27" x14ac:dyDescent="0.25">
      <c r="F780"/>
      <c r="G780"/>
      <c r="H780"/>
      <c r="I780"/>
      <c r="AA780"/>
    </row>
    <row r="781" spans="6:27" x14ac:dyDescent="0.25">
      <c r="F781"/>
      <c r="G781"/>
      <c r="H781"/>
      <c r="I781"/>
      <c r="AA781"/>
    </row>
    <row r="782" spans="6:27" x14ac:dyDescent="0.25">
      <c r="F782"/>
      <c r="G782"/>
      <c r="H782"/>
      <c r="I782"/>
      <c r="AA782"/>
    </row>
    <row r="783" spans="6:27" x14ac:dyDescent="0.25">
      <c r="F783"/>
      <c r="G783"/>
      <c r="H783"/>
      <c r="I783"/>
      <c r="AA783"/>
    </row>
    <row r="784" spans="6:27" x14ac:dyDescent="0.25">
      <c r="F784"/>
      <c r="G784"/>
      <c r="H784"/>
      <c r="I784"/>
      <c r="AA784"/>
    </row>
    <row r="785" spans="6:27" x14ac:dyDescent="0.25">
      <c r="F785"/>
      <c r="G785"/>
      <c r="H785"/>
      <c r="I785"/>
      <c r="AA785"/>
    </row>
    <row r="786" spans="6:27" x14ac:dyDescent="0.25">
      <c r="F786"/>
      <c r="G786"/>
      <c r="H786"/>
      <c r="I786"/>
      <c r="AA786"/>
    </row>
    <row r="787" spans="6:27" x14ac:dyDescent="0.25">
      <c r="F787"/>
      <c r="G787"/>
      <c r="H787"/>
      <c r="I787"/>
      <c r="AA787"/>
    </row>
    <row r="788" spans="6:27" x14ac:dyDescent="0.25">
      <c r="F788"/>
      <c r="G788"/>
      <c r="H788"/>
      <c r="I788"/>
      <c r="AA788"/>
    </row>
    <row r="789" spans="6:27" x14ac:dyDescent="0.25">
      <c r="F789"/>
      <c r="G789"/>
      <c r="H789"/>
      <c r="I789"/>
      <c r="AA789"/>
    </row>
    <row r="790" spans="6:27" x14ac:dyDescent="0.25">
      <c r="F790"/>
      <c r="G790"/>
      <c r="H790"/>
      <c r="I790"/>
      <c r="AA790"/>
    </row>
    <row r="791" spans="6:27" x14ac:dyDescent="0.25">
      <c r="F791"/>
      <c r="G791"/>
      <c r="H791"/>
      <c r="I791"/>
      <c r="AA791"/>
    </row>
    <row r="792" spans="6:27" x14ac:dyDescent="0.25">
      <c r="F792"/>
      <c r="G792"/>
      <c r="H792"/>
      <c r="I792"/>
      <c r="AA792"/>
    </row>
    <row r="793" spans="6:27" x14ac:dyDescent="0.25">
      <c r="F793"/>
      <c r="G793"/>
      <c r="H793"/>
      <c r="I793"/>
      <c r="AA793"/>
    </row>
    <row r="794" spans="6:27" x14ac:dyDescent="0.25">
      <c r="F794"/>
      <c r="G794"/>
      <c r="H794"/>
      <c r="I794"/>
      <c r="AA794"/>
    </row>
    <row r="795" spans="6:27" x14ac:dyDescent="0.25">
      <c r="F795"/>
      <c r="G795"/>
      <c r="H795"/>
      <c r="I795"/>
      <c r="AA795"/>
    </row>
    <row r="796" spans="6:27" x14ac:dyDescent="0.25">
      <c r="F796"/>
      <c r="G796"/>
      <c r="H796"/>
      <c r="I796"/>
      <c r="AA796"/>
    </row>
    <row r="797" spans="6:27" x14ac:dyDescent="0.25">
      <c r="F797"/>
      <c r="G797"/>
      <c r="H797"/>
      <c r="I797"/>
      <c r="AA797"/>
    </row>
    <row r="798" spans="6:27" x14ac:dyDescent="0.25">
      <c r="F798"/>
      <c r="G798"/>
      <c r="H798"/>
      <c r="I798"/>
      <c r="AA798"/>
    </row>
    <row r="799" spans="6:27" x14ac:dyDescent="0.25">
      <c r="F799"/>
      <c r="G799"/>
      <c r="H799"/>
      <c r="I799"/>
      <c r="AA799"/>
    </row>
    <row r="800" spans="6:27" x14ac:dyDescent="0.25">
      <c r="F800"/>
      <c r="G800"/>
      <c r="H800"/>
      <c r="I800"/>
      <c r="AA800"/>
    </row>
    <row r="801" spans="6:27" x14ac:dyDescent="0.25">
      <c r="F801"/>
      <c r="G801"/>
      <c r="H801"/>
      <c r="I801"/>
      <c r="AA801"/>
    </row>
    <row r="802" spans="6:27" x14ac:dyDescent="0.25">
      <c r="F802"/>
      <c r="G802"/>
      <c r="H802"/>
      <c r="I802"/>
      <c r="AA802"/>
    </row>
    <row r="803" spans="6:27" x14ac:dyDescent="0.25">
      <c r="F803"/>
      <c r="G803"/>
      <c r="H803"/>
      <c r="I803"/>
      <c r="AA803"/>
    </row>
    <row r="804" spans="6:27" x14ac:dyDescent="0.25">
      <c r="F804"/>
      <c r="G804"/>
      <c r="H804"/>
      <c r="I804"/>
      <c r="AA804"/>
    </row>
    <row r="805" spans="6:27" x14ac:dyDescent="0.25">
      <c r="F805"/>
      <c r="G805"/>
      <c r="H805"/>
      <c r="I805"/>
      <c r="AA805"/>
    </row>
    <row r="806" spans="6:27" x14ac:dyDescent="0.25">
      <c r="F806"/>
      <c r="G806"/>
      <c r="H806"/>
      <c r="I806"/>
      <c r="AA806"/>
    </row>
    <row r="807" spans="6:27" x14ac:dyDescent="0.25">
      <c r="F807"/>
      <c r="G807"/>
      <c r="H807"/>
      <c r="I807"/>
      <c r="AA807"/>
    </row>
    <row r="808" spans="6:27" x14ac:dyDescent="0.25">
      <c r="F808"/>
      <c r="G808"/>
      <c r="H808"/>
      <c r="I808"/>
      <c r="AA808"/>
    </row>
    <row r="809" spans="6:27" x14ac:dyDescent="0.25">
      <c r="F809"/>
      <c r="G809"/>
      <c r="H809"/>
      <c r="I809"/>
      <c r="AA809"/>
    </row>
    <row r="810" spans="6:27" x14ac:dyDescent="0.25">
      <c r="F810"/>
      <c r="G810"/>
      <c r="H810"/>
      <c r="I810"/>
      <c r="AA810"/>
    </row>
    <row r="811" spans="6:27" x14ac:dyDescent="0.25">
      <c r="F811"/>
      <c r="G811"/>
      <c r="H811"/>
      <c r="I811"/>
      <c r="AA811"/>
    </row>
    <row r="812" spans="6:27" x14ac:dyDescent="0.25">
      <c r="F812"/>
      <c r="G812"/>
      <c r="H812"/>
      <c r="I812"/>
      <c r="AA812"/>
    </row>
    <row r="813" spans="6:27" x14ac:dyDescent="0.25">
      <c r="F813"/>
      <c r="G813"/>
      <c r="H813"/>
      <c r="I813"/>
      <c r="AA813"/>
    </row>
    <row r="814" spans="6:27" x14ac:dyDescent="0.25">
      <c r="F814"/>
      <c r="G814"/>
      <c r="H814"/>
      <c r="I814"/>
      <c r="AA814"/>
    </row>
    <row r="815" spans="6:27" x14ac:dyDescent="0.25">
      <c r="F815"/>
      <c r="G815"/>
      <c r="H815"/>
      <c r="I815"/>
      <c r="AA815"/>
    </row>
    <row r="816" spans="6:27" x14ac:dyDescent="0.25">
      <c r="F816"/>
      <c r="G816"/>
      <c r="H816"/>
      <c r="I816"/>
      <c r="AA816"/>
    </row>
    <row r="817" spans="6:27" x14ac:dyDescent="0.25">
      <c r="F817"/>
      <c r="G817"/>
      <c r="H817"/>
      <c r="I817"/>
      <c r="AA817"/>
    </row>
    <row r="818" spans="6:27" x14ac:dyDescent="0.25">
      <c r="F818"/>
      <c r="G818"/>
      <c r="H818"/>
      <c r="I818"/>
      <c r="AA818"/>
    </row>
    <row r="819" spans="6:27" x14ac:dyDescent="0.25">
      <c r="F819"/>
      <c r="G819"/>
      <c r="H819"/>
      <c r="I819"/>
      <c r="AA819"/>
    </row>
    <row r="820" spans="6:27" x14ac:dyDescent="0.25">
      <c r="F820"/>
      <c r="G820"/>
      <c r="H820"/>
      <c r="I820"/>
      <c r="AA820"/>
    </row>
    <row r="821" spans="6:27" x14ac:dyDescent="0.25">
      <c r="F821"/>
      <c r="G821"/>
      <c r="H821"/>
      <c r="I821"/>
      <c r="AA821"/>
    </row>
    <row r="822" spans="6:27" x14ac:dyDescent="0.25">
      <c r="F822"/>
      <c r="G822"/>
      <c r="H822"/>
      <c r="I822"/>
      <c r="AA822"/>
    </row>
    <row r="823" spans="6:27" x14ac:dyDescent="0.25">
      <c r="F823"/>
      <c r="G823"/>
      <c r="H823"/>
      <c r="I823"/>
      <c r="AA823"/>
    </row>
    <row r="824" spans="6:27" x14ac:dyDescent="0.25">
      <c r="F824"/>
      <c r="G824"/>
      <c r="H824"/>
      <c r="I824"/>
      <c r="AA824"/>
    </row>
    <row r="825" spans="6:27" x14ac:dyDescent="0.25">
      <c r="F825"/>
      <c r="G825"/>
      <c r="H825"/>
      <c r="I825"/>
      <c r="AA825"/>
    </row>
    <row r="826" spans="6:27" x14ac:dyDescent="0.25">
      <c r="F826"/>
      <c r="G826"/>
      <c r="H826"/>
      <c r="I826"/>
      <c r="AA826"/>
    </row>
    <row r="827" spans="6:27" x14ac:dyDescent="0.25">
      <c r="F827"/>
      <c r="G827"/>
      <c r="H827"/>
      <c r="I827"/>
      <c r="AA827"/>
    </row>
    <row r="828" spans="6:27" x14ac:dyDescent="0.25">
      <c r="F828"/>
      <c r="G828"/>
      <c r="H828"/>
      <c r="I828"/>
      <c r="AA828"/>
    </row>
    <row r="829" spans="6:27" x14ac:dyDescent="0.25">
      <c r="F829"/>
      <c r="G829"/>
      <c r="H829"/>
      <c r="I829"/>
      <c r="AA829"/>
    </row>
    <row r="830" spans="6:27" x14ac:dyDescent="0.25">
      <c r="F830"/>
      <c r="G830"/>
      <c r="H830"/>
      <c r="I830"/>
      <c r="AA830"/>
    </row>
    <row r="831" spans="6:27" x14ac:dyDescent="0.25">
      <c r="F831"/>
      <c r="G831"/>
      <c r="H831"/>
      <c r="I831"/>
      <c r="AA831"/>
    </row>
    <row r="832" spans="6:27" x14ac:dyDescent="0.25">
      <c r="F832"/>
      <c r="G832"/>
      <c r="H832"/>
      <c r="I832"/>
      <c r="AA832"/>
    </row>
    <row r="833" spans="6:27" x14ac:dyDescent="0.25">
      <c r="F833"/>
      <c r="G833"/>
      <c r="H833"/>
      <c r="I833"/>
      <c r="AA833"/>
    </row>
    <row r="834" spans="6:27" x14ac:dyDescent="0.25">
      <c r="F834"/>
      <c r="G834"/>
      <c r="H834"/>
      <c r="I834"/>
      <c r="AA834"/>
    </row>
    <row r="835" spans="6:27" x14ac:dyDescent="0.25">
      <c r="F835"/>
      <c r="G835"/>
      <c r="H835"/>
      <c r="I835"/>
      <c r="AA835"/>
    </row>
    <row r="836" spans="6:27" x14ac:dyDescent="0.25">
      <c r="F836"/>
      <c r="G836"/>
      <c r="H836"/>
      <c r="I836"/>
      <c r="AA836"/>
    </row>
    <row r="837" spans="6:27" x14ac:dyDescent="0.25">
      <c r="F837"/>
      <c r="G837"/>
      <c r="H837"/>
      <c r="I837"/>
      <c r="AA837"/>
    </row>
    <row r="838" spans="6:27" x14ac:dyDescent="0.25">
      <c r="F838"/>
      <c r="G838"/>
      <c r="H838"/>
      <c r="I838"/>
      <c r="AA838"/>
    </row>
    <row r="839" spans="6:27" x14ac:dyDescent="0.25">
      <c r="F839"/>
      <c r="G839"/>
      <c r="H839"/>
      <c r="I839"/>
      <c r="AA839"/>
    </row>
    <row r="840" spans="6:27" x14ac:dyDescent="0.25">
      <c r="F840"/>
      <c r="G840"/>
      <c r="H840"/>
      <c r="I840"/>
      <c r="AA840"/>
    </row>
    <row r="841" spans="6:27" x14ac:dyDescent="0.25">
      <c r="F841"/>
      <c r="G841"/>
      <c r="H841"/>
      <c r="I841"/>
      <c r="AA841"/>
    </row>
    <row r="842" spans="6:27" x14ac:dyDescent="0.25">
      <c r="F842"/>
      <c r="G842"/>
      <c r="H842"/>
      <c r="I842"/>
      <c r="AA842"/>
    </row>
    <row r="843" spans="6:27" x14ac:dyDescent="0.25">
      <c r="F843"/>
      <c r="G843"/>
      <c r="H843"/>
      <c r="I843"/>
      <c r="AA843"/>
    </row>
    <row r="844" spans="6:27" x14ac:dyDescent="0.25">
      <c r="F844"/>
      <c r="G844"/>
      <c r="H844"/>
      <c r="I844"/>
      <c r="AA844"/>
    </row>
    <row r="845" spans="6:27" x14ac:dyDescent="0.25">
      <c r="F845"/>
      <c r="G845"/>
      <c r="H845"/>
      <c r="I845"/>
      <c r="AA845"/>
    </row>
    <row r="846" spans="6:27" x14ac:dyDescent="0.25">
      <c r="F846"/>
      <c r="G846"/>
      <c r="H846"/>
      <c r="I846"/>
      <c r="AA846"/>
    </row>
    <row r="847" spans="6:27" x14ac:dyDescent="0.25">
      <c r="F847"/>
      <c r="G847"/>
      <c r="H847"/>
      <c r="I847"/>
      <c r="AA847"/>
    </row>
    <row r="848" spans="6:27" x14ac:dyDescent="0.25">
      <c r="F848"/>
      <c r="G848"/>
      <c r="H848"/>
      <c r="I848"/>
      <c r="AA848"/>
    </row>
    <row r="849" spans="6:27" x14ac:dyDescent="0.25">
      <c r="F849"/>
      <c r="G849"/>
      <c r="H849"/>
      <c r="I849"/>
      <c r="AA849"/>
    </row>
    <row r="850" spans="6:27" x14ac:dyDescent="0.25">
      <c r="F850"/>
      <c r="G850"/>
      <c r="H850"/>
      <c r="I850"/>
      <c r="AA850"/>
    </row>
    <row r="851" spans="6:27" x14ac:dyDescent="0.25">
      <c r="F851"/>
      <c r="G851"/>
      <c r="H851"/>
      <c r="I851"/>
      <c r="AA851"/>
    </row>
    <row r="852" spans="6:27" x14ac:dyDescent="0.25">
      <c r="F852"/>
      <c r="G852"/>
      <c r="H852"/>
      <c r="I852"/>
      <c r="AA852"/>
    </row>
    <row r="853" spans="6:27" x14ac:dyDescent="0.25">
      <c r="F853"/>
      <c r="G853"/>
      <c r="H853"/>
      <c r="I853"/>
      <c r="AA853"/>
    </row>
    <row r="854" spans="6:27" x14ac:dyDescent="0.25">
      <c r="F854"/>
      <c r="G854"/>
      <c r="H854"/>
      <c r="I854"/>
      <c r="AA854"/>
    </row>
    <row r="855" spans="6:27" x14ac:dyDescent="0.25">
      <c r="F855"/>
      <c r="G855"/>
      <c r="H855"/>
      <c r="I855"/>
      <c r="AA855"/>
    </row>
    <row r="856" spans="6:27" x14ac:dyDescent="0.25">
      <c r="F856"/>
      <c r="G856"/>
      <c r="H856"/>
      <c r="I856"/>
      <c r="AA856"/>
    </row>
    <row r="857" spans="6:27" x14ac:dyDescent="0.25">
      <c r="F857"/>
      <c r="G857"/>
      <c r="H857"/>
      <c r="I857"/>
      <c r="AA857"/>
    </row>
    <row r="858" spans="6:27" x14ac:dyDescent="0.25">
      <c r="F858"/>
      <c r="G858"/>
      <c r="H858"/>
      <c r="I858"/>
      <c r="AA858"/>
    </row>
    <row r="859" spans="6:27" x14ac:dyDescent="0.25">
      <c r="F859"/>
      <c r="G859"/>
      <c r="H859"/>
      <c r="I859"/>
      <c r="AA859"/>
    </row>
    <row r="860" spans="6:27" x14ac:dyDescent="0.25">
      <c r="F860"/>
      <c r="G860"/>
      <c r="H860"/>
      <c r="I860"/>
      <c r="AA860"/>
    </row>
    <row r="861" spans="6:27" x14ac:dyDescent="0.25">
      <c r="F861"/>
      <c r="G861"/>
      <c r="H861"/>
      <c r="I861"/>
      <c r="AA861"/>
    </row>
    <row r="862" spans="6:27" x14ac:dyDescent="0.25">
      <c r="F862"/>
      <c r="G862"/>
      <c r="H862"/>
      <c r="I862"/>
      <c r="AA862"/>
    </row>
    <row r="863" spans="6:27" x14ac:dyDescent="0.25">
      <c r="F863"/>
      <c r="G863"/>
      <c r="H863"/>
      <c r="I863"/>
      <c r="AA863"/>
    </row>
    <row r="864" spans="6:27" x14ac:dyDescent="0.25">
      <c r="F864"/>
      <c r="G864"/>
      <c r="H864"/>
      <c r="I864"/>
      <c r="AA864"/>
    </row>
    <row r="865" spans="6:27" x14ac:dyDescent="0.25">
      <c r="F865"/>
      <c r="G865"/>
      <c r="H865"/>
      <c r="I865"/>
      <c r="AA865"/>
    </row>
    <row r="866" spans="6:27" x14ac:dyDescent="0.25">
      <c r="F866"/>
      <c r="G866"/>
      <c r="H866"/>
      <c r="I866"/>
      <c r="AA866"/>
    </row>
    <row r="867" spans="6:27" x14ac:dyDescent="0.25">
      <c r="F867"/>
      <c r="G867"/>
      <c r="H867"/>
      <c r="I867"/>
      <c r="AA867"/>
    </row>
    <row r="868" spans="6:27" x14ac:dyDescent="0.25">
      <c r="F868"/>
      <c r="G868"/>
      <c r="H868"/>
      <c r="I868"/>
      <c r="AA868"/>
    </row>
    <row r="869" spans="6:27" x14ac:dyDescent="0.25">
      <c r="F869"/>
      <c r="G869"/>
      <c r="H869"/>
      <c r="I869"/>
      <c r="AA869"/>
    </row>
    <row r="870" spans="6:27" x14ac:dyDescent="0.25">
      <c r="F870"/>
      <c r="G870"/>
      <c r="H870"/>
      <c r="I870"/>
      <c r="AA870"/>
    </row>
    <row r="871" spans="6:27" x14ac:dyDescent="0.25">
      <c r="F871"/>
      <c r="G871"/>
      <c r="H871"/>
      <c r="I871"/>
      <c r="AA871"/>
    </row>
    <row r="872" spans="6:27" x14ac:dyDescent="0.25">
      <c r="F872"/>
      <c r="G872"/>
      <c r="H872"/>
      <c r="I872"/>
      <c r="AA872"/>
    </row>
    <row r="873" spans="6:27" x14ac:dyDescent="0.25">
      <c r="F873"/>
      <c r="G873"/>
      <c r="H873"/>
      <c r="I873"/>
      <c r="AA873"/>
    </row>
    <row r="874" spans="6:27" x14ac:dyDescent="0.25">
      <c r="F874"/>
      <c r="G874"/>
      <c r="H874"/>
      <c r="I874"/>
      <c r="AA874"/>
    </row>
    <row r="875" spans="6:27" x14ac:dyDescent="0.25">
      <c r="F875"/>
      <c r="G875"/>
      <c r="H875"/>
      <c r="I875"/>
      <c r="AA875"/>
    </row>
    <row r="876" spans="6:27" x14ac:dyDescent="0.25">
      <c r="F876"/>
      <c r="G876"/>
      <c r="H876"/>
      <c r="I876"/>
      <c r="AA876"/>
    </row>
    <row r="877" spans="6:27" x14ac:dyDescent="0.25">
      <c r="F877"/>
      <c r="G877"/>
      <c r="H877"/>
      <c r="I877"/>
      <c r="AA877"/>
    </row>
    <row r="878" spans="6:27" x14ac:dyDescent="0.25">
      <c r="F878"/>
      <c r="G878"/>
      <c r="H878"/>
      <c r="I878"/>
      <c r="AA878"/>
    </row>
    <row r="879" spans="6:27" x14ac:dyDescent="0.25">
      <c r="F879"/>
      <c r="G879"/>
      <c r="H879"/>
      <c r="I879"/>
      <c r="AA879"/>
    </row>
    <row r="880" spans="6:27" x14ac:dyDescent="0.25">
      <c r="F880"/>
      <c r="G880"/>
      <c r="H880"/>
      <c r="I880"/>
      <c r="AA880"/>
    </row>
    <row r="881" spans="6:27" x14ac:dyDescent="0.25">
      <c r="F881"/>
      <c r="G881"/>
      <c r="H881"/>
      <c r="I881"/>
      <c r="AA881"/>
    </row>
    <row r="882" spans="6:27" x14ac:dyDescent="0.25">
      <c r="F882"/>
      <c r="G882"/>
      <c r="H882"/>
      <c r="I882"/>
      <c r="AA882"/>
    </row>
    <row r="883" spans="6:27" x14ac:dyDescent="0.25">
      <c r="F883"/>
      <c r="G883"/>
      <c r="H883"/>
      <c r="I883"/>
      <c r="AA883"/>
    </row>
    <row r="884" spans="6:27" x14ac:dyDescent="0.25">
      <c r="F884"/>
      <c r="G884"/>
      <c r="H884"/>
      <c r="I884"/>
      <c r="AA884"/>
    </row>
    <row r="885" spans="6:27" x14ac:dyDescent="0.25">
      <c r="F885"/>
      <c r="G885"/>
      <c r="H885"/>
      <c r="I885"/>
      <c r="AA885"/>
    </row>
    <row r="886" spans="6:27" x14ac:dyDescent="0.25">
      <c r="F886"/>
      <c r="G886"/>
      <c r="H886"/>
      <c r="I886"/>
      <c r="AA886"/>
    </row>
    <row r="887" spans="6:27" x14ac:dyDescent="0.25">
      <c r="F887"/>
      <c r="G887"/>
      <c r="H887"/>
      <c r="I887"/>
      <c r="AA887"/>
    </row>
    <row r="888" spans="6:27" x14ac:dyDescent="0.25">
      <c r="F888"/>
      <c r="G888"/>
      <c r="H888"/>
      <c r="I888"/>
      <c r="AA888"/>
    </row>
    <row r="889" spans="6:27" x14ac:dyDescent="0.25">
      <c r="F889"/>
      <c r="G889"/>
      <c r="H889"/>
      <c r="I889"/>
      <c r="AA889"/>
    </row>
    <row r="890" spans="6:27" x14ac:dyDescent="0.25">
      <c r="F890"/>
      <c r="G890"/>
      <c r="H890"/>
      <c r="I890"/>
      <c r="AA890"/>
    </row>
    <row r="891" spans="6:27" x14ac:dyDescent="0.25">
      <c r="F891"/>
      <c r="G891"/>
      <c r="H891"/>
      <c r="I891"/>
      <c r="AA891"/>
    </row>
    <row r="892" spans="6:27" x14ac:dyDescent="0.25">
      <c r="F892"/>
      <c r="G892"/>
      <c r="H892"/>
      <c r="I892"/>
      <c r="AA892"/>
    </row>
    <row r="893" spans="6:27" x14ac:dyDescent="0.25">
      <c r="F893"/>
      <c r="G893"/>
      <c r="H893"/>
      <c r="I893"/>
      <c r="AA893"/>
    </row>
    <row r="894" spans="6:27" x14ac:dyDescent="0.25">
      <c r="F894"/>
      <c r="G894"/>
      <c r="H894"/>
      <c r="I894"/>
      <c r="AA894"/>
    </row>
    <row r="895" spans="6:27" x14ac:dyDescent="0.25">
      <c r="F895"/>
      <c r="G895"/>
      <c r="H895"/>
      <c r="I895"/>
      <c r="AA895"/>
    </row>
    <row r="896" spans="6:27" x14ac:dyDescent="0.25">
      <c r="F896"/>
      <c r="G896"/>
      <c r="H896"/>
      <c r="I896"/>
      <c r="AA896"/>
    </row>
    <row r="897" spans="6:27" x14ac:dyDescent="0.25">
      <c r="F897"/>
      <c r="G897"/>
      <c r="H897"/>
      <c r="I897"/>
      <c r="AA897"/>
    </row>
    <row r="898" spans="6:27" x14ac:dyDescent="0.25">
      <c r="F898"/>
      <c r="G898"/>
      <c r="H898"/>
      <c r="I898"/>
      <c r="AA898"/>
    </row>
    <row r="899" spans="6:27" x14ac:dyDescent="0.25">
      <c r="F899"/>
      <c r="G899"/>
      <c r="H899"/>
      <c r="I899"/>
      <c r="AA899"/>
    </row>
    <row r="900" spans="6:27" x14ac:dyDescent="0.25">
      <c r="F900"/>
      <c r="G900"/>
      <c r="H900"/>
      <c r="I900"/>
      <c r="AA900"/>
    </row>
    <row r="901" spans="6:27" x14ac:dyDescent="0.25">
      <c r="F901"/>
      <c r="G901"/>
      <c r="H901"/>
      <c r="I901"/>
      <c r="AA901"/>
    </row>
    <row r="902" spans="6:27" x14ac:dyDescent="0.25">
      <c r="F902"/>
      <c r="G902"/>
      <c r="H902"/>
      <c r="I902"/>
      <c r="AA902"/>
    </row>
    <row r="903" spans="6:27" x14ac:dyDescent="0.25">
      <c r="F903"/>
      <c r="G903"/>
      <c r="H903"/>
      <c r="I903"/>
      <c r="AA903"/>
    </row>
    <row r="904" spans="6:27" x14ac:dyDescent="0.25">
      <c r="F904"/>
      <c r="G904"/>
      <c r="H904"/>
      <c r="I904"/>
      <c r="AA904"/>
    </row>
    <row r="905" spans="6:27" x14ac:dyDescent="0.25">
      <c r="F905"/>
      <c r="G905"/>
      <c r="H905"/>
      <c r="I905"/>
      <c r="AA905"/>
    </row>
    <row r="906" spans="6:27" x14ac:dyDescent="0.25">
      <c r="F906"/>
      <c r="G906"/>
      <c r="H906"/>
      <c r="I906"/>
      <c r="AA906"/>
    </row>
    <row r="907" spans="6:27" x14ac:dyDescent="0.25">
      <c r="F907"/>
      <c r="G907"/>
      <c r="H907"/>
      <c r="I907"/>
      <c r="AA907"/>
    </row>
    <row r="908" spans="6:27" x14ac:dyDescent="0.25">
      <c r="F908"/>
      <c r="G908"/>
      <c r="H908"/>
      <c r="I908"/>
      <c r="AA908"/>
    </row>
    <row r="909" spans="6:27" x14ac:dyDescent="0.25">
      <c r="F909"/>
      <c r="G909"/>
      <c r="H909"/>
      <c r="I909"/>
      <c r="AA909"/>
    </row>
    <row r="910" spans="6:27" x14ac:dyDescent="0.25">
      <c r="F910"/>
      <c r="G910"/>
      <c r="H910"/>
      <c r="I910"/>
      <c r="AA910"/>
    </row>
    <row r="911" spans="6:27" x14ac:dyDescent="0.25">
      <c r="F911"/>
      <c r="G911"/>
      <c r="H911"/>
      <c r="I911"/>
      <c r="AA911"/>
    </row>
    <row r="912" spans="6:27" x14ac:dyDescent="0.25">
      <c r="F912"/>
      <c r="G912"/>
      <c r="H912"/>
      <c r="I912"/>
      <c r="AA912"/>
    </row>
    <row r="913" spans="6:27" x14ac:dyDescent="0.25">
      <c r="F913"/>
      <c r="G913"/>
      <c r="H913"/>
      <c r="I913"/>
      <c r="AA913"/>
    </row>
    <row r="914" spans="6:27" x14ac:dyDescent="0.25">
      <c r="F914"/>
      <c r="G914"/>
      <c r="H914"/>
      <c r="I914"/>
      <c r="AA914"/>
    </row>
    <row r="915" spans="6:27" x14ac:dyDescent="0.25">
      <c r="F915"/>
      <c r="G915"/>
      <c r="H915"/>
      <c r="I915"/>
      <c r="AA915"/>
    </row>
    <row r="916" spans="6:27" x14ac:dyDescent="0.25">
      <c r="F916"/>
      <c r="G916"/>
      <c r="H916"/>
      <c r="I916"/>
      <c r="AA916"/>
    </row>
    <row r="917" spans="6:27" x14ac:dyDescent="0.25">
      <c r="F917"/>
      <c r="G917"/>
      <c r="H917"/>
      <c r="I917"/>
      <c r="AA917"/>
    </row>
    <row r="918" spans="6:27" x14ac:dyDescent="0.25">
      <c r="F918"/>
      <c r="G918"/>
      <c r="H918"/>
      <c r="I918"/>
      <c r="AA918"/>
    </row>
    <row r="919" spans="6:27" x14ac:dyDescent="0.25">
      <c r="F919"/>
      <c r="G919"/>
      <c r="H919"/>
      <c r="I919"/>
      <c r="AA919"/>
    </row>
    <row r="920" spans="6:27" x14ac:dyDescent="0.25">
      <c r="F920"/>
      <c r="G920"/>
      <c r="H920"/>
      <c r="I920"/>
      <c r="AA920"/>
    </row>
    <row r="921" spans="6:27" x14ac:dyDescent="0.25">
      <c r="F921"/>
      <c r="G921"/>
      <c r="H921"/>
      <c r="I921"/>
      <c r="AA921"/>
    </row>
    <row r="922" spans="6:27" x14ac:dyDescent="0.25">
      <c r="F922"/>
      <c r="G922"/>
      <c r="H922"/>
      <c r="I922"/>
      <c r="AA922"/>
    </row>
    <row r="923" spans="6:27" x14ac:dyDescent="0.25">
      <c r="F923"/>
      <c r="G923"/>
      <c r="H923"/>
      <c r="I923"/>
      <c r="AA923"/>
    </row>
    <row r="924" spans="6:27" x14ac:dyDescent="0.25">
      <c r="F924"/>
      <c r="G924"/>
      <c r="H924"/>
      <c r="I924"/>
      <c r="AA924"/>
    </row>
    <row r="925" spans="6:27" x14ac:dyDescent="0.25">
      <c r="F925"/>
      <c r="G925"/>
      <c r="H925"/>
      <c r="I925"/>
      <c r="AA925"/>
    </row>
    <row r="926" spans="6:27" x14ac:dyDescent="0.25">
      <c r="F926"/>
      <c r="G926"/>
      <c r="H926"/>
      <c r="I926"/>
      <c r="AA926"/>
    </row>
    <row r="927" spans="6:27" x14ac:dyDescent="0.25">
      <c r="F927"/>
      <c r="G927"/>
      <c r="H927"/>
      <c r="I927"/>
      <c r="AA927"/>
    </row>
    <row r="928" spans="6:27" x14ac:dyDescent="0.25">
      <c r="F928"/>
      <c r="G928"/>
      <c r="H928"/>
      <c r="I928"/>
      <c r="AA928"/>
    </row>
    <row r="929" spans="6:27" x14ac:dyDescent="0.25">
      <c r="F929"/>
      <c r="G929"/>
      <c r="H929"/>
      <c r="I929"/>
      <c r="AA929"/>
    </row>
    <row r="930" spans="6:27" x14ac:dyDescent="0.25">
      <c r="F930"/>
      <c r="G930"/>
      <c r="H930"/>
      <c r="I930"/>
      <c r="AA930"/>
    </row>
    <row r="931" spans="6:27" x14ac:dyDescent="0.25">
      <c r="F931"/>
      <c r="G931"/>
      <c r="H931"/>
      <c r="I931"/>
      <c r="AA931"/>
    </row>
    <row r="932" spans="6:27" x14ac:dyDescent="0.25">
      <c r="F932"/>
      <c r="G932"/>
      <c r="H932"/>
      <c r="I932"/>
      <c r="AA932"/>
    </row>
    <row r="933" spans="6:27" x14ac:dyDescent="0.25">
      <c r="F933"/>
      <c r="G933"/>
      <c r="H933"/>
      <c r="I933"/>
      <c r="AA933"/>
    </row>
    <row r="934" spans="6:27" x14ac:dyDescent="0.25">
      <c r="F934"/>
      <c r="G934"/>
      <c r="H934"/>
      <c r="I934"/>
      <c r="AA934"/>
    </row>
    <row r="935" spans="6:27" x14ac:dyDescent="0.25">
      <c r="F935"/>
      <c r="G935"/>
      <c r="H935"/>
      <c r="I935"/>
      <c r="AA935"/>
    </row>
    <row r="936" spans="6:27" x14ac:dyDescent="0.25">
      <c r="F936"/>
      <c r="G936"/>
      <c r="H936"/>
      <c r="I936"/>
      <c r="AA936"/>
    </row>
    <row r="937" spans="6:27" x14ac:dyDescent="0.25">
      <c r="F937"/>
      <c r="G937"/>
      <c r="H937"/>
      <c r="I937"/>
      <c r="AA937"/>
    </row>
    <row r="938" spans="6:27" x14ac:dyDescent="0.25">
      <c r="F938"/>
      <c r="G938"/>
      <c r="H938"/>
      <c r="I938"/>
      <c r="AA938"/>
    </row>
    <row r="939" spans="6:27" x14ac:dyDescent="0.25">
      <c r="F939"/>
      <c r="G939"/>
      <c r="H939"/>
      <c r="I939"/>
      <c r="AA939"/>
    </row>
    <row r="940" spans="6:27" x14ac:dyDescent="0.25">
      <c r="F940"/>
      <c r="G940"/>
      <c r="H940"/>
      <c r="I940"/>
      <c r="AA940"/>
    </row>
    <row r="941" spans="6:27" x14ac:dyDescent="0.25">
      <c r="F941"/>
      <c r="G941"/>
      <c r="H941"/>
      <c r="I941"/>
      <c r="AA941"/>
    </row>
    <row r="942" spans="6:27" x14ac:dyDescent="0.25">
      <c r="F942"/>
      <c r="G942"/>
      <c r="H942"/>
      <c r="I942"/>
      <c r="AA942"/>
    </row>
    <row r="943" spans="6:27" x14ac:dyDescent="0.25">
      <c r="F943"/>
      <c r="G943"/>
      <c r="H943"/>
      <c r="I943"/>
      <c r="AA943"/>
    </row>
    <row r="944" spans="6:27" x14ac:dyDescent="0.25">
      <c r="F944"/>
      <c r="G944"/>
      <c r="H944"/>
      <c r="I944"/>
      <c r="AA944"/>
    </row>
    <row r="945" spans="6:27" x14ac:dyDescent="0.25">
      <c r="F945"/>
      <c r="G945"/>
      <c r="H945"/>
      <c r="I945"/>
      <c r="AA945"/>
    </row>
    <row r="946" spans="6:27" x14ac:dyDescent="0.25">
      <c r="F946"/>
      <c r="G946"/>
      <c r="H946"/>
      <c r="I946"/>
      <c r="AA946"/>
    </row>
    <row r="947" spans="6:27" x14ac:dyDescent="0.25">
      <c r="F947"/>
      <c r="G947"/>
      <c r="H947"/>
      <c r="I947"/>
      <c r="AA947"/>
    </row>
    <row r="948" spans="6:27" x14ac:dyDescent="0.25">
      <c r="F948"/>
      <c r="G948"/>
      <c r="H948"/>
      <c r="I948"/>
      <c r="AA948"/>
    </row>
    <row r="949" spans="6:27" x14ac:dyDescent="0.25">
      <c r="F949"/>
      <c r="G949"/>
      <c r="H949"/>
      <c r="I949"/>
      <c r="AA949"/>
    </row>
    <row r="950" spans="6:27" x14ac:dyDescent="0.25">
      <c r="F950"/>
      <c r="G950"/>
      <c r="H950"/>
      <c r="I950"/>
      <c r="AA950"/>
    </row>
    <row r="951" spans="6:27" x14ac:dyDescent="0.25">
      <c r="F951"/>
      <c r="G951"/>
      <c r="H951"/>
      <c r="I951"/>
      <c r="AA951"/>
    </row>
    <row r="952" spans="6:27" x14ac:dyDescent="0.25">
      <c r="F952"/>
      <c r="G952"/>
      <c r="H952"/>
      <c r="I952"/>
      <c r="AA952"/>
    </row>
    <row r="953" spans="6:27" x14ac:dyDescent="0.25">
      <c r="F953"/>
      <c r="G953"/>
      <c r="H953"/>
      <c r="I953"/>
      <c r="AA953"/>
    </row>
    <row r="954" spans="6:27" x14ac:dyDescent="0.25">
      <c r="F954"/>
      <c r="G954"/>
      <c r="H954"/>
      <c r="I954"/>
      <c r="AA954"/>
    </row>
    <row r="955" spans="6:27" x14ac:dyDescent="0.25">
      <c r="F955"/>
      <c r="G955"/>
      <c r="H955"/>
      <c r="I955"/>
      <c r="AA955"/>
    </row>
    <row r="956" spans="6:27" x14ac:dyDescent="0.25">
      <c r="F956"/>
      <c r="G956"/>
      <c r="H956"/>
      <c r="I956"/>
      <c r="AA956"/>
    </row>
    <row r="957" spans="6:27" x14ac:dyDescent="0.25">
      <c r="F957"/>
      <c r="G957"/>
      <c r="H957"/>
      <c r="I957"/>
      <c r="AA957"/>
    </row>
    <row r="958" spans="6:27" x14ac:dyDescent="0.25">
      <c r="F958"/>
      <c r="G958"/>
      <c r="H958"/>
      <c r="I958"/>
      <c r="AA958"/>
    </row>
    <row r="959" spans="6:27" x14ac:dyDescent="0.25">
      <c r="F959"/>
      <c r="G959"/>
      <c r="H959"/>
      <c r="I959"/>
      <c r="AA959"/>
    </row>
    <row r="960" spans="6:27" x14ac:dyDescent="0.25">
      <c r="F960"/>
      <c r="G960"/>
      <c r="H960"/>
      <c r="I960"/>
      <c r="AA960"/>
    </row>
    <row r="961" spans="6:27" x14ac:dyDescent="0.25">
      <c r="F961"/>
      <c r="G961"/>
      <c r="H961"/>
      <c r="I961"/>
      <c r="AA961"/>
    </row>
    <row r="962" spans="6:27" x14ac:dyDescent="0.25">
      <c r="F962"/>
      <c r="G962"/>
      <c r="H962"/>
      <c r="I962"/>
      <c r="AA962"/>
    </row>
    <row r="963" spans="6:27" x14ac:dyDescent="0.25">
      <c r="F963"/>
      <c r="G963"/>
      <c r="H963"/>
      <c r="I963"/>
      <c r="AA963"/>
    </row>
    <row r="964" spans="6:27" x14ac:dyDescent="0.25">
      <c r="F964"/>
      <c r="G964"/>
      <c r="H964"/>
      <c r="I964"/>
      <c r="AA964"/>
    </row>
    <row r="965" spans="6:27" x14ac:dyDescent="0.25">
      <c r="F965"/>
      <c r="G965"/>
      <c r="H965"/>
      <c r="I965"/>
      <c r="AA965"/>
    </row>
    <row r="966" spans="6:27" x14ac:dyDescent="0.25">
      <c r="F966"/>
      <c r="G966"/>
      <c r="H966"/>
      <c r="I966"/>
      <c r="AA966"/>
    </row>
    <row r="967" spans="6:27" x14ac:dyDescent="0.25">
      <c r="F967"/>
      <c r="G967"/>
      <c r="H967"/>
      <c r="I967"/>
      <c r="AA967"/>
    </row>
    <row r="968" spans="6:27" x14ac:dyDescent="0.25">
      <c r="F968"/>
      <c r="G968"/>
      <c r="H968"/>
      <c r="I968"/>
      <c r="AA968"/>
    </row>
    <row r="969" spans="6:27" x14ac:dyDescent="0.25">
      <c r="F969"/>
      <c r="G969"/>
      <c r="H969"/>
      <c r="I969"/>
      <c r="AA969"/>
    </row>
    <row r="970" spans="6:27" x14ac:dyDescent="0.25">
      <c r="F970"/>
      <c r="G970"/>
      <c r="H970"/>
      <c r="I970"/>
      <c r="AA970"/>
    </row>
    <row r="971" spans="6:27" x14ac:dyDescent="0.25">
      <c r="F971"/>
      <c r="G971"/>
      <c r="H971"/>
      <c r="I971"/>
      <c r="AA971"/>
    </row>
    <row r="972" spans="6:27" x14ac:dyDescent="0.25">
      <c r="F972"/>
      <c r="G972"/>
      <c r="H972"/>
      <c r="I972"/>
      <c r="AA972"/>
    </row>
    <row r="973" spans="6:27" x14ac:dyDescent="0.25">
      <c r="F973"/>
      <c r="G973"/>
      <c r="H973"/>
      <c r="I973"/>
      <c r="AA973"/>
    </row>
    <row r="974" spans="6:27" x14ac:dyDescent="0.25">
      <c r="F974"/>
      <c r="G974"/>
      <c r="H974"/>
      <c r="I974"/>
      <c r="AA974"/>
    </row>
    <row r="975" spans="6:27" x14ac:dyDescent="0.25">
      <c r="F975"/>
      <c r="G975"/>
      <c r="H975"/>
      <c r="I975"/>
      <c r="AA975"/>
    </row>
    <row r="976" spans="6:27" x14ac:dyDescent="0.25">
      <c r="F976"/>
      <c r="G976"/>
      <c r="H976"/>
      <c r="I976"/>
      <c r="AA976"/>
    </row>
    <row r="977" spans="6:27" x14ac:dyDescent="0.25">
      <c r="F977"/>
      <c r="G977"/>
      <c r="H977"/>
      <c r="I977"/>
      <c r="AA977"/>
    </row>
    <row r="978" spans="6:27" x14ac:dyDescent="0.25">
      <c r="F978"/>
      <c r="G978"/>
      <c r="H978"/>
      <c r="I978"/>
      <c r="AA978"/>
    </row>
    <row r="979" spans="6:27" x14ac:dyDescent="0.25">
      <c r="F979"/>
      <c r="G979"/>
      <c r="H979"/>
      <c r="I979"/>
      <c r="AA979"/>
    </row>
    <row r="980" spans="6:27" x14ac:dyDescent="0.25">
      <c r="F980"/>
      <c r="G980"/>
      <c r="H980"/>
      <c r="I980"/>
      <c r="AA980"/>
    </row>
    <row r="981" spans="6:27" x14ac:dyDescent="0.25">
      <c r="F981"/>
      <c r="G981"/>
      <c r="H981"/>
      <c r="I981"/>
      <c r="AA981"/>
    </row>
    <row r="982" spans="6:27" x14ac:dyDescent="0.25">
      <c r="F982"/>
      <c r="G982"/>
      <c r="H982"/>
      <c r="I982"/>
      <c r="AA982"/>
    </row>
    <row r="983" spans="6:27" x14ac:dyDescent="0.25">
      <c r="F983"/>
      <c r="G983"/>
      <c r="H983"/>
      <c r="I983"/>
      <c r="AA983"/>
    </row>
    <row r="984" spans="6:27" x14ac:dyDescent="0.25">
      <c r="F984"/>
      <c r="G984"/>
      <c r="H984"/>
      <c r="I984"/>
      <c r="AA984"/>
    </row>
    <row r="985" spans="6:27" x14ac:dyDescent="0.25">
      <c r="F985"/>
      <c r="G985"/>
      <c r="H985"/>
      <c r="I985"/>
      <c r="AA985"/>
    </row>
    <row r="986" spans="6:27" x14ac:dyDescent="0.25">
      <c r="F986"/>
      <c r="G986"/>
      <c r="H986"/>
      <c r="I986"/>
      <c r="AA986"/>
    </row>
    <row r="987" spans="6:27" x14ac:dyDescent="0.25">
      <c r="F987"/>
      <c r="G987"/>
      <c r="H987"/>
      <c r="I987"/>
      <c r="AA987"/>
    </row>
    <row r="988" spans="6:27" x14ac:dyDescent="0.25">
      <c r="F988"/>
      <c r="G988"/>
      <c r="H988"/>
      <c r="I988"/>
      <c r="AA988"/>
    </row>
    <row r="989" spans="6:27" x14ac:dyDescent="0.25">
      <c r="F989"/>
      <c r="G989"/>
      <c r="H989"/>
      <c r="I989"/>
      <c r="AA989"/>
    </row>
    <row r="990" spans="6:27" x14ac:dyDescent="0.25">
      <c r="F990"/>
      <c r="G990"/>
      <c r="H990"/>
      <c r="I990"/>
      <c r="AA990"/>
    </row>
    <row r="991" spans="6:27" x14ac:dyDescent="0.25">
      <c r="F991"/>
      <c r="G991"/>
      <c r="H991"/>
      <c r="I991"/>
      <c r="AA991"/>
    </row>
    <row r="992" spans="6:27" x14ac:dyDescent="0.25">
      <c r="F992"/>
      <c r="G992"/>
      <c r="H992"/>
      <c r="I992"/>
      <c r="AA992"/>
    </row>
    <row r="993" spans="6:27" x14ac:dyDescent="0.25">
      <c r="F993"/>
      <c r="G993"/>
      <c r="H993"/>
      <c r="I993"/>
      <c r="AA993"/>
    </row>
    <row r="994" spans="6:27" x14ac:dyDescent="0.25">
      <c r="F994"/>
      <c r="G994"/>
      <c r="H994"/>
      <c r="I994"/>
      <c r="AA994"/>
    </row>
    <row r="995" spans="6:27" x14ac:dyDescent="0.25">
      <c r="F995"/>
      <c r="G995"/>
      <c r="H995"/>
      <c r="I995"/>
      <c r="AA995"/>
    </row>
    <row r="996" spans="6:27" x14ac:dyDescent="0.25">
      <c r="F996"/>
      <c r="G996"/>
      <c r="H996"/>
      <c r="I996"/>
      <c r="AA996"/>
    </row>
    <row r="997" spans="6:27" x14ac:dyDescent="0.25">
      <c r="F997"/>
      <c r="G997"/>
      <c r="H997"/>
      <c r="I997"/>
      <c r="AA997"/>
    </row>
    <row r="998" spans="6:27" x14ac:dyDescent="0.25">
      <c r="F998"/>
      <c r="G998"/>
      <c r="H998"/>
      <c r="I998"/>
      <c r="AA998"/>
    </row>
    <row r="999" spans="6:27" x14ac:dyDescent="0.25">
      <c r="F999"/>
      <c r="G999"/>
      <c r="H999"/>
      <c r="I999"/>
      <c r="AA999"/>
    </row>
    <row r="1000" spans="6:27" x14ac:dyDescent="0.25">
      <c r="F1000"/>
      <c r="G1000"/>
      <c r="H1000"/>
      <c r="I1000"/>
      <c r="AA1000"/>
    </row>
    <row r="1001" spans="6:27" x14ac:dyDescent="0.25">
      <c r="F1001"/>
      <c r="G1001"/>
      <c r="H1001"/>
      <c r="I1001"/>
      <c r="AA1001"/>
    </row>
    <row r="1002" spans="6:27" x14ac:dyDescent="0.25">
      <c r="F1002"/>
      <c r="G1002"/>
      <c r="H1002"/>
      <c r="I1002"/>
      <c r="AA1002"/>
    </row>
    <row r="1003" spans="6:27" x14ac:dyDescent="0.25">
      <c r="F1003"/>
      <c r="G1003"/>
      <c r="H1003"/>
      <c r="I1003"/>
      <c r="AA1003"/>
    </row>
    <row r="1004" spans="6:27" x14ac:dyDescent="0.25">
      <c r="F1004"/>
      <c r="G1004"/>
      <c r="H1004"/>
      <c r="I1004"/>
      <c r="AA1004"/>
    </row>
    <row r="1005" spans="6:27" x14ac:dyDescent="0.25">
      <c r="F1005"/>
      <c r="G1005"/>
      <c r="H1005"/>
      <c r="I1005"/>
      <c r="AA1005"/>
    </row>
    <row r="1006" spans="6:27" x14ac:dyDescent="0.25">
      <c r="F1006"/>
      <c r="G1006"/>
      <c r="H1006"/>
      <c r="I1006"/>
      <c r="AA1006"/>
    </row>
    <row r="1007" spans="6:27" x14ac:dyDescent="0.25">
      <c r="F1007"/>
      <c r="G1007"/>
      <c r="H1007"/>
      <c r="I1007"/>
      <c r="AA1007"/>
    </row>
    <row r="1008" spans="6:27" x14ac:dyDescent="0.25">
      <c r="F1008"/>
      <c r="G1008"/>
      <c r="H1008"/>
      <c r="I1008"/>
      <c r="AA1008"/>
    </row>
    <row r="1009" spans="2:27" x14ac:dyDescent="0.25">
      <c r="F1009"/>
      <c r="G1009"/>
      <c r="H1009"/>
      <c r="I1009"/>
      <c r="AA1009"/>
    </row>
    <row r="1010" spans="2:27" x14ac:dyDescent="0.25">
      <c r="F1010"/>
      <c r="G1010"/>
      <c r="H1010"/>
      <c r="I1010"/>
      <c r="AA1010"/>
    </row>
    <row r="1011" spans="2:27" x14ac:dyDescent="0.25">
      <c r="F1011"/>
      <c r="G1011"/>
      <c r="H1011"/>
      <c r="I1011"/>
      <c r="AA1011"/>
    </row>
    <row r="1012" spans="2:27" x14ac:dyDescent="0.25">
      <c r="F1012"/>
      <c r="G1012"/>
      <c r="H1012"/>
      <c r="I1012"/>
      <c r="AA1012"/>
    </row>
    <row r="1013" spans="2:27" x14ac:dyDescent="0.25">
      <c r="F1013"/>
      <c r="G1013"/>
      <c r="H1013"/>
      <c r="I1013"/>
      <c r="AA1013"/>
    </row>
    <row r="1014" spans="2:27" x14ac:dyDescent="0.25">
      <c r="F1014"/>
      <c r="G1014"/>
      <c r="H1014"/>
      <c r="I1014"/>
      <c r="AA1014"/>
    </row>
    <row r="1015" spans="2:27" x14ac:dyDescent="0.25">
      <c r="B1015" s="10"/>
      <c r="C1015" s="10"/>
      <c r="D1015" s="10"/>
      <c r="F1015" s="50"/>
      <c r="AA1015" s="10"/>
    </row>
    <row r="1016" spans="2:27" x14ac:dyDescent="0.25">
      <c r="B1016" s="10"/>
      <c r="C1016" s="10"/>
      <c r="D1016" s="10"/>
      <c r="F1016" s="50"/>
      <c r="AA1016" s="10"/>
    </row>
    <row r="1017" spans="2:27" x14ac:dyDescent="0.25">
      <c r="B1017" s="10"/>
      <c r="C1017" s="10"/>
      <c r="D1017" s="10"/>
      <c r="F1017" s="50"/>
      <c r="AA1017" s="10"/>
    </row>
    <row r="1018" spans="2:27" x14ac:dyDescent="0.25">
      <c r="B1018" s="10"/>
      <c r="C1018" s="10"/>
      <c r="D1018" s="10"/>
      <c r="F1018" s="50"/>
      <c r="AA1018" s="10"/>
    </row>
    <row r="1019" spans="2:27" x14ac:dyDescent="0.25">
      <c r="B1019" s="10"/>
      <c r="C1019" s="10"/>
      <c r="D1019" s="10"/>
      <c r="F1019" s="50"/>
      <c r="AA1019" s="10"/>
    </row>
    <row r="1020" spans="2:27" x14ac:dyDescent="0.25">
      <c r="B1020" s="10"/>
      <c r="C1020" s="10"/>
      <c r="D1020" s="10"/>
      <c r="F1020" s="50"/>
      <c r="AA1020" s="10"/>
    </row>
    <row r="1021" spans="2:27" x14ac:dyDescent="0.25">
      <c r="B1021" s="10"/>
      <c r="C1021" s="10"/>
      <c r="D1021" s="10"/>
      <c r="F1021" s="50"/>
      <c r="AA1021" s="10"/>
    </row>
    <row r="1022" spans="2:27" x14ac:dyDescent="0.25">
      <c r="B1022" s="10"/>
      <c r="C1022" s="10"/>
      <c r="D1022" s="10"/>
      <c r="F1022" s="50"/>
      <c r="AA1022" s="10"/>
    </row>
    <row r="1023" spans="2:27" x14ac:dyDescent="0.25">
      <c r="B1023" s="10"/>
      <c r="C1023" s="10"/>
      <c r="D1023" s="10"/>
      <c r="F1023" s="50"/>
      <c r="AA1023" s="10"/>
    </row>
    <row r="1024" spans="2:27" x14ac:dyDescent="0.25">
      <c r="B1024" s="10"/>
      <c r="C1024" s="10"/>
      <c r="D1024" s="10"/>
      <c r="F1024" s="50"/>
      <c r="AA1024" s="10"/>
    </row>
    <row r="1025" spans="2:27" x14ac:dyDescent="0.25">
      <c r="B1025" s="10"/>
      <c r="C1025" s="10"/>
      <c r="D1025" s="10"/>
      <c r="F1025" s="50"/>
      <c r="AA1025" s="10"/>
    </row>
    <row r="1026" spans="2:27" x14ac:dyDescent="0.25">
      <c r="B1026" s="10"/>
      <c r="C1026" s="10"/>
      <c r="D1026" s="10"/>
      <c r="F1026" s="50"/>
      <c r="AA1026" s="10"/>
    </row>
    <row r="1027" spans="2:27" x14ac:dyDescent="0.25">
      <c r="B1027" s="10"/>
      <c r="C1027" s="10"/>
      <c r="D1027" s="10"/>
      <c r="F1027" s="50"/>
      <c r="AA1027" s="10"/>
    </row>
    <row r="1028" spans="2:27" x14ac:dyDescent="0.25">
      <c r="B1028" s="10"/>
      <c r="C1028" s="10"/>
      <c r="D1028" s="10"/>
      <c r="F1028" s="50"/>
      <c r="AA1028" s="10"/>
    </row>
    <row r="1029" spans="2:27" x14ac:dyDescent="0.25">
      <c r="B1029" s="10"/>
      <c r="C1029" s="10"/>
      <c r="D1029" s="10"/>
      <c r="F1029" s="50"/>
      <c r="AA1029" s="10"/>
    </row>
    <row r="1030" spans="2:27" x14ac:dyDescent="0.25">
      <c r="B1030" s="10"/>
      <c r="C1030" s="10"/>
      <c r="D1030" s="10"/>
      <c r="F1030" s="50"/>
      <c r="AA1030" s="10"/>
    </row>
    <row r="1031" spans="2:27" x14ac:dyDescent="0.25">
      <c r="B1031" s="10"/>
      <c r="C1031" s="10"/>
      <c r="D1031" s="10"/>
      <c r="F1031" s="50"/>
      <c r="AA1031" s="10"/>
    </row>
    <row r="1032" spans="2:27" x14ac:dyDescent="0.25">
      <c r="B1032" s="10"/>
      <c r="C1032" s="10"/>
      <c r="D1032" s="10"/>
      <c r="F1032" s="50"/>
      <c r="AA1032" s="10"/>
    </row>
    <row r="1033" spans="2:27" x14ac:dyDescent="0.25">
      <c r="B1033" s="10"/>
      <c r="C1033" s="10"/>
      <c r="D1033" s="10"/>
      <c r="F1033" s="50"/>
      <c r="AA1033" s="10"/>
    </row>
    <row r="1034" spans="2:27" x14ac:dyDescent="0.25">
      <c r="B1034" s="10"/>
      <c r="C1034" s="10"/>
      <c r="D1034" s="10"/>
      <c r="F1034" s="50"/>
      <c r="AA1034" s="10"/>
    </row>
    <row r="1035" spans="2:27" x14ac:dyDescent="0.25">
      <c r="B1035" s="10"/>
      <c r="C1035" s="10"/>
      <c r="D1035" s="10"/>
      <c r="F1035" s="50"/>
      <c r="AA1035" s="10"/>
    </row>
    <row r="1036" spans="2:27" x14ac:dyDescent="0.25">
      <c r="B1036" s="10"/>
      <c r="C1036" s="10"/>
      <c r="D1036" s="10"/>
      <c r="F1036" s="50"/>
      <c r="AA1036" s="10"/>
    </row>
    <row r="1037" spans="2:27" x14ac:dyDescent="0.25">
      <c r="B1037" s="10"/>
      <c r="C1037" s="10"/>
      <c r="D1037" s="10"/>
      <c r="F1037" s="50"/>
      <c r="AA1037" s="10"/>
    </row>
    <row r="1038" spans="2:27" x14ac:dyDescent="0.25">
      <c r="B1038" s="10"/>
      <c r="C1038" s="10"/>
      <c r="D1038" s="10"/>
      <c r="F1038" s="50"/>
      <c r="AA1038" s="10"/>
    </row>
    <row r="1039" spans="2:27" x14ac:dyDescent="0.25">
      <c r="B1039" s="10"/>
      <c r="C1039" s="10"/>
      <c r="D1039" s="10"/>
      <c r="F1039" s="50"/>
      <c r="AA1039" s="10"/>
    </row>
    <row r="1040" spans="2:27" x14ac:dyDescent="0.25">
      <c r="B1040" s="10"/>
      <c r="C1040" s="10"/>
      <c r="D1040" s="10"/>
      <c r="F1040" s="50"/>
      <c r="AA1040" s="10"/>
    </row>
    <row r="1041" spans="2:27" x14ac:dyDescent="0.25">
      <c r="B1041" s="10"/>
      <c r="C1041" s="10"/>
      <c r="D1041" s="10"/>
      <c r="F1041" s="50"/>
      <c r="AA1041" s="10"/>
    </row>
    <row r="1042" spans="2:27" x14ac:dyDescent="0.25">
      <c r="B1042" s="10"/>
      <c r="C1042" s="10"/>
      <c r="D1042" s="10"/>
      <c r="F1042" s="50"/>
      <c r="AA1042" s="10"/>
    </row>
    <row r="1043" spans="2:27" x14ac:dyDescent="0.25">
      <c r="B1043" s="10"/>
      <c r="C1043" s="10"/>
      <c r="D1043" s="10"/>
      <c r="F1043" s="50"/>
      <c r="AA1043" s="10"/>
    </row>
    <row r="1044" spans="2:27" x14ac:dyDescent="0.25">
      <c r="B1044" s="10"/>
      <c r="C1044" s="10"/>
      <c r="D1044" s="10"/>
      <c r="F1044" s="50"/>
      <c r="AA1044" s="10"/>
    </row>
    <row r="1045" spans="2:27" x14ac:dyDescent="0.25">
      <c r="B1045" s="10"/>
      <c r="C1045" s="10"/>
      <c r="D1045" s="10"/>
      <c r="F1045" s="50"/>
      <c r="AA1045" s="10"/>
    </row>
    <row r="1046" spans="2:27" x14ac:dyDescent="0.25">
      <c r="B1046" s="10"/>
      <c r="C1046" s="10"/>
      <c r="D1046" s="10"/>
      <c r="F1046" s="50"/>
      <c r="AA1046" s="10"/>
    </row>
    <row r="1047" spans="2:27" x14ac:dyDescent="0.25">
      <c r="B1047" s="10"/>
      <c r="C1047" s="10"/>
      <c r="D1047" s="10"/>
      <c r="F1047" s="50"/>
      <c r="AA1047" s="10"/>
    </row>
    <row r="1048" spans="2:27" x14ac:dyDescent="0.25">
      <c r="B1048" s="10"/>
      <c r="C1048" s="10"/>
      <c r="D1048" s="10"/>
      <c r="F1048" s="50"/>
      <c r="AA1048" s="10"/>
    </row>
    <row r="1049" spans="2:27" x14ac:dyDescent="0.25">
      <c r="B1049" s="10"/>
      <c r="C1049" s="10"/>
      <c r="D1049" s="10"/>
      <c r="F1049" s="50"/>
      <c r="AA1049" s="10"/>
    </row>
    <row r="1050" spans="2:27" x14ac:dyDescent="0.25">
      <c r="B1050" s="10"/>
      <c r="C1050" s="10"/>
      <c r="D1050" s="10"/>
      <c r="F1050" s="50"/>
      <c r="AA1050" s="10"/>
    </row>
    <row r="1051" spans="2:27" x14ac:dyDescent="0.25">
      <c r="B1051" s="10"/>
      <c r="C1051" s="10"/>
      <c r="D1051" s="10"/>
      <c r="F1051" s="50"/>
      <c r="AA1051"/>
    </row>
    <row r="1052" spans="2:27" x14ac:dyDescent="0.25">
      <c r="B1052" s="10"/>
      <c r="C1052" s="10"/>
      <c r="D1052" s="10"/>
      <c r="F1052" s="50"/>
      <c r="AA1052"/>
    </row>
    <row r="1053" spans="2:27" x14ac:dyDescent="0.25">
      <c r="B1053" s="10"/>
      <c r="C1053" s="10"/>
      <c r="D1053" s="10"/>
      <c r="F1053" s="50"/>
      <c r="AA1053"/>
    </row>
    <row r="1054" spans="2:27" x14ac:dyDescent="0.25">
      <c r="B1054" s="10"/>
      <c r="C1054" s="10"/>
      <c r="D1054" s="10"/>
      <c r="F1054" s="50"/>
      <c r="AA1054"/>
    </row>
    <row r="1055" spans="2:27" x14ac:dyDescent="0.25">
      <c r="B1055" s="10"/>
      <c r="C1055" s="10"/>
      <c r="D1055" s="10"/>
      <c r="F1055" s="50"/>
      <c r="AA1055"/>
    </row>
    <row r="1056" spans="2:27" x14ac:dyDescent="0.25">
      <c r="B1056" s="10"/>
      <c r="C1056" s="10"/>
      <c r="D1056" s="10"/>
      <c r="F1056" s="50"/>
      <c r="AA1056"/>
    </row>
    <row r="1057" spans="2:27" x14ac:dyDescent="0.25">
      <c r="B1057" s="10"/>
      <c r="C1057" s="10"/>
      <c r="D1057" s="10"/>
      <c r="F1057" s="50"/>
      <c r="AA1057"/>
    </row>
    <row r="1058" spans="2:27" x14ac:dyDescent="0.25">
      <c r="B1058" s="10"/>
      <c r="C1058" s="10"/>
      <c r="D1058" s="10"/>
      <c r="F1058" s="50"/>
      <c r="AA1058"/>
    </row>
    <row r="1059" spans="2:27" x14ac:dyDescent="0.25">
      <c r="B1059" s="10"/>
      <c r="C1059" s="10"/>
      <c r="D1059" s="10"/>
      <c r="F1059" s="50"/>
      <c r="AA1059"/>
    </row>
    <row r="1060" spans="2:27" x14ac:dyDescent="0.25">
      <c r="B1060" s="10"/>
      <c r="C1060" s="10"/>
      <c r="D1060" s="10"/>
      <c r="F1060" s="50"/>
      <c r="AA1060"/>
    </row>
    <row r="1061" spans="2:27" x14ac:dyDescent="0.25">
      <c r="B1061" s="10"/>
      <c r="C1061" s="10"/>
      <c r="D1061" s="10"/>
      <c r="F1061" s="50"/>
      <c r="AA1061"/>
    </row>
    <row r="1062" spans="2:27" x14ac:dyDescent="0.25">
      <c r="B1062" s="10"/>
      <c r="C1062" s="10"/>
      <c r="D1062" s="10"/>
      <c r="F1062" s="50"/>
      <c r="AA1062"/>
    </row>
    <row r="1063" spans="2:27" x14ac:dyDescent="0.25">
      <c r="B1063" s="10"/>
      <c r="C1063" s="10"/>
      <c r="D1063" s="10"/>
      <c r="F1063" s="50"/>
      <c r="AA1063"/>
    </row>
    <row r="1064" spans="2:27" x14ac:dyDescent="0.25">
      <c r="B1064" s="10"/>
      <c r="C1064" s="10"/>
      <c r="D1064" s="10"/>
      <c r="F1064" s="50"/>
      <c r="AA1064"/>
    </row>
    <row r="1065" spans="2:27" x14ac:dyDescent="0.25">
      <c r="B1065" s="10"/>
      <c r="C1065" s="10"/>
      <c r="D1065" s="10"/>
      <c r="F1065" s="50"/>
      <c r="AA1065"/>
    </row>
    <row r="1066" spans="2:27" x14ac:dyDescent="0.25">
      <c r="B1066" s="10"/>
      <c r="C1066" s="10"/>
      <c r="D1066" s="10"/>
      <c r="F1066" s="50"/>
      <c r="AA1066"/>
    </row>
    <row r="1067" spans="2:27" x14ac:dyDescent="0.25">
      <c r="B1067" s="10"/>
      <c r="C1067" s="10"/>
      <c r="D1067" s="10"/>
      <c r="F1067" s="50"/>
      <c r="AA1067"/>
    </row>
    <row r="1068" spans="2:27" x14ac:dyDescent="0.25">
      <c r="B1068" s="10"/>
      <c r="C1068" s="10"/>
      <c r="D1068" s="10"/>
      <c r="F1068" s="50"/>
      <c r="AA1068"/>
    </row>
    <row r="1069" spans="2:27" x14ac:dyDescent="0.25">
      <c r="B1069" s="10"/>
      <c r="C1069" s="10"/>
      <c r="D1069" s="10"/>
      <c r="F1069" s="50"/>
      <c r="AA1069"/>
    </row>
    <row r="1070" spans="2:27" x14ac:dyDescent="0.25">
      <c r="B1070" s="10"/>
      <c r="C1070" s="10"/>
      <c r="D1070" s="10"/>
      <c r="F1070" s="50"/>
      <c r="AA1070"/>
    </row>
    <row r="1071" spans="2:27" x14ac:dyDescent="0.25">
      <c r="B1071" s="10"/>
      <c r="C1071" s="10"/>
      <c r="D1071" s="10"/>
      <c r="F1071" s="50"/>
      <c r="AA1071"/>
    </row>
    <row r="1072" spans="2:27" x14ac:dyDescent="0.25">
      <c r="B1072" s="10"/>
      <c r="C1072" s="10"/>
      <c r="D1072" s="10"/>
      <c r="F1072" s="50"/>
      <c r="AA1072"/>
    </row>
    <row r="1073" spans="2:27" x14ac:dyDescent="0.25">
      <c r="B1073" s="10"/>
      <c r="C1073" s="10"/>
      <c r="D1073" s="10"/>
      <c r="F1073" s="50"/>
      <c r="AA1073"/>
    </row>
    <row r="1074" spans="2:27" x14ac:dyDescent="0.25">
      <c r="B1074" s="10"/>
      <c r="C1074" s="10"/>
      <c r="D1074" s="10"/>
      <c r="F1074" s="50"/>
      <c r="AA1074"/>
    </row>
    <row r="1075" spans="2:27" x14ac:dyDescent="0.25">
      <c r="B1075" s="10"/>
      <c r="C1075" s="10"/>
      <c r="D1075" s="10"/>
      <c r="F1075" s="50"/>
      <c r="AA1075"/>
    </row>
    <row r="1076" spans="2:27" x14ac:dyDescent="0.25">
      <c r="B1076" s="10"/>
      <c r="C1076" s="10"/>
      <c r="D1076" s="10"/>
      <c r="F1076" s="50"/>
      <c r="AA1076"/>
    </row>
    <row r="1077" spans="2:27" x14ac:dyDescent="0.25">
      <c r="B1077" s="10"/>
      <c r="C1077" s="10"/>
      <c r="D1077" s="10"/>
      <c r="F1077" s="50"/>
      <c r="AA1077"/>
    </row>
    <row r="1078" spans="2:27" x14ac:dyDescent="0.25">
      <c r="B1078" s="10"/>
      <c r="C1078" s="10"/>
      <c r="D1078" s="10"/>
      <c r="F1078" s="50"/>
      <c r="AA1078"/>
    </row>
    <row r="1079" spans="2:27" x14ac:dyDescent="0.25">
      <c r="B1079" s="10"/>
      <c r="C1079" s="10"/>
      <c r="D1079" s="10"/>
      <c r="F1079" s="50"/>
      <c r="AA1079"/>
    </row>
    <row r="1080" spans="2:27" x14ac:dyDescent="0.25">
      <c r="B1080" s="10"/>
      <c r="C1080" s="10"/>
      <c r="D1080" s="10"/>
      <c r="F1080" s="50"/>
      <c r="AA1080"/>
    </row>
    <row r="1081" spans="2:27" x14ac:dyDescent="0.25">
      <c r="B1081" s="10"/>
      <c r="C1081" s="10"/>
      <c r="D1081" s="10"/>
      <c r="F1081" s="50"/>
      <c r="AA1081"/>
    </row>
    <row r="1082" spans="2:27" x14ac:dyDescent="0.25">
      <c r="B1082" s="10"/>
      <c r="C1082" s="10"/>
      <c r="D1082" s="10"/>
      <c r="F1082" s="50"/>
      <c r="AA1082"/>
    </row>
    <row r="1083" spans="2:27" x14ac:dyDescent="0.25">
      <c r="B1083" s="10"/>
      <c r="C1083" s="10"/>
      <c r="D1083" s="10"/>
      <c r="F1083" s="50"/>
      <c r="AA1083"/>
    </row>
    <row r="1084" spans="2:27" x14ac:dyDescent="0.25">
      <c r="B1084" s="10"/>
      <c r="C1084" s="10"/>
      <c r="D1084" s="10"/>
      <c r="F1084" s="50"/>
      <c r="AA1084"/>
    </row>
    <row r="1085" spans="2:27" x14ac:dyDescent="0.25">
      <c r="B1085" s="10"/>
      <c r="C1085" s="10"/>
      <c r="D1085" s="10"/>
      <c r="F1085" s="50"/>
      <c r="AA1085"/>
    </row>
    <row r="1086" spans="2:27" x14ac:dyDescent="0.25">
      <c r="B1086" s="10"/>
      <c r="C1086" s="10"/>
      <c r="D1086" s="10"/>
      <c r="F1086" s="50"/>
      <c r="AA1086"/>
    </row>
    <row r="1087" spans="2:27" x14ac:dyDescent="0.25">
      <c r="B1087" s="10"/>
      <c r="C1087" s="10"/>
      <c r="D1087" s="10"/>
      <c r="F1087" s="50"/>
      <c r="AA1087"/>
    </row>
    <row r="1088" spans="2:27" x14ac:dyDescent="0.25">
      <c r="B1088" s="10"/>
      <c r="C1088" s="10"/>
      <c r="D1088" s="10"/>
      <c r="F1088" s="50"/>
      <c r="AA1088"/>
    </row>
    <row r="1089" spans="2:27" x14ac:dyDescent="0.25">
      <c r="B1089" s="10"/>
      <c r="C1089" s="10"/>
      <c r="D1089" s="10"/>
      <c r="F1089" s="50"/>
      <c r="AA1089"/>
    </row>
    <row r="1090" spans="2:27" x14ac:dyDescent="0.25">
      <c r="B1090" s="10"/>
      <c r="C1090" s="10"/>
      <c r="D1090" s="10"/>
      <c r="F1090" s="50"/>
      <c r="AA1090"/>
    </row>
    <row r="1091" spans="2:27" x14ac:dyDescent="0.25">
      <c r="B1091" s="10"/>
      <c r="C1091" s="10"/>
      <c r="D1091" s="10"/>
      <c r="F1091" s="50"/>
      <c r="AA1091"/>
    </row>
    <row r="1092" spans="2:27" x14ac:dyDescent="0.25">
      <c r="B1092" s="10"/>
      <c r="C1092" s="10"/>
      <c r="D1092" s="10"/>
      <c r="F1092" s="50"/>
      <c r="AA1092"/>
    </row>
    <row r="1093" spans="2:27" x14ac:dyDescent="0.25">
      <c r="B1093" s="10"/>
      <c r="C1093" s="10"/>
      <c r="D1093" s="10"/>
      <c r="F1093" s="50"/>
      <c r="AA1093"/>
    </row>
    <row r="1094" spans="2:27" x14ac:dyDescent="0.25">
      <c r="B1094" s="10"/>
      <c r="C1094" s="10"/>
      <c r="D1094" s="10"/>
      <c r="F1094" s="50"/>
      <c r="AA1094"/>
    </row>
    <row r="1095" spans="2:27" x14ac:dyDescent="0.25">
      <c r="B1095" s="10"/>
      <c r="C1095" s="10"/>
      <c r="D1095" s="10"/>
      <c r="F1095" s="50"/>
      <c r="AA1095"/>
    </row>
    <row r="1096" spans="2:27" x14ac:dyDescent="0.25">
      <c r="B1096" s="10"/>
      <c r="C1096" s="10"/>
      <c r="D1096" s="10"/>
      <c r="F1096" s="50"/>
      <c r="AA1096"/>
    </row>
    <row r="1097" spans="2:27" x14ac:dyDescent="0.25">
      <c r="B1097" s="10"/>
      <c r="C1097" s="10"/>
      <c r="D1097" s="10"/>
      <c r="F1097" s="50"/>
      <c r="AA1097"/>
    </row>
    <row r="1098" spans="2:27" x14ac:dyDescent="0.25">
      <c r="B1098" s="10"/>
      <c r="C1098" s="10"/>
      <c r="D1098" s="10"/>
      <c r="F1098" s="50"/>
      <c r="AA1098"/>
    </row>
    <row r="1099" spans="2:27" x14ac:dyDescent="0.25">
      <c r="B1099" s="10"/>
      <c r="C1099" s="10"/>
      <c r="D1099" s="10"/>
      <c r="F1099" s="50"/>
      <c r="AA1099"/>
    </row>
    <row r="1100" spans="2:27" x14ac:dyDescent="0.25">
      <c r="B1100" s="10"/>
      <c r="C1100" s="10"/>
      <c r="D1100" s="10"/>
      <c r="F1100" s="50"/>
      <c r="AA1100"/>
    </row>
    <row r="1101" spans="2:27" x14ac:dyDescent="0.25">
      <c r="B1101" s="10"/>
      <c r="C1101" s="10"/>
      <c r="D1101" s="10"/>
      <c r="F1101" s="50"/>
      <c r="AA1101"/>
    </row>
    <row r="1102" spans="2:27" x14ac:dyDescent="0.25">
      <c r="B1102" s="10"/>
      <c r="C1102" s="10"/>
      <c r="D1102" s="10"/>
      <c r="F1102" s="50"/>
      <c r="AA1102"/>
    </row>
    <row r="1103" spans="2:27" x14ac:dyDescent="0.25">
      <c r="B1103" s="10"/>
      <c r="C1103" s="10"/>
      <c r="D1103" s="10"/>
      <c r="F1103" s="50"/>
      <c r="AA1103"/>
    </row>
    <row r="1104" spans="2:27" x14ac:dyDescent="0.25">
      <c r="B1104" s="10"/>
      <c r="C1104" s="10"/>
      <c r="D1104" s="10"/>
      <c r="F1104" s="50"/>
      <c r="AA1104"/>
    </row>
    <row r="1105" spans="2:27" x14ac:dyDescent="0.25">
      <c r="B1105" s="10"/>
      <c r="C1105" s="10"/>
      <c r="D1105" s="10"/>
      <c r="F1105" s="50"/>
      <c r="AA1105"/>
    </row>
    <row r="1106" spans="2:27" x14ac:dyDescent="0.25">
      <c r="B1106" s="10"/>
      <c r="C1106" s="10"/>
      <c r="D1106" s="10"/>
      <c r="F1106" s="50"/>
      <c r="AA1106"/>
    </row>
    <row r="1107" spans="2:27" x14ac:dyDescent="0.25">
      <c r="B1107" s="10"/>
      <c r="C1107" s="10"/>
      <c r="D1107" s="10"/>
      <c r="F1107" s="50"/>
      <c r="AA1107"/>
    </row>
    <row r="1108" spans="2:27" x14ac:dyDescent="0.25">
      <c r="B1108" s="10"/>
      <c r="C1108" s="10"/>
      <c r="D1108" s="10"/>
      <c r="F1108" s="50"/>
      <c r="AA1108"/>
    </row>
    <row r="1109" spans="2:27" x14ac:dyDescent="0.25">
      <c r="B1109" s="10"/>
      <c r="C1109" s="10"/>
      <c r="D1109" s="10"/>
      <c r="F1109" s="50"/>
      <c r="AA1109"/>
    </row>
    <row r="1110" spans="2:27" x14ac:dyDescent="0.25">
      <c r="B1110" s="10"/>
      <c r="C1110" s="10"/>
      <c r="D1110" s="10"/>
      <c r="F1110" s="50"/>
      <c r="AA1110"/>
    </row>
    <row r="1111" spans="2:27" x14ac:dyDescent="0.25">
      <c r="B1111" s="10"/>
      <c r="C1111" s="10"/>
      <c r="D1111" s="10"/>
      <c r="F1111" s="50"/>
      <c r="AA1111"/>
    </row>
    <row r="1112" spans="2:27" x14ac:dyDescent="0.25">
      <c r="B1112" s="10"/>
      <c r="C1112" s="10"/>
      <c r="D1112" s="10"/>
      <c r="F1112" s="50"/>
      <c r="AA1112"/>
    </row>
    <row r="1113" spans="2:27" x14ac:dyDescent="0.25">
      <c r="B1113" s="10"/>
      <c r="C1113" s="10"/>
      <c r="D1113" s="10"/>
      <c r="F1113" s="50"/>
      <c r="AA1113"/>
    </row>
    <row r="1114" spans="2:27" x14ac:dyDescent="0.25">
      <c r="B1114" s="10"/>
      <c r="C1114" s="10"/>
      <c r="D1114" s="10"/>
      <c r="F1114" s="50"/>
      <c r="AA1114"/>
    </row>
    <row r="1115" spans="2:27" x14ac:dyDescent="0.25">
      <c r="B1115" s="10"/>
      <c r="C1115" s="10"/>
      <c r="D1115" s="10"/>
      <c r="F1115" s="50"/>
      <c r="AA1115"/>
    </row>
    <row r="1116" spans="2:27" x14ac:dyDescent="0.25">
      <c r="B1116" s="10"/>
      <c r="C1116" s="10"/>
      <c r="D1116" s="10"/>
      <c r="F1116" s="50"/>
      <c r="AA1116"/>
    </row>
    <row r="1117" spans="2:27" x14ac:dyDescent="0.25">
      <c r="B1117" s="10"/>
      <c r="C1117" s="10"/>
      <c r="D1117" s="10"/>
      <c r="F1117" s="50"/>
      <c r="AA1117"/>
    </row>
    <row r="1118" spans="2:27" x14ac:dyDescent="0.25">
      <c r="B1118" s="10"/>
      <c r="C1118" s="10"/>
      <c r="D1118" s="10"/>
      <c r="F1118" s="50"/>
      <c r="AA1118"/>
    </row>
    <row r="1119" spans="2:27" x14ac:dyDescent="0.25">
      <c r="B1119" s="10"/>
      <c r="C1119" s="10"/>
      <c r="D1119" s="10"/>
      <c r="F1119" s="50"/>
      <c r="AA1119"/>
    </row>
    <row r="1120" spans="2:27" x14ac:dyDescent="0.25">
      <c r="B1120" s="10"/>
      <c r="C1120" s="10"/>
      <c r="D1120" s="10"/>
      <c r="F1120" s="50"/>
      <c r="AA1120"/>
    </row>
    <row r="1121" spans="2:27" x14ac:dyDescent="0.25">
      <c r="B1121" s="10"/>
      <c r="C1121" s="10"/>
      <c r="D1121" s="10"/>
      <c r="F1121" s="50"/>
      <c r="AA1121"/>
    </row>
    <row r="1122" spans="2:27" x14ac:dyDescent="0.25">
      <c r="B1122" s="10"/>
      <c r="C1122" s="10"/>
      <c r="D1122" s="10"/>
      <c r="F1122" s="50"/>
      <c r="AA1122"/>
    </row>
    <row r="1123" spans="2:27" x14ac:dyDescent="0.25">
      <c r="B1123" s="10"/>
      <c r="C1123" s="10"/>
      <c r="D1123" s="10"/>
      <c r="F1123" s="50"/>
      <c r="AA1123"/>
    </row>
    <row r="1124" spans="2:27" x14ac:dyDescent="0.25">
      <c r="B1124" s="10"/>
      <c r="C1124" s="10"/>
      <c r="D1124" s="10"/>
      <c r="F1124" s="50"/>
      <c r="AA1124"/>
    </row>
    <row r="1125" spans="2:27" x14ac:dyDescent="0.25">
      <c r="B1125" s="10"/>
      <c r="C1125" s="10"/>
      <c r="D1125" s="10"/>
      <c r="F1125" s="50"/>
      <c r="AA1125"/>
    </row>
    <row r="1126" spans="2:27" x14ac:dyDescent="0.25">
      <c r="B1126" s="10"/>
      <c r="C1126" s="10"/>
      <c r="D1126" s="10"/>
      <c r="F1126" s="50"/>
      <c r="AA1126"/>
    </row>
    <row r="1127" spans="2:27" x14ac:dyDescent="0.25">
      <c r="B1127" s="10"/>
      <c r="C1127" s="10"/>
      <c r="D1127" s="10"/>
      <c r="F1127" s="50"/>
      <c r="AA1127"/>
    </row>
    <row r="1128" spans="2:27" x14ac:dyDescent="0.25">
      <c r="B1128" s="10"/>
      <c r="C1128" s="10"/>
      <c r="D1128" s="10"/>
      <c r="F1128" s="50"/>
      <c r="AA1128"/>
    </row>
    <row r="1129" spans="2:27" x14ac:dyDescent="0.25">
      <c r="B1129" s="10"/>
      <c r="C1129" s="10"/>
      <c r="D1129" s="10"/>
      <c r="F1129" s="50"/>
      <c r="AA1129"/>
    </row>
    <row r="1130" spans="2:27" x14ac:dyDescent="0.25">
      <c r="B1130" s="10"/>
      <c r="C1130" s="10"/>
      <c r="D1130" s="10"/>
      <c r="F1130" s="50"/>
      <c r="AA1130"/>
    </row>
    <row r="1131" spans="2:27" x14ac:dyDescent="0.25">
      <c r="B1131" s="10"/>
      <c r="C1131" s="10"/>
      <c r="D1131" s="10"/>
      <c r="F1131" s="50"/>
      <c r="AA1131"/>
    </row>
    <row r="1132" spans="2:27" x14ac:dyDescent="0.25">
      <c r="B1132" s="10"/>
      <c r="C1132" s="10"/>
      <c r="D1132" s="10"/>
      <c r="F1132" s="50"/>
      <c r="AA1132"/>
    </row>
    <row r="1133" spans="2:27" x14ac:dyDescent="0.25">
      <c r="B1133" s="10"/>
      <c r="C1133" s="10"/>
      <c r="D1133" s="10"/>
      <c r="F1133" s="50"/>
      <c r="AA1133"/>
    </row>
    <row r="1134" spans="2:27" x14ac:dyDescent="0.25">
      <c r="B1134" s="10"/>
      <c r="C1134" s="10"/>
      <c r="D1134" s="10"/>
      <c r="F1134" s="50"/>
      <c r="AA1134"/>
    </row>
    <row r="1135" spans="2:27" x14ac:dyDescent="0.25">
      <c r="B1135" s="10"/>
      <c r="C1135" s="10"/>
      <c r="D1135" s="10"/>
      <c r="F1135" s="50"/>
      <c r="AA1135"/>
    </row>
    <row r="1136" spans="2:27" x14ac:dyDescent="0.25">
      <c r="B1136" s="10"/>
      <c r="C1136" s="10"/>
      <c r="D1136" s="10"/>
      <c r="F1136" s="50"/>
      <c r="AA1136"/>
    </row>
    <row r="1137" spans="2:27" x14ac:dyDescent="0.25">
      <c r="B1137" s="10"/>
      <c r="C1137" s="10"/>
      <c r="D1137" s="10"/>
      <c r="F1137" s="50"/>
      <c r="AA1137"/>
    </row>
    <row r="1138" spans="2:27" x14ac:dyDescent="0.25">
      <c r="B1138" s="10"/>
      <c r="C1138" s="10"/>
      <c r="D1138" s="10"/>
      <c r="F1138" s="50"/>
      <c r="AA1138"/>
    </row>
    <row r="1139" spans="2:27" x14ac:dyDescent="0.25">
      <c r="B1139" s="10"/>
      <c r="C1139" s="10"/>
      <c r="D1139" s="10"/>
      <c r="F1139" s="50"/>
      <c r="AA1139"/>
    </row>
    <row r="1140" spans="2:27" x14ac:dyDescent="0.25">
      <c r="B1140" s="10"/>
      <c r="C1140" s="10"/>
      <c r="D1140" s="10"/>
      <c r="F1140" s="50"/>
      <c r="AA1140"/>
    </row>
    <row r="1141" spans="2:27" x14ac:dyDescent="0.25">
      <c r="B1141" s="10"/>
      <c r="C1141" s="10"/>
      <c r="D1141" s="10"/>
      <c r="F1141" s="50"/>
      <c r="AA1141"/>
    </row>
    <row r="1142" spans="2:27" x14ac:dyDescent="0.25">
      <c r="B1142" s="10"/>
      <c r="C1142" s="10"/>
      <c r="D1142" s="10"/>
      <c r="F1142" s="50"/>
      <c r="AA1142"/>
    </row>
    <row r="1143" spans="2:27" x14ac:dyDescent="0.25">
      <c r="B1143" s="10"/>
      <c r="C1143" s="10"/>
      <c r="D1143" s="10"/>
      <c r="F1143" s="50"/>
      <c r="AA1143"/>
    </row>
    <row r="1144" spans="2:27" x14ac:dyDescent="0.25">
      <c r="B1144" s="10"/>
      <c r="C1144" s="10"/>
      <c r="D1144" s="10"/>
      <c r="F1144" s="50"/>
      <c r="AA1144"/>
    </row>
    <row r="1145" spans="2:27" x14ac:dyDescent="0.25">
      <c r="B1145" s="10"/>
      <c r="C1145" s="10"/>
      <c r="D1145" s="10"/>
      <c r="F1145" s="50"/>
      <c r="AA1145"/>
    </row>
    <row r="1146" spans="2:27" x14ac:dyDescent="0.25">
      <c r="B1146" s="10"/>
      <c r="C1146" s="10"/>
      <c r="D1146" s="10"/>
      <c r="F1146" s="50"/>
      <c r="AA1146"/>
    </row>
    <row r="1147" spans="2:27" x14ac:dyDescent="0.25">
      <c r="B1147" s="10"/>
      <c r="C1147" s="10"/>
      <c r="D1147" s="10"/>
      <c r="F1147" s="50"/>
      <c r="AA1147"/>
    </row>
    <row r="1148" spans="2:27" x14ac:dyDescent="0.25">
      <c r="B1148" s="10"/>
      <c r="C1148" s="10"/>
      <c r="D1148" s="10"/>
      <c r="F1148" s="50"/>
      <c r="AA1148"/>
    </row>
    <row r="1149" spans="2:27" x14ac:dyDescent="0.25">
      <c r="B1149" s="10"/>
      <c r="C1149" s="10"/>
      <c r="D1149" s="10"/>
      <c r="F1149" s="50"/>
      <c r="AA1149"/>
    </row>
    <row r="1150" spans="2:27" x14ac:dyDescent="0.25">
      <c r="B1150" s="10"/>
      <c r="C1150" s="10"/>
      <c r="D1150" s="10"/>
      <c r="F1150" s="50"/>
      <c r="AA1150"/>
    </row>
    <row r="1151" spans="2:27" x14ac:dyDescent="0.25">
      <c r="B1151" s="10"/>
      <c r="C1151" s="10"/>
      <c r="D1151" s="10"/>
      <c r="F1151" s="50"/>
      <c r="AA1151"/>
    </row>
    <row r="1152" spans="2:27" x14ac:dyDescent="0.25">
      <c r="B1152" s="10"/>
      <c r="C1152" s="10"/>
      <c r="D1152" s="10"/>
      <c r="F1152" s="50"/>
      <c r="AA1152"/>
    </row>
    <row r="1153" spans="2:27" x14ac:dyDescent="0.25">
      <c r="B1153" s="10"/>
      <c r="C1153" s="10"/>
      <c r="D1153" s="10"/>
      <c r="F1153" s="50"/>
      <c r="AA1153"/>
    </row>
    <row r="1154" spans="2:27" x14ac:dyDescent="0.25">
      <c r="B1154" s="10"/>
      <c r="C1154" s="10"/>
      <c r="D1154" s="10"/>
      <c r="F1154" s="50"/>
      <c r="AA1154"/>
    </row>
    <row r="1155" spans="2:27" x14ac:dyDescent="0.25">
      <c r="B1155" s="10"/>
      <c r="C1155" s="10"/>
      <c r="D1155" s="10"/>
      <c r="F1155" s="50"/>
      <c r="AA1155"/>
    </row>
    <row r="1156" spans="2:27" x14ac:dyDescent="0.25">
      <c r="B1156" s="10"/>
      <c r="C1156" s="10"/>
      <c r="D1156" s="10"/>
      <c r="F1156" s="50"/>
      <c r="AA1156"/>
    </row>
    <row r="1157" spans="2:27" x14ac:dyDescent="0.25">
      <c r="B1157" s="10"/>
      <c r="C1157" s="10"/>
      <c r="D1157" s="10"/>
      <c r="F1157" s="50"/>
      <c r="AA1157"/>
    </row>
    <row r="1158" spans="2:27" x14ac:dyDescent="0.25">
      <c r="B1158" s="10"/>
      <c r="C1158" s="10"/>
      <c r="D1158" s="10"/>
      <c r="F1158" s="50"/>
      <c r="AA1158"/>
    </row>
    <row r="1159" spans="2:27" x14ac:dyDescent="0.25">
      <c r="B1159" s="10"/>
      <c r="C1159" s="10"/>
      <c r="D1159" s="10"/>
      <c r="F1159" s="50"/>
      <c r="AA1159"/>
    </row>
    <row r="1160" spans="2:27" x14ac:dyDescent="0.25">
      <c r="B1160" s="10"/>
      <c r="C1160" s="10"/>
      <c r="D1160" s="10"/>
      <c r="F1160" s="50"/>
      <c r="AA1160"/>
    </row>
    <row r="1161" spans="2:27" x14ac:dyDescent="0.25">
      <c r="B1161" s="10"/>
      <c r="C1161" s="10"/>
      <c r="D1161" s="10"/>
      <c r="F1161" s="50"/>
      <c r="AA1161"/>
    </row>
    <row r="1162" spans="2:27" x14ac:dyDescent="0.25">
      <c r="B1162" s="10"/>
      <c r="C1162" s="10"/>
      <c r="D1162" s="10"/>
      <c r="F1162" s="50"/>
      <c r="AA1162"/>
    </row>
    <row r="1163" spans="2:27" x14ac:dyDescent="0.25">
      <c r="B1163" s="10"/>
      <c r="C1163" s="10"/>
      <c r="D1163" s="10"/>
      <c r="F1163" s="50"/>
      <c r="AA1163"/>
    </row>
    <row r="1164" spans="2:27" x14ac:dyDescent="0.25">
      <c r="B1164" s="10"/>
      <c r="C1164" s="10"/>
      <c r="D1164" s="10"/>
      <c r="F1164" s="50"/>
      <c r="AA1164"/>
    </row>
    <row r="1165" spans="2:27" x14ac:dyDescent="0.25">
      <c r="B1165" s="10"/>
      <c r="C1165" s="10"/>
      <c r="D1165" s="10"/>
      <c r="F1165" s="50"/>
      <c r="AA1165"/>
    </row>
    <row r="1166" spans="2:27" x14ac:dyDescent="0.25">
      <c r="B1166" s="10"/>
      <c r="C1166" s="10"/>
      <c r="D1166" s="10"/>
      <c r="F1166" s="50"/>
      <c r="AA1166"/>
    </row>
    <row r="1167" spans="2:27" x14ac:dyDescent="0.25">
      <c r="B1167" s="10"/>
      <c r="C1167" s="10"/>
      <c r="D1167" s="10"/>
      <c r="F1167" s="50"/>
      <c r="AA1167"/>
    </row>
    <row r="1168" spans="2:27" x14ac:dyDescent="0.25">
      <c r="B1168" s="10"/>
      <c r="C1168" s="10"/>
      <c r="D1168" s="10"/>
      <c r="F1168" s="50"/>
      <c r="AA1168"/>
    </row>
    <row r="1169" spans="2:27" x14ac:dyDescent="0.25">
      <c r="B1169" s="10"/>
      <c r="C1169" s="10"/>
      <c r="D1169" s="10"/>
      <c r="F1169" s="50"/>
      <c r="AA1169"/>
    </row>
    <row r="1170" spans="2:27" x14ac:dyDescent="0.25">
      <c r="B1170" s="10"/>
      <c r="C1170" s="10"/>
      <c r="D1170" s="10"/>
      <c r="F1170" s="50"/>
      <c r="AA1170"/>
    </row>
    <row r="1171" spans="2:27" x14ac:dyDescent="0.25">
      <c r="B1171" s="10"/>
      <c r="C1171" s="10"/>
      <c r="D1171" s="10"/>
      <c r="F1171" s="50"/>
      <c r="AA1171"/>
    </row>
    <row r="1172" spans="2:27" x14ac:dyDescent="0.25">
      <c r="B1172" s="10"/>
      <c r="C1172" s="10"/>
      <c r="D1172" s="10"/>
      <c r="F1172" s="50"/>
      <c r="AA1172"/>
    </row>
    <row r="1173" spans="2:27" x14ac:dyDescent="0.25">
      <c r="B1173" s="10"/>
      <c r="C1173" s="10"/>
      <c r="D1173" s="10"/>
      <c r="F1173" s="50"/>
      <c r="AA1173"/>
    </row>
    <row r="1174" spans="2:27" x14ac:dyDescent="0.25">
      <c r="B1174" s="10"/>
      <c r="C1174" s="10"/>
      <c r="D1174" s="10"/>
      <c r="F1174" s="50"/>
      <c r="AA1174"/>
    </row>
    <row r="1175" spans="2:27" x14ac:dyDescent="0.25">
      <c r="B1175" s="10"/>
      <c r="C1175" s="10"/>
      <c r="D1175" s="10"/>
      <c r="F1175" s="50"/>
      <c r="AA1175"/>
    </row>
    <row r="1176" spans="2:27" x14ac:dyDescent="0.25">
      <c r="B1176" s="10"/>
      <c r="C1176" s="10"/>
      <c r="D1176" s="10"/>
      <c r="F1176" s="50"/>
      <c r="AA1176"/>
    </row>
    <row r="1177" spans="2:27" x14ac:dyDescent="0.25">
      <c r="B1177" s="10"/>
      <c r="C1177" s="10"/>
      <c r="D1177" s="10"/>
      <c r="F1177" s="50"/>
      <c r="AA1177"/>
    </row>
    <row r="1178" spans="2:27" x14ac:dyDescent="0.25">
      <c r="B1178" s="10"/>
      <c r="C1178" s="10"/>
      <c r="D1178" s="10"/>
      <c r="F1178" s="50"/>
      <c r="AA1178"/>
    </row>
    <row r="1179" spans="2:27" x14ac:dyDescent="0.25">
      <c r="B1179" s="10"/>
      <c r="C1179" s="10"/>
      <c r="D1179" s="10"/>
      <c r="F1179" s="50"/>
      <c r="AA1179"/>
    </row>
    <row r="1180" spans="2:27" x14ac:dyDescent="0.25">
      <c r="B1180" s="10"/>
      <c r="C1180" s="10"/>
      <c r="D1180" s="10"/>
      <c r="F1180" s="50"/>
      <c r="AA1180"/>
    </row>
    <row r="1181" spans="2:27" x14ac:dyDescent="0.25">
      <c r="B1181" s="10"/>
      <c r="C1181" s="10"/>
      <c r="D1181" s="10"/>
      <c r="F1181" s="50"/>
      <c r="AA1181"/>
    </row>
    <row r="1182" spans="2:27" x14ac:dyDescent="0.25">
      <c r="B1182" s="10"/>
      <c r="C1182" s="10"/>
      <c r="D1182" s="10"/>
      <c r="F1182" s="50"/>
      <c r="AA1182"/>
    </row>
    <row r="1183" spans="2:27" x14ac:dyDescent="0.25">
      <c r="B1183" s="10"/>
      <c r="C1183" s="10"/>
      <c r="D1183" s="10"/>
      <c r="F1183" s="50"/>
      <c r="AA1183"/>
    </row>
    <row r="1184" spans="2:27" x14ac:dyDescent="0.25">
      <c r="B1184" s="10"/>
      <c r="C1184" s="10"/>
      <c r="D1184" s="10"/>
      <c r="F1184" s="50"/>
      <c r="AA1184"/>
    </row>
    <row r="1185" spans="2:27" x14ac:dyDescent="0.25">
      <c r="B1185" s="10"/>
      <c r="C1185" s="10"/>
      <c r="D1185" s="10"/>
      <c r="F1185" s="50"/>
      <c r="AA1185"/>
    </row>
    <row r="1186" spans="2:27" x14ac:dyDescent="0.25">
      <c r="B1186" s="10"/>
      <c r="C1186" s="10"/>
      <c r="D1186" s="10"/>
      <c r="F1186" s="50"/>
      <c r="AA1186"/>
    </row>
    <row r="1187" spans="2:27" x14ac:dyDescent="0.25">
      <c r="B1187" s="10"/>
      <c r="C1187" s="10"/>
      <c r="D1187" s="10"/>
      <c r="F1187" s="50"/>
      <c r="AA1187"/>
    </row>
    <row r="1188" spans="2:27" x14ac:dyDescent="0.25">
      <c r="B1188" s="10"/>
      <c r="C1188" s="10"/>
      <c r="D1188" s="10"/>
      <c r="F1188" s="50"/>
      <c r="AA1188"/>
    </row>
    <row r="1189" spans="2:27" x14ac:dyDescent="0.25">
      <c r="B1189" s="10"/>
      <c r="C1189" s="10"/>
      <c r="D1189" s="10"/>
      <c r="F1189" s="50"/>
      <c r="AA1189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4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tnCollate">
              <controlPr defaultSize="0" print="0" autoFill="0" autoPict="0" macro="[0]!RunProcess">
                <anchor moveWithCells="1" sizeWithCells="1">
                  <from>
                    <xdr:col>7</xdr:col>
                    <xdr:colOff>314325</xdr:colOff>
                    <xdr:row>5</xdr:row>
                    <xdr:rowOff>57150</xdr:rowOff>
                  </from>
                  <to>
                    <xdr:col>8</xdr:col>
                    <xdr:colOff>657225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tnReset">
              <controlPr defaultSize="0" print="0" autoFill="0" autoPict="0" macro="[0]!ResetAll">
                <anchor moveWithCells="1" sizeWithCells="1">
                  <from>
                    <xdr:col>7</xdr:col>
                    <xdr:colOff>314325</xdr:colOff>
                    <xdr:row>10</xdr:row>
                    <xdr:rowOff>47625</xdr:rowOff>
                  </from>
                  <to>
                    <xdr:col>8</xdr:col>
                    <xdr:colOff>657225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kLoadNonSAP">
              <controlPr defaultSize="0" autoFill="0" autoLine="0" autoPict="0">
                <anchor moveWithCells="1">
                  <from>
                    <xdr:col>10</xdr:col>
                    <xdr:colOff>9525</xdr:colOff>
                    <xdr:row>6</xdr:row>
                    <xdr:rowOff>9525</xdr:rowOff>
                  </from>
                  <to>
                    <xdr:col>12</xdr:col>
                    <xdr:colOff>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B2:G13"/>
  <sheetViews>
    <sheetView zoomScaleNormal="100" workbookViewId="0">
      <selection activeCell="E32" sqref="E32"/>
    </sheetView>
  </sheetViews>
  <sheetFormatPr defaultRowHeight="15" x14ac:dyDescent="0.25"/>
  <cols>
    <col min="1" max="1" width="1.42578125" customWidth="1"/>
    <col min="2" max="2" width="16" customWidth="1"/>
    <col min="3" max="3" width="16.140625" customWidth="1"/>
    <col min="4" max="4" width="1.7109375" customWidth="1"/>
    <col min="5" max="5" width="27.28515625" customWidth="1"/>
    <col min="6" max="6" width="86.5703125" customWidth="1"/>
    <col min="7" max="7" width="9.5703125" customWidth="1"/>
    <col min="8" max="8" width="1.28515625" customWidth="1"/>
    <col min="9" max="9" width="18.28515625" customWidth="1"/>
    <col min="10" max="10" width="18.5703125" customWidth="1"/>
    <col min="11" max="14" width="14.85546875" customWidth="1"/>
    <col min="15" max="15" width="17.5703125" customWidth="1"/>
    <col min="16" max="16" width="19.28515625" customWidth="1"/>
    <col min="17" max="17" width="1.140625" customWidth="1"/>
    <col min="18" max="18" width="9" customWidth="1"/>
    <col min="19" max="19" width="14.28515625" customWidth="1"/>
    <col min="20" max="20" width="13" customWidth="1"/>
    <col min="21" max="22" width="13.85546875" customWidth="1"/>
    <col min="23" max="23" width="11.7109375" customWidth="1"/>
    <col min="24" max="24" width="1.5703125" customWidth="1"/>
  </cols>
  <sheetData>
    <row r="2" spans="2:7" ht="28.5" customHeight="1" x14ac:dyDescent="0.45">
      <c r="B2" s="3" t="s">
        <v>413</v>
      </c>
      <c r="C2" s="3"/>
      <c r="E2" s="3"/>
    </row>
    <row r="3" spans="2:7" ht="15" customHeight="1" x14ac:dyDescent="0.25">
      <c r="B3" s="84"/>
      <c r="C3" s="84"/>
    </row>
    <row r="4" spans="2:7" ht="15" customHeight="1" x14ac:dyDescent="0.25">
      <c r="B4" s="84"/>
      <c r="C4" s="84"/>
    </row>
    <row r="5" spans="2:7" ht="15" customHeight="1" x14ac:dyDescent="0.25">
      <c r="B5" s="84"/>
      <c r="C5" s="84"/>
    </row>
    <row r="6" spans="2:7" x14ac:dyDescent="0.25">
      <c r="B6" s="84"/>
      <c r="C6" s="84"/>
    </row>
    <row r="7" spans="2:7" x14ac:dyDescent="0.25">
      <c r="B7" s="84"/>
      <c r="C7" s="84"/>
    </row>
    <row r="9" spans="2:7" x14ac:dyDescent="0.25">
      <c r="C9" s="25" t="s">
        <v>170</v>
      </c>
      <c r="E9" s="51"/>
    </row>
    <row r="10" spans="2:7" x14ac:dyDescent="0.25">
      <c r="C10" s="25" t="s">
        <v>174</v>
      </c>
      <c r="E10" s="51"/>
    </row>
    <row r="11" spans="2:7" x14ac:dyDescent="0.25">
      <c r="C11" s="25" t="s">
        <v>572</v>
      </c>
      <c r="E11" s="51"/>
    </row>
    <row r="13" spans="2:7" ht="29.25" customHeight="1" x14ac:dyDescent="0.25">
      <c r="B13" s="26" t="s">
        <v>573</v>
      </c>
      <c r="C13" s="26" t="s">
        <v>172</v>
      </c>
      <c r="D13" s="26"/>
      <c r="E13" s="26" t="s">
        <v>173</v>
      </c>
      <c r="F13" s="26"/>
      <c r="G13" s="26"/>
    </row>
  </sheetData>
  <conditionalFormatting sqref="E14">
    <cfRule type="expression" dxfId="1" priority="1">
      <formula>(($F$14+$G$14)=0)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>
    <pageSetUpPr fitToPage="1"/>
  </sheetPr>
  <dimension ref="A1:R93"/>
  <sheetViews>
    <sheetView showGridLines="0" zoomScale="80" zoomScaleNormal="80" workbookViewId="0">
      <pane xSplit="1" ySplit="1" topLeftCell="G2" activePane="bottomRight" state="frozen"/>
      <selection pane="topRight" activeCell="B1" sqref="B1"/>
      <selection pane="bottomLeft" activeCell="A2" sqref="A2"/>
      <selection pane="bottomRight" activeCell="N41" sqref="N41"/>
    </sheetView>
  </sheetViews>
  <sheetFormatPr defaultRowHeight="15" x14ac:dyDescent="0.25"/>
  <cols>
    <col min="1" max="1" width="31.42578125" bestFit="1" customWidth="1"/>
    <col min="2" max="2" width="42.85546875" style="30" customWidth="1"/>
    <col min="3" max="4" width="42.85546875" customWidth="1"/>
    <col min="5" max="5" width="42.85546875" style="84" customWidth="1"/>
    <col min="6" max="6" width="42.85546875" style="97" customWidth="1"/>
    <col min="7" max="7" width="36.28515625" customWidth="1"/>
    <col min="8" max="10" width="42.85546875" style="30" customWidth="1"/>
    <col min="11" max="11" width="4" customWidth="1"/>
    <col min="12" max="12" width="28.28515625" customWidth="1"/>
    <col min="13" max="13" width="32.7109375" bestFit="1" customWidth="1"/>
    <col min="14" max="14" width="30.5703125" bestFit="1" customWidth="1"/>
    <col min="15" max="15" width="3.5703125" bestFit="1" customWidth="1"/>
    <col min="16" max="16" width="3.7109375" bestFit="1" customWidth="1"/>
  </cols>
  <sheetData>
    <row r="1" spans="1:12" x14ac:dyDescent="0.25">
      <c r="B1" s="27" t="s">
        <v>278</v>
      </c>
      <c r="C1" s="27" t="s">
        <v>279</v>
      </c>
      <c r="D1" s="27" t="s">
        <v>280</v>
      </c>
      <c r="E1" s="85" t="s">
        <v>534</v>
      </c>
      <c r="F1" s="100" t="s">
        <v>436</v>
      </c>
      <c r="G1" s="27" t="s">
        <v>281</v>
      </c>
      <c r="H1" s="27" t="s">
        <v>378</v>
      </c>
      <c r="I1" s="85" t="s">
        <v>518</v>
      </c>
      <c r="J1" s="27" t="s">
        <v>379</v>
      </c>
    </row>
    <row r="2" spans="1:12" x14ac:dyDescent="0.25">
      <c r="A2" s="55" t="s">
        <v>282</v>
      </c>
      <c r="B2" s="99" t="s">
        <v>437</v>
      </c>
      <c r="C2" s="99" t="s">
        <v>438</v>
      </c>
      <c r="D2" s="99" t="s">
        <v>439</v>
      </c>
      <c r="E2" s="99" t="s">
        <v>439</v>
      </c>
      <c r="F2" s="99" t="s">
        <v>440</v>
      </c>
      <c r="G2" s="99" t="s">
        <v>441</v>
      </c>
      <c r="H2" s="56" t="s">
        <v>166</v>
      </c>
      <c r="I2" s="87" t="s">
        <v>167</v>
      </c>
      <c r="J2" s="56" t="s">
        <v>168</v>
      </c>
    </row>
    <row r="3" spans="1:12" x14ac:dyDescent="0.25">
      <c r="A3" s="28" t="s">
        <v>176</v>
      </c>
      <c r="B3" s="53" t="s">
        <v>283</v>
      </c>
      <c r="C3" s="53" t="s">
        <v>283</v>
      </c>
      <c r="D3" s="53" t="s">
        <v>354</v>
      </c>
      <c r="E3" s="151" t="s">
        <v>283</v>
      </c>
      <c r="F3" s="101" t="s">
        <v>442</v>
      </c>
      <c r="G3" s="53" t="s">
        <v>546</v>
      </c>
      <c r="H3" s="64" t="s">
        <v>277</v>
      </c>
      <c r="I3" s="91" t="s">
        <v>277</v>
      </c>
      <c r="J3" s="53" t="s">
        <v>277</v>
      </c>
      <c r="L3" s="39" t="s">
        <v>366</v>
      </c>
    </row>
    <row r="4" spans="1:12" ht="30" x14ac:dyDescent="0.25">
      <c r="A4" s="47" t="s">
        <v>371</v>
      </c>
      <c r="B4" s="48" t="s">
        <v>277</v>
      </c>
      <c r="C4" s="48" t="s">
        <v>277</v>
      </c>
      <c r="D4" s="48" t="s">
        <v>277</v>
      </c>
      <c r="E4" s="149" t="s">
        <v>277</v>
      </c>
      <c r="F4" s="102" t="s">
        <v>277</v>
      </c>
      <c r="G4" s="149" t="s">
        <v>539</v>
      </c>
      <c r="H4" s="48" t="s">
        <v>277</v>
      </c>
      <c r="I4" s="148" t="s">
        <v>277</v>
      </c>
      <c r="J4" s="48" t="s">
        <v>277</v>
      </c>
      <c r="L4" s="73" t="s">
        <v>408</v>
      </c>
    </row>
    <row r="5" spans="1:12" s="10" customFormat="1" ht="30" x14ac:dyDescent="0.25">
      <c r="A5" s="47" t="s">
        <v>372</v>
      </c>
      <c r="B5" s="49" t="s">
        <v>277</v>
      </c>
      <c r="C5" s="48" t="s">
        <v>277</v>
      </c>
      <c r="D5" s="49" t="s">
        <v>277</v>
      </c>
      <c r="E5" s="149" t="s">
        <v>277</v>
      </c>
      <c r="F5" s="102" t="s">
        <v>277</v>
      </c>
      <c r="G5" s="149" t="s">
        <v>540</v>
      </c>
      <c r="H5" s="49" t="s">
        <v>277</v>
      </c>
      <c r="I5" s="149" t="s">
        <v>277</v>
      </c>
      <c r="J5" s="49" t="s">
        <v>277</v>
      </c>
      <c r="L5" s="74" t="s">
        <v>409</v>
      </c>
    </row>
    <row r="6" spans="1:12" x14ac:dyDescent="0.25">
      <c r="A6" s="28" t="s">
        <v>198</v>
      </c>
      <c r="B6" s="53" t="s">
        <v>355</v>
      </c>
      <c r="C6" s="53" t="s">
        <v>356</v>
      </c>
      <c r="D6" s="53" t="s">
        <v>283</v>
      </c>
      <c r="E6" s="151" t="s">
        <v>277</v>
      </c>
      <c r="F6" s="101" t="s">
        <v>443</v>
      </c>
      <c r="G6" s="53" t="s">
        <v>541</v>
      </c>
      <c r="H6" s="53" t="s">
        <v>277</v>
      </c>
      <c r="I6" s="151" t="s">
        <v>277</v>
      </c>
      <c r="J6" s="53" t="s">
        <v>277</v>
      </c>
      <c r="L6" s="75" t="s">
        <v>410</v>
      </c>
    </row>
    <row r="7" spans="1:12" x14ac:dyDescent="0.25">
      <c r="A7" s="52" t="s">
        <v>285</v>
      </c>
      <c r="B7" s="64" t="s">
        <v>277</v>
      </c>
      <c r="C7" s="53" t="s">
        <v>283</v>
      </c>
      <c r="D7" s="64" t="s">
        <v>277</v>
      </c>
      <c r="E7" s="91" t="s">
        <v>277</v>
      </c>
      <c r="F7" s="103" t="s">
        <v>283</v>
      </c>
      <c r="G7" s="64" t="s">
        <v>277</v>
      </c>
      <c r="H7" s="64" t="s">
        <v>277</v>
      </c>
      <c r="I7" s="91" t="s">
        <v>519</v>
      </c>
      <c r="J7" s="64" t="s">
        <v>277</v>
      </c>
      <c r="L7" s="75" t="s">
        <v>411</v>
      </c>
    </row>
    <row r="8" spans="1:12" s="10" customFormat="1" x14ac:dyDescent="0.25">
      <c r="A8" s="47" t="s">
        <v>548</v>
      </c>
      <c r="B8" s="49" t="s">
        <v>277</v>
      </c>
      <c r="C8" s="48" t="s">
        <v>283</v>
      </c>
      <c r="D8" s="49" t="s">
        <v>277</v>
      </c>
      <c r="E8" s="149" t="s">
        <v>277</v>
      </c>
      <c r="F8" s="104" t="s">
        <v>283</v>
      </c>
      <c r="G8" s="49" t="s">
        <v>277</v>
      </c>
      <c r="H8" s="49" t="s">
        <v>277</v>
      </c>
      <c r="I8" s="149" t="s">
        <v>519</v>
      </c>
      <c r="J8" s="49" t="s">
        <v>277</v>
      </c>
    </row>
    <row r="9" spans="1:12" s="10" customFormat="1" x14ac:dyDescent="0.25">
      <c r="A9" s="29" t="s">
        <v>380</v>
      </c>
      <c r="B9" s="49" t="s">
        <v>277</v>
      </c>
      <c r="C9" s="48" t="s">
        <v>277</v>
      </c>
      <c r="D9" s="49" t="s">
        <v>277</v>
      </c>
      <c r="E9" s="149" t="s">
        <v>277</v>
      </c>
      <c r="F9" s="104" t="s">
        <v>277</v>
      </c>
      <c r="G9" s="49" t="s">
        <v>277</v>
      </c>
      <c r="H9" s="49" t="s">
        <v>383</v>
      </c>
      <c r="I9" s="149" t="s">
        <v>277</v>
      </c>
      <c r="J9" s="149" t="s">
        <v>277</v>
      </c>
    </row>
    <row r="10" spans="1:12" x14ac:dyDescent="0.25">
      <c r="A10" s="29" t="s">
        <v>381</v>
      </c>
      <c r="B10" s="49" t="s">
        <v>277</v>
      </c>
      <c r="C10" s="48" t="s">
        <v>277</v>
      </c>
      <c r="D10" s="49" t="s">
        <v>277</v>
      </c>
      <c r="E10" s="149" t="s">
        <v>277</v>
      </c>
      <c r="F10" s="104" t="s">
        <v>277</v>
      </c>
      <c r="G10" s="49" t="s">
        <v>277</v>
      </c>
      <c r="H10" s="49" t="s">
        <v>383</v>
      </c>
      <c r="I10" s="149" t="s">
        <v>277</v>
      </c>
      <c r="J10" s="49" t="s">
        <v>277</v>
      </c>
    </row>
    <row r="11" spans="1:12" x14ac:dyDescent="0.25">
      <c r="A11" s="29" t="s">
        <v>382</v>
      </c>
      <c r="B11" s="49" t="s">
        <v>277</v>
      </c>
      <c r="C11" s="48" t="s">
        <v>277</v>
      </c>
      <c r="D11" s="49" t="s">
        <v>277</v>
      </c>
      <c r="E11" s="149" t="s">
        <v>277</v>
      </c>
      <c r="F11" s="104" t="s">
        <v>277</v>
      </c>
      <c r="G11" s="49" t="s">
        <v>277</v>
      </c>
      <c r="H11" s="49" t="s">
        <v>383</v>
      </c>
      <c r="I11" s="149" t="s">
        <v>277</v>
      </c>
      <c r="J11" s="49" t="s">
        <v>277</v>
      </c>
    </row>
    <row r="12" spans="1:12" x14ac:dyDescent="0.25">
      <c r="A12" s="29" t="s">
        <v>384</v>
      </c>
      <c r="B12" s="49" t="s">
        <v>277</v>
      </c>
      <c r="C12" s="48" t="s">
        <v>277</v>
      </c>
      <c r="D12" s="49" t="s">
        <v>277</v>
      </c>
      <c r="E12" s="149" t="s">
        <v>277</v>
      </c>
      <c r="F12" s="104" t="s">
        <v>277</v>
      </c>
      <c r="G12" s="49" t="s">
        <v>277</v>
      </c>
      <c r="H12" s="49" t="s">
        <v>385</v>
      </c>
      <c r="I12" s="149" t="s">
        <v>277</v>
      </c>
      <c r="J12" s="49" t="s">
        <v>277</v>
      </c>
    </row>
    <row r="13" spans="1:12" x14ac:dyDescent="0.25">
      <c r="A13" s="29" t="s">
        <v>551</v>
      </c>
      <c r="B13" s="49" t="s">
        <v>277</v>
      </c>
      <c r="C13" s="49" t="s">
        <v>277</v>
      </c>
      <c r="D13" s="49" t="s">
        <v>277</v>
      </c>
      <c r="E13" s="149" t="s">
        <v>277</v>
      </c>
      <c r="F13" s="104" t="s">
        <v>277</v>
      </c>
      <c r="G13" s="49" t="s">
        <v>277</v>
      </c>
      <c r="H13" s="49" t="s">
        <v>277</v>
      </c>
      <c r="I13" s="149" t="s">
        <v>277</v>
      </c>
      <c r="J13" s="49" t="s">
        <v>422</v>
      </c>
    </row>
    <row r="14" spans="1:12" x14ac:dyDescent="0.25">
      <c r="A14" s="29" t="s">
        <v>552</v>
      </c>
      <c r="B14" s="149" t="s">
        <v>277</v>
      </c>
      <c r="C14" s="149" t="s">
        <v>277</v>
      </c>
      <c r="D14" s="149" t="s">
        <v>277</v>
      </c>
      <c r="E14" s="149" t="s">
        <v>277</v>
      </c>
      <c r="F14" s="104" t="s">
        <v>277</v>
      </c>
      <c r="G14" s="149" t="s">
        <v>277</v>
      </c>
      <c r="H14" s="149" t="s">
        <v>277</v>
      </c>
      <c r="I14" s="149" t="s">
        <v>277</v>
      </c>
      <c r="J14" s="149" t="s">
        <v>422</v>
      </c>
    </row>
    <row r="15" spans="1:12" s="84" customFormat="1" ht="30" x14ac:dyDescent="0.25">
      <c r="A15" s="47" t="s">
        <v>420</v>
      </c>
      <c r="B15" s="49" t="s">
        <v>277</v>
      </c>
      <c r="C15" s="49" t="s">
        <v>277</v>
      </c>
      <c r="D15" s="49" t="s">
        <v>277</v>
      </c>
      <c r="E15" s="149" t="s">
        <v>277</v>
      </c>
      <c r="F15" s="104" t="s">
        <v>277</v>
      </c>
      <c r="G15" s="49" t="s">
        <v>277</v>
      </c>
      <c r="H15" s="49" t="s">
        <v>423</v>
      </c>
      <c r="I15" s="149" t="s">
        <v>277</v>
      </c>
      <c r="J15" s="49" t="s">
        <v>421</v>
      </c>
    </row>
    <row r="16" spans="1:12" s="10" customFormat="1" x14ac:dyDescent="0.25">
      <c r="A16" s="29" t="s">
        <v>419</v>
      </c>
      <c r="B16" s="49" t="s">
        <v>277</v>
      </c>
      <c r="C16" s="48" t="s">
        <v>418</v>
      </c>
      <c r="D16" s="48" t="s">
        <v>418</v>
      </c>
      <c r="E16" s="148" t="s">
        <v>277</v>
      </c>
      <c r="F16" s="102" t="s">
        <v>418</v>
      </c>
      <c r="G16" s="49" t="s">
        <v>277</v>
      </c>
      <c r="H16" s="49" t="s">
        <v>418</v>
      </c>
      <c r="I16" s="149" t="s">
        <v>277</v>
      </c>
      <c r="J16" s="49" t="s">
        <v>277</v>
      </c>
    </row>
    <row r="17" spans="1:18" x14ac:dyDescent="0.25">
      <c r="A17" s="29" t="s">
        <v>416</v>
      </c>
      <c r="B17" s="49" t="s">
        <v>277</v>
      </c>
      <c r="C17" s="48" t="s">
        <v>417</v>
      </c>
      <c r="D17" s="48" t="s">
        <v>417</v>
      </c>
      <c r="E17" s="148" t="s">
        <v>277</v>
      </c>
      <c r="F17" s="102" t="s">
        <v>417</v>
      </c>
      <c r="G17" s="149" t="s">
        <v>277</v>
      </c>
      <c r="H17" s="48" t="s">
        <v>417</v>
      </c>
      <c r="I17" s="148" t="s">
        <v>277</v>
      </c>
      <c r="J17" s="49" t="s">
        <v>277</v>
      </c>
    </row>
    <row r="18" spans="1:18" x14ac:dyDescent="0.25">
      <c r="A18" s="29" t="s">
        <v>414</v>
      </c>
      <c r="B18" s="49" t="s">
        <v>277</v>
      </c>
      <c r="C18" s="48" t="s">
        <v>415</v>
      </c>
      <c r="D18" s="48" t="s">
        <v>415</v>
      </c>
      <c r="E18" s="148" t="s">
        <v>277</v>
      </c>
      <c r="F18" s="102" t="s">
        <v>415</v>
      </c>
      <c r="G18" s="49" t="s">
        <v>277</v>
      </c>
      <c r="H18" s="48" t="s">
        <v>415</v>
      </c>
      <c r="I18" s="148" t="s">
        <v>277</v>
      </c>
      <c r="J18" s="49" t="s">
        <v>277</v>
      </c>
    </row>
    <row r="19" spans="1:18" x14ac:dyDescent="0.25">
      <c r="A19" s="29" t="s">
        <v>386</v>
      </c>
      <c r="B19" s="49" t="s">
        <v>277</v>
      </c>
      <c r="C19" s="48" t="s">
        <v>277</v>
      </c>
      <c r="D19" s="49" t="s">
        <v>277</v>
      </c>
      <c r="E19" s="149" t="s">
        <v>277</v>
      </c>
      <c r="F19" s="104" t="s">
        <v>277</v>
      </c>
      <c r="G19" s="49" t="s">
        <v>277</v>
      </c>
      <c r="H19" s="149" t="s">
        <v>533</v>
      </c>
      <c r="I19" s="149" t="s">
        <v>277</v>
      </c>
      <c r="J19" s="49" t="s">
        <v>277</v>
      </c>
    </row>
    <row r="20" spans="1:18" x14ac:dyDescent="0.25">
      <c r="A20" s="29" t="s">
        <v>549</v>
      </c>
      <c r="B20" s="49" t="s">
        <v>277</v>
      </c>
      <c r="C20" s="48" t="s">
        <v>277</v>
      </c>
      <c r="D20" s="49" t="s">
        <v>277</v>
      </c>
      <c r="E20" s="149" t="s">
        <v>277</v>
      </c>
      <c r="F20" s="104" t="s">
        <v>444</v>
      </c>
      <c r="G20" s="149" t="s">
        <v>542</v>
      </c>
      <c r="H20" s="49" t="s">
        <v>387</v>
      </c>
      <c r="I20" s="149" t="s">
        <v>277</v>
      </c>
      <c r="J20" s="49" t="s">
        <v>283</v>
      </c>
    </row>
    <row r="21" spans="1:18" x14ac:dyDescent="0.25">
      <c r="A21" s="29" t="s">
        <v>550</v>
      </c>
      <c r="B21" s="149" t="s">
        <v>277</v>
      </c>
      <c r="C21" s="148" t="s">
        <v>277</v>
      </c>
      <c r="D21" s="149" t="s">
        <v>277</v>
      </c>
      <c r="E21" s="149" t="s">
        <v>277</v>
      </c>
      <c r="F21" s="104" t="s">
        <v>444</v>
      </c>
      <c r="G21" s="149" t="s">
        <v>542</v>
      </c>
      <c r="H21" s="149" t="s">
        <v>387</v>
      </c>
      <c r="I21" s="149" t="s">
        <v>277</v>
      </c>
      <c r="J21" s="149" t="s">
        <v>283</v>
      </c>
    </row>
    <row r="22" spans="1:18" s="84" customFormat="1" ht="30" x14ac:dyDescent="0.25">
      <c r="A22" s="47" t="s">
        <v>373</v>
      </c>
      <c r="B22" s="49" t="s">
        <v>277</v>
      </c>
      <c r="C22" s="48" t="s">
        <v>277</v>
      </c>
      <c r="D22" s="49" t="s">
        <v>277</v>
      </c>
      <c r="E22" s="149" t="s">
        <v>277</v>
      </c>
      <c r="F22" s="104" t="s">
        <v>283</v>
      </c>
      <c r="G22" s="149" t="s">
        <v>539</v>
      </c>
      <c r="H22" s="49" t="s">
        <v>383</v>
      </c>
      <c r="I22" s="149" t="s">
        <v>520</v>
      </c>
      <c r="J22" s="49" t="s">
        <v>283</v>
      </c>
    </row>
    <row r="23" spans="1:18" x14ac:dyDescent="0.25">
      <c r="A23" s="28" t="s">
        <v>521</v>
      </c>
      <c r="B23" s="64" t="s">
        <v>277</v>
      </c>
      <c r="C23" s="64" t="s">
        <v>277</v>
      </c>
      <c r="D23" s="64" t="s">
        <v>277</v>
      </c>
      <c r="E23" s="91" t="s">
        <v>277</v>
      </c>
      <c r="F23" s="103" t="s">
        <v>277</v>
      </c>
      <c r="G23" s="53" t="s">
        <v>277</v>
      </c>
      <c r="H23" s="64" t="s">
        <v>277</v>
      </c>
      <c r="I23" s="91" t="s">
        <v>277</v>
      </c>
      <c r="J23" s="64" t="s">
        <v>283</v>
      </c>
    </row>
    <row r="24" spans="1:18" x14ac:dyDescent="0.25">
      <c r="A24" s="29" t="s">
        <v>307</v>
      </c>
      <c r="B24" s="49" t="s">
        <v>277</v>
      </c>
      <c r="C24" s="48" t="s">
        <v>283</v>
      </c>
      <c r="D24" s="49" t="s">
        <v>277</v>
      </c>
      <c r="E24" s="149" t="s">
        <v>277</v>
      </c>
      <c r="F24" s="103" t="s">
        <v>428</v>
      </c>
      <c r="G24" s="49" t="s">
        <v>277</v>
      </c>
      <c r="H24" s="49" t="s">
        <v>277</v>
      </c>
      <c r="I24" s="149" t="s">
        <v>519</v>
      </c>
      <c r="J24" s="49" t="s">
        <v>277</v>
      </c>
    </row>
    <row r="25" spans="1:18" x14ac:dyDescent="0.25">
      <c r="A25" s="29" t="s">
        <v>308</v>
      </c>
      <c r="B25" s="49" t="s">
        <v>277</v>
      </c>
      <c r="C25" s="49" t="s">
        <v>283</v>
      </c>
      <c r="D25" s="49" t="s">
        <v>277</v>
      </c>
      <c r="E25" s="149" t="s">
        <v>277</v>
      </c>
      <c r="F25" s="103" t="s">
        <v>426</v>
      </c>
      <c r="G25" s="48" t="s">
        <v>277</v>
      </c>
      <c r="H25" s="49" t="s">
        <v>277</v>
      </c>
      <c r="I25" s="149" t="s">
        <v>519</v>
      </c>
      <c r="J25" s="49" t="s">
        <v>277</v>
      </c>
    </row>
    <row r="26" spans="1:18" x14ac:dyDescent="0.25">
      <c r="A26" s="137" t="s">
        <v>168</v>
      </c>
      <c r="B26" s="103" t="s">
        <v>277</v>
      </c>
      <c r="C26" s="103" t="s">
        <v>277</v>
      </c>
      <c r="D26" s="103" t="s">
        <v>277</v>
      </c>
      <c r="E26" s="103" t="s">
        <v>277</v>
      </c>
      <c r="F26" s="103" t="s">
        <v>277</v>
      </c>
      <c r="G26" s="103" t="s">
        <v>277</v>
      </c>
      <c r="H26" s="103" t="s">
        <v>277</v>
      </c>
      <c r="I26" s="103" t="s">
        <v>277</v>
      </c>
      <c r="J26" s="103" t="s">
        <v>283</v>
      </c>
    </row>
    <row r="27" spans="1:18" s="97" customFormat="1" x14ac:dyDescent="0.25">
      <c r="A27" s="105" t="s">
        <v>537</v>
      </c>
      <c r="B27" s="104" t="s">
        <v>277</v>
      </c>
      <c r="C27" s="104" t="s">
        <v>277</v>
      </c>
      <c r="D27" s="104" t="s">
        <v>277</v>
      </c>
      <c r="E27" s="104" t="s">
        <v>283</v>
      </c>
      <c r="F27" s="104" t="s">
        <v>277</v>
      </c>
      <c r="G27" s="104" t="s">
        <v>277</v>
      </c>
      <c r="H27" s="104" t="s">
        <v>277</v>
      </c>
      <c r="I27" s="104" t="s">
        <v>277</v>
      </c>
      <c r="J27" s="104" t="s">
        <v>277</v>
      </c>
    </row>
    <row r="28" spans="1:18" s="97" customFormat="1" x14ac:dyDescent="0.25">
      <c r="A28" s="105" t="s">
        <v>538</v>
      </c>
      <c r="B28" s="104" t="s">
        <v>277</v>
      </c>
      <c r="C28" s="104" t="s">
        <v>277</v>
      </c>
      <c r="D28" s="104" t="s">
        <v>277</v>
      </c>
      <c r="E28" s="104" t="s">
        <v>283</v>
      </c>
      <c r="F28" s="104" t="s">
        <v>277</v>
      </c>
      <c r="G28" s="104" t="s">
        <v>277</v>
      </c>
      <c r="H28" s="104" t="s">
        <v>277</v>
      </c>
      <c r="I28" s="104" t="s">
        <v>277</v>
      </c>
      <c r="J28" s="104" t="s">
        <v>277</v>
      </c>
    </row>
    <row r="29" spans="1:18" s="97" customFormat="1" x14ac:dyDescent="0.25">
      <c r="A29" s="98" t="s">
        <v>167</v>
      </c>
      <c r="B29" s="95" t="s">
        <v>277</v>
      </c>
      <c r="C29" s="95" t="s">
        <v>277</v>
      </c>
      <c r="D29" s="95" t="s">
        <v>277</v>
      </c>
      <c r="E29" s="95" t="s">
        <v>277</v>
      </c>
      <c r="F29" s="95" t="s">
        <v>277</v>
      </c>
      <c r="G29" s="95" t="s">
        <v>277</v>
      </c>
      <c r="H29" s="95" t="s">
        <v>277</v>
      </c>
      <c r="I29" s="95" t="s">
        <v>283</v>
      </c>
      <c r="J29" s="95" t="s">
        <v>277</v>
      </c>
    </row>
    <row r="30" spans="1:18" s="97" customFormat="1" x14ac:dyDescent="0.25">
      <c r="A30" s="55" t="s">
        <v>286</v>
      </c>
      <c r="B30" s="56"/>
      <c r="C30" s="57"/>
      <c r="D30" s="57"/>
      <c r="E30" s="88"/>
      <c r="F30" s="88"/>
      <c r="G30" s="57"/>
      <c r="H30" s="56"/>
      <c r="I30" s="87"/>
      <c r="J30" s="56"/>
    </row>
    <row r="31" spans="1:18" x14ac:dyDescent="0.25">
      <c r="A31" s="28" t="s">
        <v>182</v>
      </c>
      <c r="B31" s="53" t="s">
        <v>357</v>
      </c>
      <c r="C31" s="53" t="s">
        <v>357</v>
      </c>
      <c r="D31" s="53" t="s">
        <v>357</v>
      </c>
      <c r="E31" s="151" t="s">
        <v>535</v>
      </c>
      <c r="F31" s="101" t="s">
        <v>357</v>
      </c>
      <c r="G31" s="53" t="s">
        <v>283</v>
      </c>
      <c r="H31" s="64" t="s">
        <v>277</v>
      </c>
      <c r="I31" s="91" t="s">
        <v>277</v>
      </c>
      <c r="J31" s="64" t="s">
        <v>277</v>
      </c>
    </row>
    <row r="32" spans="1:18" x14ac:dyDescent="0.25">
      <c r="A32" s="28" t="s">
        <v>390</v>
      </c>
      <c r="B32" s="53" t="s">
        <v>283</v>
      </c>
      <c r="C32" s="53" t="s">
        <v>283</v>
      </c>
      <c r="D32" s="53" t="s">
        <v>283</v>
      </c>
      <c r="E32" s="151" t="s">
        <v>283</v>
      </c>
      <c r="F32" s="101" t="s">
        <v>283</v>
      </c>
      <c r="G32" s="53" t="s">
        <v>283</v>
      </c>
      <c r="H32" s="53" t="s">
        <v>283</v>
      </c>
      <c r="I32" s="151" t="s">
        <v>283</v>
      </c>
      <c r="J32" s="53" t="s">
        <v>283</v>
      </c>
      <c r="K32" s="30"/>
      <c r="L32" s="30"/>
      <c r="M32" s="30"/>
      <c r="N32" s="30"/>
      <c r="O32" s="30"/>
      <c r="P32" s="30"/>
      <c r="Q32" s="30"/>
      <c r="R32" s="30"/>
    </row>
    <row r="33" spans="1:18" x14ac:dyDescent="0.25">
      <c r="A33" s="28" t="s">
        <v>364</v>
      </c>
      <c r="B33" s="53" t="s">
        <v>283</v>
      </c>
      <c r="C33" s="53" t="s">
        <v>283</v>
      </c>
      <c r="D33" s="53" t="s">
        <v>283</v>
      </c>
      <c r="E33" s="151" t="s">
        <v>283</v>
      </c>
      <c r="F33" s="101" t="s">
        <v>283</v>
      </c>
      <c r="G33" s="53" t="s">
        <v>283</v>
      </c>
      <c r="H33" s="64" t="s">
        <v>277</v>
      </c>
      <c r="I33" s="91" t="s">
        <v>283</v>
      </c>
      <c r="J33" s="53" t="s">
        <v>277</v>
      </c>
      <c r="K33" s="30"/>
      <c r="L33" s="30"/>
      <c r="M33" s="30"/>
      <c r="N33" s="30"/>
      <c r="O33" s="30"/>
      <c r="P33" s="30"/>
      <c r="Q33" s="30"/>
      <c r="R33" s="30"/>
    </row>
    <row r="34" spans="1:18" x14ac:dyDescent="0.25">
      <c r="A34" s="28" t="s">
        <v>183</v>
      </c>
      <c r="B34" s="53" t="s">
        <v>283</v>
      </c>
      <c r="C34" s="53" t="s">
        <v>283</v>
      </c>
      <c r="D34" s="53" t="s">
        <v>283</v>
      </c>
      <c r="E34" s="151" t="s">
        <v>283</v>
      </c>
      <c r="F34" s="101" t="s">
        <v>283</v>
      </c>
      <c r="G34" s="53" t="s">
        <v>283</v>
      </c>
      <c r="H34" s="53" t="s">
        <v>283</v>
      </c>
      <c r="I34" s="151" t="s">
        <v>283</v>
      </c>
      <c r="J34" s="53" t="s">
        <v>283</v>
      </c>
      <c r="K34" s="30"/>
      <c r="L34" s="30"/>
      <c r="M34" s="30"/>
      <c r="N34" s="30"/>
      <c r="O34" s="30"/>
      <c r="P34" s="30"/>
      <c r="Q34" s="30"/>
      <c r="R34" s="30"/>
    </row>
    <row r="35" spans="1:18" x14ac:dyDescent="0.25">
      <c r="A35" s="28" t="s">
        <v>184</v>
      </c>
      <c r="B35" s="53" t="s">
        <v>283</v>
      </c>
      <c r="C35" s="53" t="s">
        <v>283</v>
      </c>
      <c r="D35" s="53" t="s">
        <v>283</v>
      </c>
      <c r="E35" s="151" t="s">
        <v>283</v>
      </c>
      <c r="F35" s="101" t="s">
        <v>283</v>
      </c>
      <c r="G35" s="53" t="s">
        <v>283</v>
      </c>
      <c r="H35" s="91" t="s">
        <v>277</v>
      </c>
      <c r="I35" s="151" t="s">
        <v>283</v>
      </c>
      <c r="J35" s="91" t="s">
        <v>277</v>
      </c>
      <c r="K35" s="30"/>
      <c r="L35" s="30"/>
      <c r="M35" s="30"/>
      <c r="N35" s="30"/>
      <c r="O35" s="30"/>
      <c r="P35" s="30"/>
      <c r="Q35" s="30"/>
      <c r="R35" s="30"/>
    </row>
    <row r="36" spans="1:18" x14ac:dyDescent="0.25">
      <c r="A36" s="89" t="s">
        <v>569</v>
      </c>
      <c r="B36" s="151" t="s">
        <v>277</v>
      </c>
      <c r="C36" s="151" t="s">
        <v>277</v>
      </c>
      <c r="D36" s="151" t="s">
        <v>277</v>
      </c>
      <c r="E36" s="151" t="s">
        <v>277</v>
      </c>
      <c r="F36" s="101" t="s">
        <v>277</v>
      </c>
      <c r="G36" s="151" t="s">
        <v>277</v>
      </c>
      <c r="H36" s="91" t="s">
        <v>383</v>
      </c>
      <c r="I36" s="151" t="s">
        <v>520</v>
      </c>
      <c r="J36" s="91" t="s">
        <v>422</v>
      </c>
      <c r="K36" s="30"/>
      <c r="L36" s="30"/>
      <c r="M36" s="30"/>
      <c r="N36" s="30"/>
      <c r="O36" s="30"/>
      <c r="P36" s="30"/>
      <c r="Q36" s="30"/>
      <c r="R36" s="30"/>
    </row>
    <row r="37" spans="1:18" s="84" customFormat="1" x14ac:dyDescent="0.25">
      <c r="A37" s="89" t="s">
        <v>568</v>
      </c>
      <c r="B37" s="151" t="s">
        <v>277</v>
      </c>
      <c r="C37" s="151" t="s">
        <v>277</v>
      </c>
      <c r="D37" s="151" t="s">
        <v>277</v>
      </c>
      <c r="E37" s="151" t="s">
        <v>277</v>
      </c>
      <c r="F37" s="101" t="s">
        <v>277</v>
      </c>
      <c r="G37" s="151" t="s">
        <v>277</v>
      </c>
      <c r="H37" s="91" t="s">
        <v>277</v>
      </c>
      <c r="I37" s="151" t="s">
        <v>277</v>
      </c>
      <c r="J37" s="91" t="s">
        <v>422</v>
      </c>
      <c r="K37" s="30"/>
      <c r="L37" s="30"/>
      <c r="M37" s="30"/>
      <c r="N37" s="30"/>
      <c r="O37" s="30"/>
      <c r="P37" s="30"/>
      <c r="Q37" s="30"/>
      <c r="R37" s="30"/>
    </row>
    <row r="38" spans="1:18" s="84" customFormat="1" x14ac:dyDescent="0.25">
      <c r="A38" s="89" t="s">
        <v>570</v>
      </c>
      <c r="B38" s="151" t="s">
        <v>277</v>
      </c>
      <c r="C38" s="151" t="s">
        <v>277</v>
      </c>
      <c r="D38" s="151" t="s">
        <v>277</v>
      </c>
      <c r="E38" s="151" t="s">
        <v>277</v>
      </c>
      <c r="F38" s="101" t="s">
        <v>277</v>
      </c>
      <c r="G38" s="151" t="s">
        <v>277</v>
      </c>
      <c r="H38" s="91" t="s">
        <v>277</v>
      </c>
      <c r="I38" s="151" t="s">
        <v>277</v>
      </c>
      <c r="J38" s="91" t="s">
        <v>283</v>
      </c>
      <c r="K38" s="30"/>
      <c r="L38" s="30"/>
      <c r="M38" s="30"/>
      <c r="N38" s="30"/>
      <c r="O38" s="30"/>
      <c r="P38" s="30"/>
      <c r="Q38" s="30"/>
      <c r="R38" s="30"/>
    </row>
    <row r="39" spans="1:18" s="84" customFormat="1" x14ac:dyDescent="0.25">
      <c r="A39" s="28" t="s">
        <v>193</v>
      </c>
      <c r="B39" s="64" t="s">
        <v>277</v>
      </c>
      <c r="C39" s="64" t="s">
        <v>283</v>
      </c>
      <c r="D39" s="64" t="s">
        <v>283</v>
      </c>
      <c r="E39" s="91" t="s">
        <v>277</v>
      </c>
      <c r="F39" s="103" t="s">
        <v>283</v>
      </c>
      <c r="G39" s="64" t="s">
        <v>277</v>
      </c>
      <c r="H39" s="64" t="s">
        <v>283</v>
      </c>
      <c r="I39" s="91" t="s">
        <v>283</v>
      </c>
      <c r="J39" s="64" t="s">
        <v>277</v>
      </c>
      <c r="K39" s="30"/>
      <c r="L39" s="30"/>
      <c r="M39" s="30"/>
      <c r="N39" s="30"/>
      <c r="O39" s="30"/>
      <c r="P39" s="30"/>
      <c r="Q39" s="30"/>
      <c r="R39" s="30"/>
    </row>
    <row r="40" spans="1:18" x14ac:dyDescent="0.25">
      <c r="A40" s="28" t="s">
        <v>287</v>
      </c>
      <c r="B40" s="64" t="s">
        <v>277</v>
      </c>
      <c r="C40" s="64" t="s">
        <v>283</v>
      </c>
      <c r="D40" s="64" t="s">
        <v>283</v>
      </c>
      <c r="E40" s="91" t="s">
        <v>283</v>
      </c>
      <c r="F40" s="103" t="s">
        <v>283</v>
      </c>
      <c r="G40" s="64" t="s">
        <v>277</v>
      </c>
      <c r="H40" s="64" t="s">
        <v>283</v>
      </c>
      <c r="I40" s="91" t="s">
        <v>283</v>
      </c>
      <c r="J40" s="64" t="s">
        <v>277</v>
      </c>
      <c r="K40" s="30"/>
      <c r="L40" s="30"/>
      <c r="M40" s="30"/>
      <c r="N40" s="30"/>
      <c r="O40" s="30"/>
      <c r="P40" s="30"/>
      <c r="Q40" s="30"/>
      <c r="R40" s="30"/>
    </row>
    <row r="41" spans="1:18" x14ac:dyDescent="0.25">
      <c r="A41" s="28" t="s">
        <v>194</v>
      </c>
      <c r="B41" s="64" t="s">
        <v>277</v>
      </c>
      <c r="C41" s="64" t="s">
        <v>277</v>
      </c>
      <c r="D41" s="64" t="s">
        <v>277</v>
      </c>
      <c r="E41" s="91" t="s">
        <v>277</v>
      </c>
      <c r="F41" s="103" t="s">
        <v>283</v>
      </c>
      <c r="G41" s="91" t="s">
        <v>542</v>
      </c>
      <c r="H41" s="64" t="s">
        <v>283</v>
      </c>
      <c r="I41" s="91" t="s">
        <v>277</v>
      </c>
      <c r="J41" s="64" t="s">
        <v>283</v>
      </c>
      <c r="K41" s="30"/>
      <c r="L41" s="30"/>
      <c r="M41" s="30"/>
      <c r="N41" s="30"/>
      <c r="O41" s="30"/>
      <c r="P41" s="30"/>
      <c r="Q41" s="30"/>
      <c r="R41" s="30"/>
    </row>
    <row r="42" spans="1:18" x14ac:dyDescent="0.25">
      <c r="A42" s="28" t="s">
        <v>195</v>
      </c>
      <c r="B42" s="64" t="s">
        <v>277</v>
      </c>
      <c r="C42" s="64" t="s">
        <v>277</v>
      </c>
      <c r="D42" s="64" t="s">
        <v>277</v>
      </c>
      <c r="E42" s="91" t="s">
        <v>277</v>
      </c>
      <c r="F42" s="103" t="s">
        <v>277</v>
      </c>
      <c r="G42" s="64" t="s">
        <v>277</v>
      </c>
      <c r="H42" s="64" t="s">
        <v>391</v>
      </c>
      <c r="I42" s="91" t="s">
        <v>277</v>
      </c>
      <c r="J42" s="64" t="s">
        <v>391</v>
      </c>
      <c r="K42" s="30"/>
      <c r="L42" s="30"/>
      <c r="M42" s="30"/>
      <c r="N42" s="30"/>
      <c r="O42" s="30"/>
      <c r="P42" s="30"/>
      <c r="Q42" s="30"/>
      <c r="R42" s="30"/>
    </row>
    <row r="43" spans="1:18" x14ac:dyDescent="0.25">
      <c r="A43" s="28" t="s">
        <v>196</v>
      </c>
      <c r="B43" s="64" t="s">
        <v>277</v>
      </c>
      <c r="C43" s="64" t="s">
        <v>277</v>
      </c>
      <c r="D43" s="64" t="s">
        <v>277</v>
      </c>
      <c r="E43" s="91" t="s">
        <v>277</v>
      </c>
      <c r="F43" s="103" t="s">
        <v>283</v>
      </c>
      <c r="G43" s="91" t="s">
        <v>542</v>
      </c>
      <c r="H43" s="64" t="s">
        <v>283</v>
      </c>
      <c r="I43" s="91" t="s">
        <v>277</v>
      </c>
      <c r="J43" s="64" t="s">
        <v>283</v>
      </c>
      <c r="K43" s="30"/>
      <c r="L43" s="30"/>
      <c r="M43" s="30"/>
      <c r="N43" s="30"/>
      <c r="O43" s="30"/>
      <c r="P43" s="30"/>
      <c r="Q43" s="30"/>
      <c r="R43" s="30"/>
    </row>
    <row r="44" spans="1:18" x14ac:dyDescent="0.25">
      <c r="A44" s="29" t="s">
        <v>197</v>
      </c>
      <c r="B44" s="49" t="s">
        <v>277</v>
      </c>
      <c r="C44" s="49" t="s">
        <v>358</v>
      </c>
      <c r="D44" s="49" t="s">
        <v>358</v>
      </c>
      <c r="E44" s="149" t="s">
        <v>283</v>
      </c>
      <c r="F44" s="104" t="s">
        <v>283</v>
      </c>
      <c r="G44" s="149" t="s">
        <v>542</v>
      </c>
      <c r="H44" s="49" t="s">
        <v>283</v>
      </c>
      <c r="I44" s="149" t="s">
        <v>277</v>
      </c>
      <c r="J44" s="49" t="s">
        <v>283</v>
      </c>
      <c r="K44" s="30"/>
      <c r="L44" s="34" t="s">
        <v>309</v>
      </c>
      <c r="M44" s="33">
        <v>300</v>
      </c>
      <c r="N44" t="s">
        <v>310</v>
      </c>
      <c r="Q44" s="30"/>
      <c r="R44" s="30"/>
    </row>
    <row r="45" spans="1:18" x14ac:dyDescent="0.25">
      <c r="A45" s="105" t="s">
        <v>424</v>
      </c>
      <c r="B45" s="104" t="s">
        <v>277</v>
      </c>
      <c r="C45" s="104" t="s">
        <v>277</v>
      </c>
      <c r="D45" s="104" t="s">
        <v>277</v>
      </c>
      <c r="E45" s="104" t="s">
        <v>277</v>
      </c>
      <c r="F45" s="104" t="s">
        <v>277</v>
      </c>
      <c r="G45" s="104" t="s">
        <v>277</v>
      </c>
      <c r="H45" s="131" t="s">
        <v>429</v>
      </c>
      <c r="I45" s="164" t="s">
        <v>277</v>
      </c>
      <c r="J45" s="104" t="s">
        <v>283</v>
      </c>
      <c r="K45" s="30"/>
      <c r="L45" s="30"/>
      <c r="M45" s="30"/>
      <c r="N45" s="30"/>
    </row>
    <row r="46" spans="1:18" s="97" customFormat="1" x14ac:dyDescent="0.25">
      <c r="A46" s="98" t="s">
        <v>445</v>
      </c>
      <c r="B46" s="95" t="s">
        <v>446</v>
      </c>
      <c r="C46" s="95" t="s">
        <v>446</v>
      </c>
      <c r="D46" s="95" t="s">
        <v>446</v>
      </c>
      <c r="E46" s="95" t="s">
        <v>277</v>
      </c>
      <c r="F46" s="95" t="s">
        <v>446</v>
      </c>
      <c r="G46" s="95" t="s">
        <v>446</v>
      </c>
      <c r="H46" s="106" t="s">
        <v>277</v>
      </c>
      <c r="I46" s="165" t="s">
        <v>277</v>
      </c>
      <c r="J46" s="95" t="s">
        <v>277</v>
      </c>
      <c r="K46" s="96"/>
      <c r="L46" s="96"/>
      <c r="M46" s="96"/>
      <c r="N46" s="96"/>
      <c r="O46"/>
      <c r="P46"/>
    </row>
    <row r="47" spans="1:18" s="97" customFormat="1" x14ac:dyDescent="0.25">
      <c r="A47" s="55" t="s">
        <v>288</v>
      </c>
      <c r="B47" s="56"/>
      <c r="C47" s="57"/>
      <c r="D47" s="57"/>
      <c r="E47" s="88"/>
      <c r="F47" s="88"/>
      <c r="G47" s="57"/>
      <c r="H47" s="56"/>
      <c r="I47" s="87"/>
      <c r="J47" s="56"/>
      <c r="K47" s="96"/>
      <c r="L47" s="96"/>
      <c r="M47" s="96"/>
      <c r="N47" s="96"/>
      <c r="O47" s="179" t="s">
        <v>370</v>
      </c>
      <c r="P47" s="180"/>
    </row>
    <row r="48" spans="1:18" x14ac:dyDescent="0.25">
      <c r="A48" s="52" t="s">
        <v>187</v>
      </c>
      <c r="B48" s="53" t="s">
        <v>283</v>
      </c>
      <c r="C48" s="53" t="s">
        <v>283</v>
      </c>
      <c r="D48" s="53" t="s">
        <v>283</v>
      </c>
      <c r="E48" s="151" t="s">
        <v>277</v>
      </c>
      <c r="F48" s="101" t="s">
        <v>283</v>
      </c>
      <c r="G48" s="53" t="s">
        <v>544</v>
      </c>
      <c r="H48" s="53" t="s">
        <v>277</v>
      </c>
      <c r="I48" s="151" t="s">
        <v>277</v>
      </c>
      <c r="J48" s="53" t="s">
        <v>277</v>
      </c>
      <c r="L48" s="58" t="s">
        <v>312</v>
      </c>
      <c r="M48" s="59" t="s">
        <v>315</v>
      </c>
      <c r="N48" s="60" t="s">
        <v>369</v>
      </c>
      <c r="O48" s="58" t="s">
        <v>367</v>
      </c>
      <c r="P48" s="59" t="s">
        <v>368</v>
      </c>
    </row>
    <row r="49" spans="1:18" s="10" customFormat="1" x14ac:dyDescent="0.25">
      <c r="A49" s="52" t="s">
        <v>187</v>
      </c>
      <c r="B49" s="53" t="s">
        <v>277</v>
      </c>
      <c r="C49" s="53" t="s">
        <v>277</v>
      </c>
      <c r="D49" s="53" t="s">
        <v>277</v>
      </c>
      <c r="E49" s="151" t="s">
        <v>277</v>
      </c>
      <c r="F49" s="101" t="s">
        <v>277</v>
      </c>
      <c r="G49" s="53" t="s">
        <v>543</v>
      </c>
      <c r="H49" s="53" t="s">
        <v>277</v>
      </c>
      <c r="I49" s="151" t="s">
        <v>277</v>
      </c>
      <c r="J49" s="53" t="s">
        <v>277</v>
      </c>
      <c r="K49" s="54"/>
      <c r="L49" s="66" t="s">
        <v>574</v>
      </c>
      <c r="M49" s="67" t="s">
        <v>575</v>
      </c>
      <c r="N49" s="44">
        <v>0.2</v>
      </c>
      <c r="O49" s="40">
        <v>1</v>
      </c>
      <c r="P49" s="41">
        <v>1</v>
      </c>
    </row>
    <row r="50" spans="1:18" s="10" customFormat="1" x14ac:dyDescent="0.25">
      <c r="A50" s="52" t="s">
        <v>187</v>
      </c>
      <c r="B50" s="53" t="s">
        <v>277</v>
      </c>
      <c r="C50" s="53" t="s">
        <v>277</v>
      </c>
      <c r="D50" s="53" t="s">
        <v>277</v>
      </c>
      <c r="E50" s="151" t="s">
        <v>277</v>
      </c>
      <c r="F50" s="101" t="s">
        <v>277</v>
      </c>
      <c r="G50" s="91" t="s">
        <v>277</v>
      </c>
      <c r="H50" s="64" t="s">
        <v>277</v>
      </c>
      <c r="I50" s="91" t="s">
        <v>277</v>
      </c>
      <c r="J50" s="53" t="s">
        <v>277</v>
      </c>
      <c r="K50" s="122"/>
      <c r="L50" s="123" t="s">
        <v>376</v>
      </c>
      <c r="M50" s="124" t="s">
        <v>377</v>
      </c>
      <c r="N50" s="44">
        <v>0.2</v>
      </c>
      <c r="O50" s="40">
        <v>1</v>
      </c>
      <c r="P50" s="41">
        <v>1</v>
      </c>
    </row>
    <row r="51" spans="1:18" s="10" customFormat="1" x14ac:dyDescent="0.25">
      <c r="A51" s="150" t="s">
        <v>557</v>
      </c>
      <c r="B51" s="151" t="s">
        <v>277</v>
      </c>
      <c r="C51" s="151" t="s">
        <v>277</v>
      </c>
      <c r="D51" s="151" t="s">
        <v>277</v>
      </c>
      <c r="E51" s="151" t="s">
        <v>283</v>
      </c>
      <c r="F51" s="103" t="s">
        <v>277</v>
      </c>
      <c r="G51" s="91" t="s">
        <v>277</v>
      </c>
      <c r="H51" s="91" t="s">
        <v>277</v>
      </c>
      <c r="I51" s="91" t="s">
        <v>277</v>
      </c>
      <c r="J51" s="151" t="s">
        <v>277</v>
      </c>
      <c r="K51" s="122"/>
      <c r="L51" s="123" t="s">
        <v>374</v>
      </c>
      <c r="M51" s="124" t="s">
        <v>375</v>
      </c>
      <c r="N51" s="44">
        <v>0.25</v>
      </c>
      <c r="O51" s="40">
        <v>2</v>
      </c>
      <c r="P51" s="41">
        <v>2</v>
      </c>
    </row>
    <row r="52" spans="1:18" s="10" customFormat="1" ht="30" x14ac:dyDescent="0.25">
      <c r="A52" s="52" t="s">
        <v>188</v>
      </c>
      <c r="B52" s="53" t="s">
        <v>529</v>
      </c>
      <c r="C52" s="53" t="s">
        <v>529</v>
      </c>
      <c r="D52" s="157" t="s">
        <v>529</v>
      </c>
      <c r="E52" s="157" t="s">
        <v>277</v>
      </c>
      <c r="F52" s="158" t="s">
        <v>529</v>
      </c>
      <c r="G52" s="63" t="s">
        <v>353</v>
      </c>
      <c r="H52" s="53" t="s">
        <v>277</v>
      </c>
      <c r="I52" s="151" t="s">
        <v>283</v>
      </c>
      <c r="J52" s="53" t="s">
        <v>277</v>
      </c>
      <c r="K52" s="122"/>
      <c r="L52" s="123" t="s">
        <v>555</v>
      </c>
      <c r="M52" s="155" t="s">
        <v>556</v>
      </c>
      <c r="N52" s="146">
        <v>0.1</v>
      </c>
      <c r="O52" s="40">
        <v>1</v>
      </c>
      <c r="P52" s="41">
        <v>1</v>
      </c>
    </row>
    <row r="53" spans="1:18" s="10" customFormat="1" ht="15" customHeight="1" x14ac:dyDescent="0.25">
      <c r="A53" s="52" t="s">
        <v>189</v>
      </c>
      <c r="B53" s="157" t="s">
        <v>529</v>
      </c>
      <c r="C53" s="157" t="s">
        <v>529</v>
      </c>
      <c r="D53" s="157" t="s">
        <v>529</v>
      </c>
      <c r="E53" s="157" t="s">
        <v>277</v>
      </c>
      <c r="F53" s="158" t="s">
        <v>529</v>
      </c>
      <c r="G53" s="63" t="s">
        <v>353</v>
      </c>
      <c r="H53" s="53" t="s">
        <v>277</v>
      </c>
      <c r="I53" s="151" t="s">
        <v>283</v>
      </c>
      <c r="J53" s="53" t="s">
        <v>277</v>
      </c>
      <c r="K53" s="122"/>
      <c r="L53" s="123" t="s">
        <v>311</v>
      </c>
      <c r="M53" s="125"/>
      <c r="N53" s="46">
        <f t="shared" ref="N53:N58" si="0">IF(CELLREF&lt;76,(_xlfn.CEILING.MATH(CELLREF/25)*0.025),IF(CELLREF&gt;=76,(_xlfn.CEILING.MATH((CELLREF-76)/25)*0.013)+0.075))</f>
        <v>0.192</v>
      </c>
      <c r="O53" s="40">
        <v>2</v>
      </c>
      <c r="P53" s="41">
        <v>2</v>
      </c>
      <c r="R53" s="156"/>
    </row>
    <row r="54" spans="1:18" s="10" customFormat="1" x14ac:dyDescent="0.25">
      <c r="A54" s="52" t="s">
        <v>190</v>
      </c>
      <c r="B54" s="158" t="s">
        <v>529</v>
      </c>
      <c r="C54" s="158" t="s">
        <v>529</v>
      </c>
      <c r="D54" s="158" t="s">
        <v>529</v>
      </c>
      <c r="E54" s="157" t="s">
        <v>277</v>
      </c>
      <c r="F54" s="158" t="s">
        <v>529</v>
      </c>
      <c r="G54" s="63" t="s">
        <v>353</v>
      </c>
      <c r="H54" s="53" t="s">
        <v>277</v>
      </c>
      <c r="I54" s="151" t="s">
        <v>283</v>
      </c>
      <c r="J54" s="53" t="s">
        <v>277</v>
      </c>
      <c r="K54" s="122"/>
      <c r="L54" s="123" t="s">
        <v>311</v>
      </c>
      <c r="M54" s="125"/>
      <c r="N54" s="46">
        <f t="shared" si="0"/>
        <v>0.192</v>
      </c>
      <c r="O54" s="40">
        <v>2</v>
      </c>
      <c r="P54" s="41">
        <v>2</v>
      </c>
    </row>
    <row r="55" spans="1:18" s="10" customFormat="1" x14ac:dyDescent="0.25">
      <c r="A55" s="150" t="s">
        <v>558</v>
      </c>
      <c r="B55" s="158" t="s">
        <v>277</v>
      </c>
      <c r="C55" s="158" t="s">
        <v>277</v>
      </c>
      <c r="D55" s="158" t="s">
        <v>277</v>
      </c>
      <c r="E55" s="157" t="s">
        <v>535</v>
      </c>
      <c r="F55" s="158" t="s">
        <v>277</v>
      </c>
      <c r="G55" s="101" t="s">
        <v>277</v>
      </c>
      <c r="H55" s="151" t="s">
        <v>277</v>
      </c>
      <c r="I55" s="151" t="s">
        <v>277</v>
      </c>
      <c r="J55" s="151" t="s">
        <v>277</v>
      </c>
      <c r="K55" s="122"/>
      <c r="L55" s="123" t="s">
        <v>311</v>
      </c>
      <c r="M55" s="124"/>
      <c r="N55" s="46">
        <f t="shared" si="0"/>
        <v>0.192</v>
      </c>
      <c r="O55" s="40">
        <v>2</v>
      </c>
      <c r="P55" s="41">
        <v>2</v>
      </c>
    </row>
    <row r="56" spans="1:18" s="10" customFormat="1" x14ac:dyDescent="0.25">
      <c r="A56" s="150" t="s">
        <v>559</v>
      </c>
      <c r="B56" s="158" t="s">
        <v>277</v>
      </c>
      <c r="C56" s="158" t="s">
        <v>277</v>
      </c>
      <c r="D56" s="158" t="s">
        <v>277</v>
      </c>
      <c r="E56" s="157" t="s">
        <v>535</v>
      </c>
      <c r="F56" s="158" t="s">
        <v>277</v>
      </c>
      <c r="G56" s="101" t="s">
        <v>277</v>
      </c>
      <c r="H56" s="151" t="s">
        <v>277</v>
      </c>
      <c r="I56" s="151" t="s">
        <v>277</v>
      </c>
      <c r="J56" s="151" t="s">
        <v>277</v>
      </c>
      <c r="K56" s="122"/>
      <c r="L56" s="123" t="s">
        <v>553</v>
      </c>
      <c r="M56" s="155" t="s">
        <v>554</v>
      </c>
      <c r="N56" s="46">
        <f t="shared" si="0"/>
        <v>0.192</v>
      </c>
      <c r="O56" s="40">
        <v>2</v>
      </c>
      <c r="P56" s="41">
        <v>2</v>
      </c>
    </row>
    <row r="57" spans="1:18" s="10" customFormat="1" x14ac:dyDescent="0.25">
      <c r="A57" s="150" t="s">
        <v>560</v>
      </c>
      <c r="B57" s="158" t="s">
        <v>277</v>
      </c>
      <c r="C57" s="158" t="s">
        <v>277</v>
      </c>
      <c r="D57" s="158" t="s">
        <v>277</v>
      </c>
      <c r="E57" s="157" t="s">
        <v>535</v>
      </c>
      <c r="F57" s="158" t="s">
        <v>277</v>
      </c>
      <c r="G57" s="101" t="s">
        <v>277</v>
      </c>
      <c r="H57" s="151" t="s">
        <v>277</v>
      </c>
      <c r="I57" s="151" t="s">
        <v>277</v>
      </c>
      <c r="J57" s="151" t="s">
        <v>277</v>
      </c>
      <c r="K57" s="122"/>
      <c r="L57" s="123" t="s">
        <v>553</v>
      </c>
      <c r="M57" s="155" t="s">
        <v>554</v>
      </c>
      <c r="N57" s="46">
        <f t="shared" si="0"/>
        <v>0.192</v>
      </c>
      <c r="O57" s="40">
        <v>2</v>
      </c>
      <c r="P57" s="41">
        <v>2</v>
      </c>
    </row>
    <row r="58" spans="1:18" s="10" customFormat="1" x14ac:dyDescent="0.25">
      <c r="A58" s="150" t="s">
        <v>522</v>
      </c>
      <c r="B58" s="101" t="s">
        <v>530</v>
      </c>
      <c r="C58" s="101" t="s">
        <v>530</v>
      </c>
      <c r="D58" s="101" t="s">
        <v>530</v>
      </c>
      <c r="E58" s="157" t="s">
        <v>536</v>
      </c>
      <c r="F58" s="101" t="s">
        <v>530</v>
      </c>
      <c r="G58" s="151" t="s">
        <v>277</v>
      </c>
      <c r="H58" s="151" t="s">
        <v>277</v>
      </c>
      <c r="I58" s="151" t="s">
        <v>277</v>
      </c>
      <c r="J58" s="151" t="s">
        <v>277</v>
      </c>
      <c r="K58" s="122"/>
      <c r="L58" s="123" t="s">
        <v>553</v>
      </c>
      <c r="M58" s="155" t="s">
        <v>554</v>
      </c>
      <c r="N58" s="46">
        <f t="shared" si="0"/>
        <v>0.192</v>
      </c>
      <c r="O58" s="40">
        <v>2</v>
      </c>
      <c r="P58" s="41">
        <v>2</v>
      </c>
    </row>
    <row r="59" spans="1:18" s="10" customFormat="1" x14ac:dyDescent="0.25">
      <c r="A59" s="150" t="s">
        <v>523</v>
      </c>
      <c r="B59" s="101" t="s">
        <v>530</v>
      </c>
      <c r="C59" s="101" t="s">
        <v>530</v>
      </c>
      <c r="D59" s="101" t="s">
        <v>530</v>
      </c>
      <c r="E59" s="157" t="s">
        <v>536</v>
      </c>
      <c r="F59" s="101" t="s">
        <v>530</v>
      </c>
      <c r="G59" s="151" t="s">
        <v>277</v>
      </c>
      <c r="H59" s="151" t="s">
        <v>277</v>
      </c>
      <c r="I59" s="151" t="s">
        <v>277</v>
      </c>
      <c r="J59" s="151" t="s">
        <v>277</v>
      </c>
      <c r="K59" s="122"/>
      <c r="L59" s="123"/>
      <c r="M59" s="155"/>
      <c r="N59" s="46"/>
      <c r="O59" s="40"/>
      <c r="P59" s="41"/>
    </row>
    <row r="60" spans="1:18" s="10" customFormat="1" x14ac:dyDescent="0.25">
      <c r="A60" s="150" t="s">
        <v>524</v>
      </c>
      <c r="B60" s="101" t="s">
        <v>530</v>
      </c>
      <c r="C60" s="101" t="s">
        <v>530</v>
      </c>
      <c r="D60" s="101" t="s">
        <v>530</v>
      </c>
      <c r="E60" s="157" t="s">
        <v>536</v>
      </c>
      <c r="F60" s="101" t="s">
        <v>530</v>
      </c>
      <c r="G60" s="151" t="s">
        <v>277</v>
      </c>
      <c r="H60" s="151" t="s">
        <v>277</v>
      </c>
      <c r="I60" s="151" t="s">
        <v>277</v>
      </c>
      <c r="J60" s="151" t="s">
        <v>277</v>
      </c>
      <c r="K60" s="122"/>
      <c r="L60" s="123"/>
      <c r="M60" s="155"/>
      <c r="N60" s="46"/>
      <c r="O60" s="40"/>
      <c r="P60" s="41"/>
    </row>
    <row r="61" spans="1:18" s="10" customFormat="1" x14ac:dyDescent="0.25">
      <c r="A61" s="150" t="s">
        <v>525</v>
      </c>
      <c r="B61" s="101" t="s">
        <v>530</v>
      </c>
      <c r="C61" s="101" t="s">
        <v>530</v>
      </c>
      <c r="D61" s="101" t="s">
        <v>530</v>
      </c>
      <c r="E61" s="157" t="s">
        <v>536</v>
      </c>
      <c r="F61" s="101" t="s">
        <v>530</v>
      </c>
      <c r="G61" s="151" t="s">
        <v>277</v>
      </c>
      <c r="H61" s="151" t="s">
        <v>277</v>
      </c>
      <c r="I61" s="151" t="s">
        <v>277</v>
      </c>
      <c r="J61" s="151" t="s">
        <v>277</v>
      </c>
      <c r="K61" s="122"/>
      <c r="L61" s="123"/>
      <c r="M61" s="155"/>
      <c r="N61" s="46"/>
      <c r="O61" s="40"/>
      <c r="P61" s="41"/>
    </row>
    <row r="62" spans="1:18" s="10" customFormat="1" x14ac:dyDescent="0.25">
      <c r="A62" s="150" t="s">
        <v>526</v>
      </c>
      <c r="B62" s="101" t="s">
        <v>530</v>
      </c>
      <c r="C62" s="101" t="s">
        <v>530</v>
      </c>
      <c r="D62" s="101" t="s">
        <v>530</v>
      </c>
      <c r="E62" s="157" t="s">
        <v>536</v>
      </c>
      <c r="F62" s="101" t="s">
        <v>530</v>
      </c>
      <c r="G62" s="151" t="s">
        <v>277</v>
      </c>
      <c r="H62" s="151" t="s">
        <v>277</v>
      </c>
      <c r="I62" s="151" t="s">
        <v>277</v>
      </c>
      <c r="J62" s="151" t="s">
        <v>277</v>
      </c>
      <c r="K62" s="122"/>
      <c r="L62" s="123"/>
      <c r="M62" s="155"/>
      <c r="N62" s="46"/>
      <c r="O62" s="40"/>
      <c r="P62" s="41"/>
    </row>
    <row r="63" spans="1:18" s="10" customFormat="1" x14ac:dyDescent="0.25">
      <c r="A63" s="150" t="s">
        <v>527</v>
      </c>
      <c r="B63" s="101" t="s">
        <v>530</v>
      </c>
      <c r="C63" s="101" t="s">
        <v>530</v>
      </c>
      <c r="D63" s="101" t="s">
        <v>530</v>
      </c>
      <c r="E63" s="157" t="s">
        <v>536</v>
      </c>
      <c r="F63" s="101" t="s">
        <v>530</v>
      </c>
      <c r="G63" s="151" t="s">
        <v>277</v>
      </c>
      <c r="H63" s="151" t="s">
        <v>277</v>
      </c>
      <c r="I63" s="151" t="s">
        <v>277</v>
      </c>
      <c r="J63" s="151" t="s">
        <v>277</v>
      </c>
      <c r="K63" s="122"/>
      <c r="L63" s="123"/>
      <c r="M63" s="155"/>
      <c r="N63" s="46"/>
      <c r="O63" s="40"/>
      <c r="P63" s="41"/>
    </row>
    <row r="64" spans="1:18" s="10" customFormat="1" x14ac:dyDescent="0.25">
      <c r="A64" s="150" t="s">
        <v>528</v>
      </c>
      <c r="B64" s="101" t="s">
        <v>530</v>
      </c>
      <c r="C64" s="101" t="s">
        <v>530</v>
      </c>
      <c r="D64" s="101" t="s">
        <v>530</v>
      </c>
      <c r="E64" s="157" t="s">
        <v>536</v>
      </c>
      <c r="F64" s="101" t="s">
        <v>530</v>
      </c>
      <c r="G64" s="151" t="s">
        <v>277</v>
      </c>
      <c r="H64" s="151" t="s">
        <v>277</v>
      </c>
      <c r="I64" s="151" t="s">
        <v>277</v>
      </c>
      <c r="J64" s="151" t="s">
        <v>277</v>
      </c>
      <c r="K64" s="122"/>
      <c r="L64" s="123"/>
      <c r="M64" s="155"/>
      <c r="N64" s="46"/>
      <c r="O64" s="40"/>
      <c r="P64" s="41"/>
    </row>
    <row r="65" spans="1:16" s="10" customFormat="1" x14ac:dyDescent="0.25">
      <c r="A65" s="52" t="s">
        <v>191</v>
      </c>
      <c r="B65" s="101" t="s">
        <v>283</v>
      </c>
      <c r="C65" s="101" t="s">
        <v>283</v>
      </c>
      <c r="D65" s="101" t="s">
        <v>283</v>
      </c>
      <c r="E65" s="101" t="s">
        <v>277</v>
      </c>
      <c r="F65" s="101" t="s">
        <v>283</v>
      </c>
      <c r="G65" s="63" t="s">
        <v>353</v>
      </c>
      <c r="H65" s="53" t="s">
        <v>277</v>
      </c>
      <c r="I65" s="151" t="s">
        <v>277</v>
      </c>
      <c r="J65" s="53" t="s">
        <v>277</v>
      </c>
      <c r="K65" s="122"/>
      <c r="L65" s="123"/>
      <c r="M65" s="155"/>
      <c r="N65" s="46"/>
      <c r="O65" s="40"/>
      <c r="P65" s="41"/>
    </row>
    <row r="66" spans="1:16" s="10" customFormat="1" x14ac:dyDescent="0.25">
      <c r="A66" s="52" t="s">
        <v>392</v>
      </c>
      <c r="B66" s="101" t="s">
        <v>447</v>
      </c>
      <c r="C66" s="101" t="s">
        <v>447</v>
      </c>
      <c r="D66" s="101" t="s">
        <v>447</v>
      </c>
      <c r="E66" s="101" t="s">
        <v>277</v>
      </c>
      <c r="F66" s="101" t="s">
        <v>448</v>
      </c>
      <c r="G66" s="64" t="s">
        <v>277</v>
      </c>
      <c r="H66" s="53" t="s">
        <v>277</v>
      </c>
      <c r="I66" s="151" t="s">
        <v>277</v>
      </c>
      <c r="J66" s="53" t="s">
        <v>277</v>
      </c>
      <c r="K66" s="122"/>
      <c r="L66" s="123" t="s">
        <v>200</v>
      </c>
      <c r="M66" s="124" t="s">
        <v>313</v>
      </c>
      <c r="N66" s="44">
        <f>IF(CELLREF&lt;=6, 0.25, 1.5)</f>
        <v>1.5</v>
      </c>
      <c r="O66" s="40">
        <v>1</v>
      </c>
      <c r="P66" s="41">
        <v>1</v>
      </c>
    </row>
    <row r="67" spans="1:16" s="10" customFormat="1" x14ac:dyDescent="0.25">
      <c r="A67" s="52" t="s">
        <v>365</v>
      </c>
      <c r="B67" s="101" t="s">
        <v>359</v>
      </c>
      <c r="C67" s="101" t="s">
        <v>359</v>
      </c>
      <c r="D67" s="101" t="s">
        <v>359</v>
      </c>
      <c r="E67" s="101" t="s">
        <v>277</v>
      </c>
      <c r="F67" s="101" t="s">
        <v>359</v>
      </c>
      <c r="G67" s="64" t="s">
        <v>277</v>
      </c>
      <c r="H67" s="53" t="s">
        <v>277</v>
      </c>
      <c r="I67" s="151" t="s">
        <v>277</v>
      </c>
      <c r="J67" s="53" t="s">
        <v>277</v>
      </c>
      <c r="K67" s="122"/>
      <c r="L67" s="142" t="s">
        <v>458</v>
      </c>
      <c r="M67" s="143" t="s">
        <v>459</v>
      </c>
      <c r="N67" s="44">
        <v>0.25</v>
      </c>
      <c r="O67" s="40">
        <v>1</v>
      </c>
      <c r="P67" s="41">
        <v>1</v>
      </c>
    </row>
    <row r="68" spans="1:16" s="10" customFormat="1" x14ac:dyDescent="0.25">
      <c r="A68" s="52" t="s">
        <v>393</v>
      </c>
      <c r="B68" s="53" t="s">
        <v>359</v>
      </c>
      <c r="C68" s="53" t="s">
        <v>359</v>
      </c>
      <c r="D68" s="53" t="s">
        <v>359</v>
      </c>
      <c r="E68" s="151" t="s">
        <v>277</v>
      </c>
      <c r="F68" s="101" t="s">
        <v>359</v>
      </c>
      <c r="G68" s="64" t="s">
        <v>277</v>
      </c>
      <c r="H68" s="53" t="s">
        <v>277</v>
      </c>
      <c r="I68" s="151" t="s">
        <v>277</v>
      </c>
      <c r="J68" s="53" t="s">
        <v>277</v>
      </c>
      <c r="K68" s="122"/>
      <c r="L68" s="127" t="s">
        <v>233</v>
      </c>
      <c r="M68" s="124" t="s">
        <v>314</v>
      </c>
      <c r="N68" s="44">
        <v>0.5</v>
      </c>
      <c r="O68" s="40">
        <v>1</v>
      </c>
      <c r="P68" s="41">
        <v>1</v>
      </c>
    </row>
    <row r="69" spans="1:16" s="10" customFormat="1" x14ac:dyDescent="0.25">
      <c r="A69" s="52" t="s">
        <v>394</v>
      </c>
      <c r="B69" s="53" t="s">
        <v>545</v>
      </c>
      <c r="C69" s="53" t="s">
        <v>545</v>
      </c>
      <c r="D69" s="53" t="s">
        <v>545</v>
      </c>
      <c r="E69" s="151" t="s">
        <v>277</v>
      </c>
      <c r="F69" s="101" t="s">
        <v>277</v>
      </c>
      <c r="G69" s="53" t="s">
        <v>545</v>
      </c>
      <c r="H69" s="53" t="s">
        <v>277</v>
      </c>
      <c r="I69" s="151" t="s">
        <v>277</v>
      </c>
      <c r="J69" s="53" t="s">
        <v>277</v>
      </c>
      <c r="K69" s="122"/>
      <c r="L69" s="126" t="s">
        <v>456</v>
      </c>
      <c r="M69" s="124" t="s">
        <v>457</v>
      </c>
      <c r="N69" s="44">
        <v>1</v>
      </c>
      <c r="O69" s="40">
        <v>2</v>
      </c>
      <c r="P69" s="41">
        <v>2</v>
      </c>
    </row>
    <row r="70" spans="1:16" s="10" customFormat="1" x14ac:dyDescent="0.25">
      <c r="A70" s="52" t="s">
        <v>395</v>
      </c>
      <c r="B70" s="53" t="s">
        <v>545</v>
      </c>
      <c r="C70" s="53" t="s">
        <v>545</v>
      </c>
      <c r="D70" s="53" t="s">
        <v>545</v>
      </c>
      <c r="E70" s="151" t="s">
        <v>277</v>
      </c>
      <c r="F70" s="101" t="s">
        <v>277</v>
      </c>
      <c r="G70" s="53" t="s">
        <v>545</v>
      </c>
      <c r="H70" s="53" t="s">
        <v>277</v>
      </c>
      <c r="I70" s="151" t="s">
        <v>277</v>
      </c>
      <c r="J70" s="53" t="s">
        <v>277</v>
      </c>
      <c r="K70" s="122"/>
      <c r="L70" s="128" t="s">
        <v>430</v>
      </c>
      <c r="M70" s="124"/>
      <c r="N70" s="44">
        <v>0</v>
      </c>
      <c r="O70" s="40">
        <v>0</v>
      </c>
      <c r="P70" s="41">
        <v>0</v>
      </c>
    </row>
    <row r="71" spans="1:16" s="10" customFormat="1" x14ac:dyDescent="0.25">
      <c r="A71" s="52" t="s">
        <v>396</v>
      </c>
      <c r="B71" s="53" t="s">
        <v>545</v>
      </c>
      <c r="C71" s="53" t="s">
        <v>545</v>
      </c>
      <c r="D71" s="53" t="s">
        <v>545</v>
      </c>
      <c r="E71" s="151" t="s">
        <v>277</v>
      </c>
      <c r="F71" s="101" t="s">
        <v>277</v>
      </c>
      <c r="G71" s="53" t="s">
        <v>545</v>
      </c>
      <c r="H71" s="53" t="s">
        <v>277</v>
      </c>
      <c r="I71" s="151" t="s">
        <v>277</v>
      </c>
      <c r="J71" s="90" t="s">
        <v>277</v>
      </c>
      <c r="K71" s="122"/>
      <c r="L71" s="127" t="s">
        <v>431</v>
      </c>
      <c r="M71" s="124"/>
      <c r="N71" s="44"/>
      <c r="O71" s="40"/>
      <c r="P71" s="41"/>
    </row>
    <row r="72" spans="1:16" s="10" customFormat="1" x14ac:dyDescent="0.25">
      <c r="A72" s="52" t="s">
        <v>397</v>
      </c>
      <c r="B72" s="53" t="s">
        <v>360</v>
      </c>
      <c r="C72" s="53" t="s">
        <v>361</v>
      </c>
      <c r="D72" s="53" t="s">
        <v>362</v>
      </c>
      <c r="E72" s="151" t="s">
        <v>277</v>
      </c>
      <c r="F72" s="101" t="s">
        <v>449</v>
      </c>
      <c r="G72" s="53" t="s">
        <v>543</v>
      </c>
      <c r="H72" s="53" t="s">
        <v>277</v>
      </c>
      <c r="I72" s="151" t="s">
        <v>277</v>
      </c>
      <c r="J72" s="53" t="s">
        <v>277</v>
      </c>
      <c r="K72" s="101"/>
      <c r="L72" s="127" t="s">
        <v>432</v>
      </c>
      <c r="M72" s="124" t="s">
        <v>433</v>
      </c>
      <c r="N72" s="44">
        <v>0.15</v>
      </c>
      <c r="O72" s="40">
        <v>2</v>
      </c>
      <c r="P72" s="41">
        <v>2</v>
      </c>
    </row>
    <row r="73" spans="1:16" s="10" customFormat="1" x14ac:dyDescent="0.25">
      <c r="A73" s="52" t="s">
        <v>398</v>
      </c>
      <c r="B73" s="53" t="s">
        <v>360</v>
      </c>
      <c r="C73" s="53" t="s">
        <v>361</v>
      </c>
      <c r="D73" s="64" t="s">
        <v>277</v>
      </c>
      <c r="E73" s="91" t="s">
        <v>277</v>
      </c>
      <c r="F73" s="101" t="s">
        <v>449</v>
      </c>
      <c r="G73" s="64" t="s">
        <v>277</v>
      </c>
      <c r="H73" s="53" t="s">
        <v>277</v>
      </c>
      <c r="I73" s="151" t="s">
        <v>277</v>
      </c>
      <c r="J73" s="53" t="s">
        <v>277</v>
      </c>
      <c r="K73" s="122"/>
      <c r="L73" s="127" t="s">
        <v>576</v>
      </c>
      <c r="M73" s="124" t="s">
        <v>577</v>
      </c>
      <c r="N73" s="44">
        <v>0.25</v>
      </c>
      <c r="O73" s="40">
        <v>2</v>
      </c>
      <c r="P73" s="41">
        <v>2</v>
      </c>
    </row>
    <row r="74" spans="1:16" s="10" customFormat="1" x14ac:dyDescent="0.25">
      <c r="A74" s="47" t="s">
        <v>399</v>
      </c>
      <c r="B74" s="48" t="s">
        <v>360</v>
      </c>
      <c r="C74" s="48" t="s">
        <v>361</v>
      </c>
      <c r="D74" s="49" t="s">
        <v>283</v>
      </c>
      <c r="E74" s="149" t="s">
        <v>277</v>
      </c>
      <c r="F74" s="104" t="s">
        <v>283</v>
      </c>
      <c r="G74" s="149" t="s">
        <v>543</v>
      </c>
      <c r="H74" s="49" t="s">
        <v>277</v>
      </c>
      <c r="I74" s="149" t="s">
        <v>277</v>
      </c>
      <c r="J74" s="48" t="s">
        <v>277</v>
      </c>
      <c r="K74" s="122"/>
      <c r="L74" s="127" t="s">
        <v>578</v>
      </c>
      <c r="M74" s="124" t="s">
        <v>579</v>
      </c>
      <c r="N74" s="44">
        <v>0.25</v>
      </c>
      <c r="O74" s="40">
        <v>2</v>
      </c>
      <c r="P74" s="41">
        <v>2</v>
      </c>
    </row>
    <row r="75" spans="1:16" s="10" customFormat="1" x14ac:dyDescent="0.25">
      <c r="A75" s="47" t="s">
        <v>399</v>
      </c>
      <c r="B75" s="48" t="s">
        <v>277</v>
      </c>
      <c r="C75" s="48" t="s">
        <v>277</v>
      </c>
      <c r="D75" s="49" t="s">
        <v>277</v>
      </c>
      <c r="E75" s="149" t="s">
        <v>277</v>
      </c>
      <c r="F75" s="104" t="s">
        <v>277</v>
      </c>
      <c r="G75" s="49" t="s">
        <v>277</v>
      </c>
      <c r="H75" s="48" t="s">
        <v>283</v>
      </c>
      <c r="I75" s="148" t="s">
        <v>277</v>
      </c>
      <c r="J75" s="48" t="s">
        <v>283</v>
      </c>
      <c r="K75" s="122"/>
      <c r="L75" s="129" t="s">
        <v>351</v>
      </c>
      <c r="M75" s="130" t="s">
        <v>352</v>
      </c>
      <c r="N75" s="70">
        <v>0.25</v>
      </c>
      <c r="O75" s="71">
        <v>2</v>
      </c>
      <c r="P75" s="72">
        <v>2</v>
      </c>
    </row>
    <row r="76" spans="1:16" s="10" customFormat="1" x14ac:dyDescent="0.25">
      <c r="A76" s="147" t="s">
        <v>561</v>
      </c>
      <c r="B76" s="148" t="s">
        <v>277</v>
      </c>
      <c r="C76" s="148" t="s">
        <v>277</v>
      </c>
      <c r="D76" s="149" t="s">
        <v>277</v>
      </c>
      <c r="E76" s="149" t="s">
        <v>283</v>
      </c>
      <c r="F76" s="104" t="s">
        <v>277</v>
      </c>
      <c r="G76" s="149" t="s">
        <v>277</v>
      </c>
      <c r="H76" s="148" t="s">
        <v>277</v>
      </c>
      <c r="I76" s="148" t="s">
        <v>277</v>
      </c>
      <c r="J76" s="148" t="s">
        <v>277</v>
      </c>
      <c r="K76" s="122"/>
      <c r="L76" s="129" t="s">
        <v>351</v>
      </c>
      <c r="M76" s="130" t="s">
        <v>352</v>
      </c>
      <c r="N76" s="70">
        <f>0.01*CELLREF</f>
        <v>3</v>
      </c>
      <c r="O76" s="71">
        <v>2</v>
      </c>
      <c r="P76" s="72">
        <v>2</v>
      </c>
    </row>
    <row r="77" spans="1:16" s="10" customFormat="1" x14ac:dyDescent="0.25">
      <c r="A77" s="47" t="s">
        <v>400</v>
      </c>
      <c r="B77" s="48" t="s">
        <v>277</v>
      </c>
      <c r="C77" s="48" t="s">
        <v>277</v>
      </c>
      <c r="D77" s="49" t="s">
        <v>277</v>
      </c>
      <c r="E77" s="149" t="s">
        <v>277</v>
      </c>
      <c r="F77" s="104" t="s">
        <v>277</v>
      </c>
      <c r="G77" s="49" t="s">
        <v>277</v>
      </c>
      <c r="H77" s="48" t="s">
        <v>283</v>
      </c>
      <c r="I77" s="148" t="s">
        <v>277</v>
      </c>
      <c r="J77" s="49" t="s">
        <v>277</v>
      </c>
      <c r="K77" s="122"/>
      <c r="L77" s="129" t="s">
        <v>562</v>
      </c>
      <c r="M77" s="130" t="s">
        <v>563</v>
      </c>
      <c r="N77" s="154">
        <v>0.05</v>
      </c>
      <c r="O77" s="71">
        <v>2</v>
      </c>
      <c r="P77" s="72">
        <v>2</v>
      </c>
    </row>
    <row r="78" spans="1:16" s="10" customFormat="1" x14ac:dyDescent="0.25">
      <c r="A78" s="47" t="s">
        <v>401</v>
      </c>
      <c r="B78" s="48" t="s">
        <v>277</v>
      </c>
      <c r="C78" s="48" t="s">
        <v>277</v>
      </c>
      <c r="D78" s="49" t="s">
        <v>277</v>
      </c>
      <c r="E78" s="149" t="s">
        <v>277</v>
      </c>
      <c r="F78" s="104" t="s">
        <v>277</v>
      </c>
      <c r="G78" s="49" t="s">
        <v>277</v>
      </c>
      <c r="H78" s="48" t="s">
        <v>277</v>
      </c>
      <c r="I78" s="148" t="s">
        <v>277</v>
      </c>
      <c r="J78" s="49" t="s">
        <v>283</v>
      </c>
      <c r="K78" s="122"/>
      <c r="L78" s="129" t="s">
        <v>311</v>
      </c>
      <c r="M78" s="130"/>
      <c r="N78" s="70">
        <f>0.001*CELLREF</f>
        <v>0.3</v>
      </c>
      <c r="O78" s="118">
        <v>2</v>
      </c>
      <c r="P78" s="119">
        <v>2</v>
      </c>
    </row>
    <row r="79" spans="1:16" s="10" customFormat="1" x14ac:dyDescent="0.25">
      <c r="A79" s="47" t="s">
        <v>402</v>
      </c>
      <c r="B79" s="48" t="s">
        <v>277</v>
      </c>
      <c r="C79" s="48" t="s">
        <v>277</v>
      </c>
      <c r="D79" s="49" t="s">
        <v>277</v>
      </c>
      <c r="E79" s="149" t="s">
        <v>277</v>
      </c>
      <c r="F79" s="104" t="s">
        <v>283</v>
      </c>
      <c r="G79" s="104" t="s">
        <v>277</v>
      </c>
      <c r="H79" s="48" t="s">
        <v>277</v>
      </c>
      <c r="I79" s="148" t="s">
        <v>277</v>
      </c>
      <c r="J79" s="48" t="s">
        <v>277</v>
      </c>
      <c r="K79" s="122"/>
      <c r="L79" s="126" t="s">
        <v>434</v>
      </c>
      <c r="M79" s="130" t="s">
        <v>435</v>
      </c>
      <c r="N79" s="216">
        <f>IF(CELLREF/50 &gt; 1, CELLREF/50, 1)</f>
        <v>6</v>
      </c>
      <c r="O79" s="118">
        <v>1</v>
      </c>
      <c r="P79" s="119">
        <v>1</v>
      </c>
    </row>
    <row r="80" spans="1:16" s="10" customFormat="1" x14ac:dyDescent="0.25">
      <c r="A80" s="147" t="s">
        <v>402</v>
      </c>
      <c r="B80" s="148" t="s">
        <v>277</v>
      </c>
      <c r="C80" s="148" t="s">
        <v>277</v>
      </c>
      <c r="D80" s="149" t="s">
        <v>277</v>
      </c>
      <c r="E80" s="149" t="s">
        <v>277</v>
      </c>
      <c r="F80" s="104" t="s">
        <v>277</v>
      </c>
      <c r="G80" s="104" t="s">
        <v>277</v>
      </c>
      <c r="H80" s="148" t="s">
        <v>277</v>
      </c>
      <c r="I80" s="148" t="s">
        <v>277</v>
      </c>
      <c r="J80" s="148" t="s">
        <v>283</v>
      </c>
      <c r="K80" s="122"/>
      <c r="L80" s="129" t="s">
        <v>388</v>
      </c>
      <c r="M80" s="130" t="s">
        <v>389</v>
      </c>
      <c r="N80" s="145">
        <v>12</v>
      </c>
      <c r="O80" s="71">
        <v>0</v>
      </c>
      <c r="P80" s="72">
        <v>0</v>
      </c>
    </row>
    <row r="81" spans="1:16" s="10" customFormat="1" x14ac:dyDescent="0.25">
      <c r="A81" s="47" t="s">
        <v>402</v>
      </c>
      <c r="B81" s="48" t="s">
        <v>277</v>
      </c>
      <c r="C81" s="48" t="s">
        <v>277</v>
      </c>
      <c r="D81" s="49" t="s">
        <v>277</v>
      </c>
      <c r="E81" s="149" t="s">
        <v>277</v>
      </c>
      <c r="F81" s="104" t="s">
        <v>283</v>
      </c>
      <c r="G81" s="104" t="s">
        <v>542</v>
      </c>
      <c r="H81" s="48" t="s">
        <v>277</v>
      </c>
      <c r="I81" s="148" t="s">
        <v>277</v>
      </c>
      <c r="J81" s="102" t="s">
        <v>277</v>
      </c>
      <c r="K81" s="122"/>
      <c r="L81" s="129" t="s">
        <v>588</v>
      </c>
      <c r="M81" s="130" t="s">
        <v>589</v>
      </c>
      <c r="N81" s="145">
        <v>12</v>
      </c>
      <c r="O81" s="71">
        <v>0</v>
      </c>
      <c r="P81" s="72">
        <v>0</v>
      </c>
    </row>
    <row r="82" spans="1:16" s="10" customFormat="1" x14ac:dyDescent="0.25">
      <c r="A82" s="147" t="s">
        <v>402</v>
      </c>
      <c r="B82" s="148" t="s">
        <v>277</v>
      </c>
      <c r="C82" s="148" t="s">
        <v>277</v>
      </c>
      <c r="D82" s="149" t="s">
        <v>277</v>
      </c>
      <c r="E82" s="149" t="s">
        <v>277</v>
      </c>
      <c r="F82" s="104" t="s">
        <v>277</v>
      </c>
      <c r="G82" s="104" t="s">
        <v>277</v>
      </c>
      <c r="H82" s="148" t="s">
        <v>516</v>
      </c>
      <c r="I82" s="148" t="s">
        <v>277</v>
      </c>
      <c r="J82" s="102" t="s">
        <v>277</v>
      </c>
      <c r="K82" s="122"/>
      <c r="L82" s="129" t="s">
        <v>388</v>
      </c>
      <c r="M82" s="130" t="s">
        <v>389</v>
      </c>
      <c r="N82" s="145">
        <v>6</v>
      </c>
      <c r="O82" s="71">
        <v>0</v>
      </c>
      <c r="P82" s="72">
        <v>0</v>
      </c>
    </row>
    <row r="83" spans="1:16" s="10" customFormat="1" x14ac:dyDescent="0.25">
      <c r="A83" s="147" t="s">
        <v>402</v>
      </c>
      <c r="B83" s="148" t="s">
        <v>277</v>
      </c>
      <c r="C83" s="148" t="s">
        <v>277</v>
      </c>
      <c r="D83" s="149" t="s">
        <v>277</v>
      </c>
      <c r="E83" s="149" t="s">
        <v>277</v>
      </c>
      <c r="F83" s="104" t="s">
        <v>277</v>
      </c>
      <c r="G83" s="104" t="s">
        <v>277</v>
      </c>
      <c r="H83" s="148" t="s">
        <v>517</v>
      </c>
      <c r="I83" s="148" t="s">
        <v>277</v>
      </c>
      <c r="J83" s="102" t="s">
        <v>277</v>
      </c>
      <c r="K83" s="122"/>
      <c r="L83" s="129" t="s">
        <v>580</v>
      </c>
      <c r="M83" s="130" t="s">
        <v>581</v>
      </c>
      <c r="N83" s="145">
        <v>12</v>
      </c>
      <c r="O83" s="71">
        <v>0</v>
      </c>
      <c r="P83" s="72">
        <v>0</v>
      </c>
    </row>
    <row r="84" spans="1:16" s="10" customFormat="1" x14ac:dyDescent="0.25">
      <c r="A84" s="47" t="s">
        <v>403</v>
      </c>
      <c r="B84" s="48" t="s">
        <v>277</v>
      </c>
      <c r="C84" s="48" t="s">
        <v>277</v>
      </c>
      <c r="D84" s="49" t="s">
        <v>277</v>
      </c>
      <c r="E84" s="149" t="s">
        <v>277</v>
      </c>
      <c r="F84" s="104" t="s">
        <v>277</v>
      </c>
      <c r="G84" s="49" t="s">
        <v>277</v>
      </c>
      <c r="H84" s="102" t="s">
        <v>283</v>
      </c>
      <c r="I84" s="102" t="s">
        <v>277</v>
      </c>
      <c r="J84" s="48" t="s">
        <v>277</v>
      </c>
      <c r="K84" s="122"/>
      <c r="L84" s="129" t="s">
        <v>580</v>
      </c>
      <c r="M84" s="130" t="s">
        <v>581</v>
      </c>
      <c r="N84" s="145">
        <v>6</v>
      </c>
      <c r="O84" s="71">
        <v>0</v>
      </c>
      <c r="P84" s="72">
        <v>0</v>
      </c>
    </row>
    <row r="85" spans="1:16" s="10" customFormat="1" x14ac:dyDescent="0.25">
      <c r="A85" s="47" t="s">
        <v>404</v>
      </c>
      <c r="B85" s="48" t="s">
        <v>277</v>
      </c>
      <c r="C85" s="48" t="s">
        <v>277</v>
      </c>
      <c r="D85" s="49" t="s">
        <v>277</v>
      </c>
      <c r="E85" s="149" t="s">
        <v>277</v>
      </c>
      <c r="F85" s="104" t="s">
        <v>277</v>
      </c>
      <c r="G85" s="49" t="s">
        <v>277</v>
      </c>
      <c r="H85" s="102" t="s">
        <v>283</v>
      </c>
      <c r="I85" s="102" t="s">
        <v>277</v>
      </c>
      <c r="J85" s="48" t="s">
        <v>277</v>
      </c>
      <c r="K85" s="122"/>
      <c r="L85" s="129" t="s">
        <v>582</v>
      </c>
      <c r="M85" s="130" t="s">
        <v>583</v>
      </c>
      <c r="N85" s="70">
        <v>3</v>
      </c>
      <c r="O85" s="71">
        <v>0</v>
      </c>
      <c r="P85" s="72">
        <v>0</v>
      </c>
    </row>
    <row r="86" spans="1:16" s="10" customFormat="1" x14ac:dyDescent="0.25">
      <c r="A86" s="47" t="s">
        <v>405</v>
      </c>
      <c r="B86" s="48" t="s">
        <v>277</v>
      </c>
      <c r="C86" s="48" t="s">
        <v>277</v>
      </c>
      <c r="D86" s="49" t="s">
        <v>277</v>
      </c>
      <c r="E86" s="149" t="s">
        <v>277</v>
      </c>
      <c r="F86" s="104" t="s">
        <v>277</v>
      </c>
      <c r="G86" s="49" t="s">
        <v>277</v>
      </c>
      <c r="H86" s="102" t="s">
        <v>283</v>
      </c>
      <c r="I86" s="102" t="s">
        <v>277</v>
      </c>
      <c r="J86" s="48" t="s">
        <v>277</v>
      </c>
      <c r="K86" s="122"/>
      <c r="L86" s="129" t="s">
        <v>584</v>
      </c>
      <c r="M86" s="130" t="s">
        <v>585</v>
      </c>
      <c r="N86" s="70">
        <v>3</v>
      </c>
      <c r="O86" s="71">
        <v>0</v>
      </c>
      <c r="P86" s="72">
        <v>0</v>
      </c>
    </row>
    <row r="87" spans="1:16" s="10" customFormat="1" x14ac:dyDescent="0.25">
      <c r="A87" s="47" t="s">
        <v>451</v>
      </c>
      <c r="B87" s="48" t="s">
        <v>277</v>
      </c>
      <c r="C87" s="48" t="s">
        <v>277</v>
      </c>
      <c r="D87" s="49" t="s">
        <v>277</v>
      </c>
      <c r="E87" s="149" t="s">
        <v>277</v>
      </c>
      <c r="F87" s="104" t="s">
        <v>277</v>
      </c>
      <c r="G87" s="49" t="s">
        <v>277</v>
      </c>
      <c r="H87" s="48" t="s">
        <v>283</v>
      </c>
      <c r="I87" s="148" t="s">
        <v>277</v>
      </c>
      <c r="J87" s="49" t="s">
        <v>277</v>
      </c>
      <c r="K87" s="122"/>
      <c r="L87" s="129" t="s">
        <v>586</v>
      </c>
      <c r="M87" s="130" t="s">
        <v>587</v>
      </c>
      <c r="N87" s="70">
        <v>3</v>
      </c>
      <c r="O87" s="71">
        <v>0</v>
      </c>
      <c r="P87" s="72">
        <v>0</v>
      </c>
    </row>
    <row r="88" spans="1:16" s="10" customFormat="1" x14ac:dyDescent="0.25">
      <c r="A88" s="47" t="s">
        <v>450</v>
      </c>
      <c r="B88" s="48" t="s">
        <v>277</v>
      </c>
      <c r="C88" s="48" t="s">
        <v>277</v>
      </c>
      <c r="D88" s="49" t="s">
        <v>277</v>
      </c>
      <c r="E88" s="149" t="s">
        <v>277</v>
      </c>
      <c r="F88" s="104" t="s">
        <v>277</v>
      </c>
      <c r="G88" s="49" t="s">
        <v>277</v>
      </c>
      <c r="H88" s="48" t="s">
        <v>283</v>
      </c>
      <c r="I88" s="148" t="s">
        <v>277</v>
      </c>
      <c r="J88" s="49" t="s">
        <v>277</v>
      </c>
      <c r="K88" s="122"/>
      <c r="L88" s="142" t="s">
        <v>452</v>
      </c>
      <c r="M88" s="144" t="s">
        <v>453</v>
      </c>
      <c r="N88" s="70">
        <v>0.25</v>
      </c>
      <c r="O88" s="71">
        <v>1</v>
      </c>
      <c r="P88" s="72">
        <v>1</v>
      </c>
    </row>
    <row r="89" spans="1:16" s="10" customFormat="1" x14ac:dyDescent="0.25">
      <c r="A89" s="47" t="s">
        <v>406</v>
      </c>
      <c r="B89" s="48" t="s">
        <v>277</v>
      </c>
      <c r="C89" s="48" t="s">
        <v>277</v>
      </c>
      <c r="D89" s="49" t="s">
        <v>277</v>
      </c>
      <c r="E89" s="149" t="s">
        <v>277</v>
      </c>
      <c r="F89" s="104" t="s">
        <v>277</v>
      </c>
      <c r="G89" s="49" t="s">
        <v>277</v>
      </c>
      <c r="H89" s="48" t="s">
        <v>277</v>
      </c>
      <c r="I89" s="148" t="s">
        <v>277</v>
      </c>
      <c r="J89" s="48" t="s">
        <v>422</v>
      </c>
      <c r="K89" s="122"/>
      <c r="L89" s="142" t="s">
        <v>454</v>
      </c>
      <c r="M89" s="143" t="s">
        <v>455</v>
      </c>
      <c r="N89" s="70">
        <v>0.25</v>
      </c>
      <c r="O89" s="71">
        <v>1</v>
      </c>
      <c r="P89" s="72">
        <v>1</v>
      </c>
    </row>
    <row r="90" spans="1:16" s="10" customFormat="1" x14ac:dyDescent="0.25">
      <c r="A90" s="152" t="s">
        <v>407</v>
      </c>
      <c r="B90" s="153" t="s">
        <v>277</v>
      </c>
      <c r="C90" s="153" t="s">
        <v>277</v>
      </c>
      <c r="D90" s="65" t="s">
        <v>277</v>
      </c>
      <c r="E90" s="65" t="s">
        <v>277</v>
      </c>
      <c r="F90" s="95" t="s">
        <v>277</v>
      </c>
      <c r="G90" s="65" t="s">
        <v>277</v>
      </c>
      <c r="H90" s="153" t="s">
        <v>277</v>
      </c>
      <c r="I90" s="153" t="s">
        <v>277</v>
      </c>
      <c r="J90" s="153" t="s">
        <v>283</v>
      </c>
      <c r="K90" s="122"/>
      <c r="L90" s="129" t="s">
        <v>592</v>
      </c>
      <c r="M90" s="130" t="s">
        <v>593</v>
      </c>
      <c r="N90" s="70">
        <v>12</v>
      </c>
      <c r="O90" s="118">
        <v>0</v>
      </c>
      <c r="P90" s="119">
        <v>0</v>
      </c>
    </row>
    <row r="91" spans="1:16" s="10" customFormat="1" x14ac:dyDescent="0.25">
      <c r="A91"/>
      <c r="B91" s="30"/>
      <c r="C91"/>
      <c r="D91"/>
      <c r="E91" s="84"/>
      <c r="F91" s="97"/>
      <c r="G91"/>
      <c r="H91" s="30"/>
      <c r="I91" s="30"/>
      <c r="J91" s="30"/>
      <c r="K91" s="54"/>
      <c r="L91" s="68" t="s">
        <v>590</v>
      </c>
      <c r="M91" s="69" t="s">
        <v>591</v>
      </c>
      <c r="N91" s="45">
        <v>5</v>
      </c>
      <c r="O91" s="42">
        <v>0</v>
      </c>
      <c r="P91" s="43">
        <v>0</v>
      </c>
    </row>
    <row r="93" spans="1:16" x14ac:dyDescent="0.25">
      <c r="L93" s="35" t="s">
        <v>363</v>
      </c>
    </row>
  </sheetData>
  <mergeCells count="1">
    <mergeCell ref="O47:P47"/>
  </mergeCells>
  <pageMargins left="0.7" right="0.7" top="0.75" bottom="0.75" header="0.3" footer="0.3"/>
  <pageSetup paperSize="8" scale="45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30"/>
  <sheetViews>
    <sheetView workbookViewId="0">
      <selection activeCell="D34" sqref="D34"/>
    </sheetView>
  </sheetViews>
  <sheetFormatPr defaultRowHeight="15" x14ac:dyDescent="0.25"/>
  <cols>
    <col min="1" max="1" width="26.42578125" bestFit="1" customWidth="1"/>
    <col min="2" max="2" width="18.28515625" bestFit="1" customWidth="1"/>
    <col min="3" max="3" width="23.28515625" bestFit="1" customWidth="1"/>
    <col min="4" max="4" width="22.7109375" bestFit="1" customWidth="1"/>
    <col min="5" max="6" width="22.7109375" style="84" customWidth="1"/>
    <col min="7" max="8" width="22.7109375" bestFit="1" customWidth="1"/>
    <col min="9" max="9" width="22.7109375" style="30" customWidth="1"/>
    <col min="10" max="10" width="22.7109375" bestFit="1" customWidth="1"/>
  </cols>
  <sheetData>
    <row r="1" spans="1:10" x14ac:dyDescent="0.25">
      <c r="A1" s="84"/>
      <c r="B1" s="85" t="s">
        <v>278</v>
      </c>
      <c r="C1" s="85" t="s">
        <v>279</v>
      </c>
      <c r="D1" s="85" t="s">
        <v>280</v>
      </c>
      <c r="E1" s="85" t="s">
        <v>534</v>
      </c>
      <c r="F1" s="85" t="s">
        <v>436</v>
      </c>
      <c r="G1" s="85" t="s">
        <v>281</v>
      </c>
      <c r="H1" s="85" t="s">
        <v>378</v>
      </c>
      <c r="I1" s="85" t="s">
        <v>518</v>
      </c>
      <c r="J1" s="85" t="s">
        <v>379</v>
      </c>
    </row>
    <row r="2" spans="1:10" x14ac:dyDescent="0.25">
      <c r="A2" s="86" t="s">
        <v>282</v>
      </c>
      <c r="B2" s="87"/>
      <c r="C2" s="88"/>
      <c r="D2" s="88"/>
      <c r="E2" s="88"/>
      <c r="F2" s="88"/>
      <c r="G2" s="88"/>
      <c r="H2" s="87"/>
      <c r="I2" s="87"/>
      <c r="J2" s="87"/>
    </row>
    <row r="3" spans="1:10" x14ac:dyDescent="0.25">
      <c r="A3" s="89" t="s">
        <v>176</v>
      </c>
      <c r="B3" s="93" t="s">
        <v>425</v>
      </c>
      <c r="C3" s="93" t="s">
        <v>425</v>
      </c>
      <c r="D3" s="93" t="s">
        <v>425</v>
      </c>
      <c r="E3" s="162" t="s">
        <v>277</v>
      </c>
      <c r="F3" s="93" t="s">
        <v>425</v>
      </c>
      <c r="G3" s="93" t="s">
        <v>425</v>
      </c>
      <c r="H3" s="91" t="s">
        <v>277</v>
      </c>
      <c r="I3" s="91" t="s">
        <v>277</v>
      </c>
      <c r="J3" s="90" t="s">
        <v>277</v>
      </c>
    </row>
    <row r="4" spans="1:10" x14ac:dyDescent="0.25">
      <c r="A4" s="92" t="s">
        <v>371</v>
      </c>
      <c r="B4" s="90" t="s">
        <v>277</v>
      </c>
      <c r="C4" s="90" t="s">
        <v>277</v>
      </c>
      <c r="D4" s="90" t="s">
        <v>277</v>
      </c>
      <c r="E4" s="151" t="s">
        <v>277</v>
      </c>
      <c r="F4" s="91" t="s">
        <v>277</v>
      </c>
      <c r="G4" s="93" t="s">
        <v>425</v>
      </c>
      <c r="H4" s="90" t="s">
        <v>277</v>
      </c>
      <c r="I4" s="151" t="s">
        <v>277</v>
      </c>
      <c r="J4" s="90" t="s">
        <v>277</v>
      </c>
    </row>
    <row r="5" spans="1:10" x14ac:dyDescent="0.25">
      <c r="A5" s="92" t="s">
        <v>372</v>
      </c>
      <c r="B5" s="91" t="s">
        <v>277</v>
      </c>
      <c r="C5" s="90" t="s">
        <v>277</v>
      </c>
      <c r="D5" s="91" t="s">
        <v>277</v>
      </c>
      <c r="E5" s="91" t="s">
        <v>277</v>
      </c>
      <c r="F5" s="91" t="s">
        <v>277</v>
      </c>
      <c r="G5" s="93" t="s">
        <v>425</v>
      </c>
      <c r="H5" s="91" t="s">
        <v>277</v>
      </c>
      <c r="I5" s="91" t="s">
        <v>277</v>
      </c>
      <c r="J5" s="91" t="s">
        <v>277</v>
      </c>
    </row>
    <row r="6" spans="1:10" x14ac:dyDescent="0.25">
      <c r="A6" s="89" t="s">
        <v>198</v>
      </c>
      <c r="B6" s="93" t="s">
        <v>426</v>
      </c>
      <c r="C6" s="93" t="s">
        <v>426</v>
      </c>
      <c r="D6" s="93" t="s">
        <v>427</v>
      </c>
      <c r="E6" s="161" t="s">
        <v>277</v>
      </c>
      <c r="F6" s="93" t="s">
        <v>427</v>
      </c>
      <c r="G6" s="93" t="s">
        <v>425</v>
      </c>
      <c r="H6" s="90" t="s">
        <v>277</v>
      </c>
      <c r="I6" s="151" t="s">
        <v>277</v>
      </c>
      <c r="J6" s="90" t="s">
        <v>277</v>
      </c>
    </row>
    <row r="7" spans="1:10" x14ac:dyDescent="0.25">
      <c r="A7" s="89" t="s">
        <v>177</v>
      </c>
      <c r="B7" s="93" t="s">
        <v>425</v>
      </c>
      <c r="C7" s="93" t="s">
        <v>425</v>
      </c>
      <c r="D7" s="93" t="s">
        <v>425</v>
      </c>
      <c r="E7" s="161" t="s">
        <v>277</v>
      </c>
      <c r="F7" s="93" t="s">
        <v>425</v>
      </c>
      <c r="G7" s="93" t="s">
        <v>425</v>
      </c>
      <c r="H7" s="90" t="s">
        <v>277</v>
      </c>
      <c r="I7" s="151" t="s">
        <v>277</v>
      </c>
      <c r="J7" s="90" t="s">
        <v>277</v>
      </c>
    </row>
    <row r="8" spans="1:10" x14ac:dyDescent="0.25">
      <c r="A8" s="92" t="s">
        <v>285</v>
      </c>
      <c r="B8" s="91" t="s">
        <v>277</v>
      </c>
      <c r="C8" s="93" t="s">
        <v>427</v>
      </c>
      <c r="D8" s="91" t="s">
        <v>277</v>
      </c>
      <c r="E8" s="91" t="s">
        <v>277</v>
      </c>
      <c r="F8" s="93" t="s">
        <v>427</v>
      </c>
      <c r="G8" s="91" t="s">
        <v>277</v>
      </c>
      <c r="H8" s="91" t="s">
        <v>277</v>
      </c>
      <c r="I8" s="134" t="s">
        <v>427</v>
      </c>
      <c r="J8" s="91" t="s">
        <v>277</v>
      </c>
    </row>
    <row r="9" spans="1:10" x14ac:dyDescent="0.25">
      <c r="A9" s="92" t="s">
        <v>548</v>
      </c>
      <c r="B9" s="91" t="s">
        <v>277</v>
      </c>
      <c r="C9" s="93" t="s">
        <v>427</v>
      </c>
      <c r="D9" s="91" t="s">
        <v>277</v>
      </c>
      <c r="E9" s="91" t="s">
        <v>277</v>
      </c>
      <c r="F9" s="93" t="s">
        <v>427</v>
      </c>
      <c r="G9" s="91" t="s">
        <v>277</v>
      </c>
      <c r="H9" s="91" t="s">
        <v>277</v>
      </c>
      <c r="I9" s="134" t="s">
        <v>427</v>
      </c>
      <c r="J9" s="91" t="s">
        <v>277</v>
      </c>
    </row>
    <row r="10" spans="1:10" x14ac:dyDescent="0.25">
      <c r="A10" s="89" t="s">
        <v>380</v>
      </c>
      <c r="B10" s="91" t="s">
        <v>277</v>
      </c>
      <c r="C10" s="90" t="s">
        <v>277</v>
      </c>
      <c r="D10" s="91" t="s">
        <v>277</v>
      </c>
      <c r="E10" s="91" t="s">
        <v>277</v>
      </c>
      <c r="F10" s="91" t="s">
        <v>277</v>
      </c>
      <c r="G10" s="91" t="s">
        <v>277</v>
      </c>
      <c r="H10" s="93" t="s">
        <v>427</v>
      </c>
      <c r="I10" s="161" t="s">
        <v>277</v>
      </c>
      <c r="J10" s="91" t="s">
        <v>277</v>
      </c>
    </row>
    <row r="11" spans="1:10" x14ac:dyDescent="0.25">
      <c r="A11" s="89" t="s">
        <v>381</v>
      </c>
      <c r="B11" s="91" t="s">
        <v>277</v>
      </c>
      <c r="C11" s="90" t="s">
        <v>277</v>
      </c>
      <c r="D11" s="91" t="s">
        <v>277</v>
      </c>
      <c r="E11" s="91" t="s">
        <v>277</v>
      </c>
      <c r="F11" s="91" t="s">
        <v>277</v>
      </c>
      <c r="G11" s="91" t="s">
        <v>277</v>
      </c>
      <c r="H11" s="93" t="s">
        <v>427</v>
      </c>
      <c r="I11" s="161" t="s">
        <v>277</v>
      </c>
      <c r="J11" s="91" t="s">
        <v>277</v>
      </c>
    </row>
    <row r="12" spans="1:10" x14ac:dyDescent="0.25">
      <c r="A12" s="89" t="s">
        <v>382</v>
      </c>
      <c r="B12" s="91" t="s">
        <v>277</v>
      </c>
      <c r="C12" s="90" t="s">
        <v>277</v>
      </c>
      <c r="D12" s="91" t="s">
        <v>277</v>
      </c>
      <c r="E12" s="91" t="s">
        <v>277</v>
      </c>
      <c r="F12" s="91" t="s">
        <v>277</v>
      </c>
      <c r="G12" s="91" t="s">
        <v>277</v>
      </c>
      <c r="H12" s="93" t="s">
        <v>425</v>
      </c>
      <c r="I12" s="161" t="s">
        <v>277</v>
      </c>
      <c r="J12" s="91" t="s">
        <v>277</v>
      </c>
    </row>
    <row r="13" spans="1:10" x14ac:dyDescent="0.25">
      <c r="A13" s="89" t="s">
        <v>384</v>
      </c>
      <c r="B13" s="91" t="s">
        <v>277</v>
      </c>
      <c r="C13" s="90" t="s">
        <v>277</v>
      </c>
      <c r="D13" s="91" t="s">
        <v>277</v>
      </c>
      <c r="E13" s="91" t="s">
        <v>277</v>
      </c>
      <c r="F13" s="91" t="s">
        <v>277</v>
      </c>
      <c r="G13" s="91" t="s">
        <v>277</v>
      </c>
      <c r="H13" s="93" t="s">
        <v>425</v>
      </c>
      <c r="I13" s="161" t="s">
        <v>277</v>
      </c>
      <c r="J13" s="91" t="s">
        <v>277</v>
      </c>
    </row>
    <row r="14" spans="1:10" x14ac:dyDescent="0.25">
      <c r="A14" s="89" t="s">
        <v>551</v>
      </c>
      <c r="B14" s="91" t="s">
        <v>277</v>
      </c>
      <c r="C14" s="91" t="s">
        <v>277</v>
      </c>
      <c r="D14" s="91" t="s">
        <v>277</v>
      </c>
      <c r="E14" s="91" t="s">
        <v>277</v>
      </c>
      <c r="F14" s="91" t="s">
        <v>277</v>
      </c>
      <c r="G14" s="91" t="s">
        <v>277</v>
      </c>
      <c r="H14" s="91" t="s">
        <v>277</v>
      </c>
      <c r="I14" s="103" t="s">
        <v>277</v>
      </c>
      <c r="J14" s="93" t="s">
        <v>427</v>
      </c>
    </row>
    <row r="15" spans="1:10" s="84" customFormat="1" x14ac:dyDescent="0.25">
      <c r="A15" s="89" t="s">
        <v>552</v>
      </c>
      <c r="B15" s="91" t="s">
        <v>277</v>
      </c>
      <c r="C15" s="91" t="s">
        <v>277</v>
      </c>
      <c r="D15" s="91" t="s">
        <v>277</v>
      </c>
      <c r="E15" s="91" t="s">
        <v>277</v>
      </c>
      <c r="F15" s="91" t="s">
        <v>277</v>
      </c>
      <c r="G15" s="91" t="s">
        <v>277</v>
      </c>
      <c r="H15" s="91" t="s">
        <v>277</v>
      </c>
      <c r="I15" s="103" t="s">
        <v>277</v>
      </c>
      <c r="J15" s="93" t="s">
        <v>427</v>
      </c>
    </row>
    <row r="16" spans="1:10" x14ac:dyDescent="0.25">
      <c r="A16" s="92" t="s">
        <v>420</v>
      </c>
      <c r="B16" s="91" t="s">
        <v>277</v>
      </c>
      <c r="C16" s="91" t="s">
        <v>277</v>
      </c>
      <c r="D16" s="91" t="s">
        <v>277</v>
      </c>
      <c r="E16" s="91" t="s">
        <v>277</v>
      </c>
      <c r="F16" s="91" t="s">
        <v>277</v>
      </c>
      <c r="G16" s="91" t="s">
        <v>277</v>
      </c>
      <c r="H16" s="93" t="s">
        <v>427</v>
      </c>
      <c r="I16" s="161" t="s">
        <v>277</v>
      </c>
      <c r="J16" s="93" t="s">
        <v>427</v>
      </c>
    </row>
    <row r="17" spans="1:10" x14ac:dyDescent="0.25">
      <c r="A17" s="89" t="s">
        <v>419</v>
      </c>
      <c r="B17" s="91" t="s">
        <v>277</v>
      </c>
      <c r="C17" s="93" t="s">
        <v>427</v>
      </c>
      <c r="D17" s="93" t="s">
        <v>427</v>
      </c>
      <c r="E17" s="161" t="s">
        <v>277</v>
      </c>
      <c r="F17" s="93" t="s">
        <v>427</v>
      </c>
      <c r="G17" s="91" t="s">
        <v>277</v>
      </c>
      <c r="H17" s="93" t="s">
        <v>427</v>
      </c>
      <c r="I17" s="161" t="s">
        <v>277</v>
      </c>
      <c r="J17" s="91" t="s">
        <v>277</v>
      </c>
    </row>
    <row r="18" spans="1:10" x14ac:dyDescent="0.25">
      <c r="A18" s="89" t="s">
        <v>416</v>
      </c>
      <c r="B18" s="91" t="s">
        <v>277</v>
      </c>
      <c r="C18" s="93" t="s">
        <v>427</v>
      </c>
      <c r="D18" s="93" t="s">
        <v>427</v>
      </c>
      <c r="E18" s="161" t="s">
        <v>277</v>
      </c>
      <c r="F18" s="93" t="s">
        <v>427</v>
      </c>
      <c r="G18" s="91" t="s">
        <v>277</v>
      </c>
      <c r="H18" s="93" t="s">
        <v>427</v>
      </c>
      <c r="I18" s="161" t="s">
        <v>277</v>
      </c>
      <c r="J18" s="91" t="s">
        <v>277</v>
      </c>
    </row>
    <row r="19" spans="1:10" x14ac:dyDescent="0.25">
      <c r="A19" s="89" t="s">
        <v>414</v>
      </c>
      <c r="B19" s="91" t="s">
        <v>277</v>
      </c>
      <c r="C19" s="93" t="s">
        <v>427</v>
      </c>
      <c r="D19" s="93" t="s">
        <v>427</v>
      </c>
      <c r="E19" s="161" t="s">
        <v>277</v>
      </c>
      <c r="F19" s="93" t="s">
        <v>427</v>
      </c>
      <c r="G19" s="91" t="s">
        <v>277</v>
      </c>
      <c r="H19" s="93" t="s">
        <v>427</v>
      </c>
      <c r="I19" s="161" t="s">
        <v>277</v>
      </c>
      <c r="J19" s="91" t="s">
        <v>277</v>
      </c>
    </row>
    <row r="20" spans="1:10" x14ac:dyDescent="0.25">
      <c r="A20" s="89" t="s">
        <v>386</v>
      </c>
      <c r="B20" s="91" t="s">
        <v>277</v>
      </c>
      <c r="C20" s="90" t="s">
        <v>277</v>
      </c>
      <c r="D20" s="91" t="s">
        <v>277</v>
      </c>
      <c r="E20" s="91" t="s">
        <v>277</v>
      </c>
      <c r="F20" s="91" t="s">
        <v>277</v>
      </c>
      <c r="G20" s="91" t="s">
        <v>277</v>
      </c>
      <c r="H20" s="93" t="s">
        <v>427</v>
      </c>
      <c r="I20" s="161" t="s">
        <v>277</v>
      </c>
      <c r="J20" s="91" t="s">
        <v>277</v>
      </c>
    </row>
    <row r="21" spans="1:10" x14ac:dyDescent="0.25">
      <c r="A21" s="89" t="s">
        <v>549</v>
      </c>
      <c r="B21" s="91" t="s">
        <v>277</v>
      </c>
      <c r="C21" s="90" t="s">
        <v>277</v>
      </c>
      <c r="D21" s="91" t="s">
        <v>277</v>
      </c>
      <c r="E21" s="91" t="s">
        <v>277</v>
      </c>
      <c r="F21" s="93" t="s">
        <v>427</v>
      </c>
      <c r="G21" s="93" t="s">
        <v>427</v>
      </c>
      <c r="H21" s="93" t="s">
        <v>427</v>
      </c>
      <c r="I21" s="161" t="s">
        <v>277</v>
      </c>
      <c r="J21" s="93" t="s">
        <v>427</v>
      </c>
    </row>
    <row r="22" spans="1:10" s="84" customFormat="1" x14ac:dyDescent="0.25">
      <c r="A22" s="89" t="s">
        <v>550</v>
      </c>
      <c r="B22" s="91"/>
      <c r="C22" s="151"/>
      <c r="D22" s="91"/>
      <c r="E22" s="91"/>
      <c r="F22" s="93" t="s">
        <v>427</v>
      </c>
      <c r="G22" s="93" t="s">
        <v>427</v>
      </c>
      <c r="H22" s="93" t="s">
        <v>427</v>
      </c>
      <c r="I22" s="161" t="s">
        <v>277</v>
      </c>
      <c r="J22" s="93" t="s">
        <v>427</v>
      </c>
    </row>
    <row r="23" spans="1:10" x14ac:dyDescent="0.25">
      <c r="A23" s="92" t="s">
        <v>373</v>
      </c>
      <c r="B23" s="91" t="s">
        <v>277</v>
      </c>
      <c r="C23" s="90" t="s">
        <v>277</v>
      </c>
      <c r="D23" s="91" t="s">
        <v>277</v>
      </c>
      <c r="E23" s="91" t="s">
        <v>277</v>
      </c>
      <c r="F23" s="93" t="s">
        <v>427</v>
      </c>
      <c r="G23" s="93" t="s">
        <v>427</v>
      </c>
      <c r="H23" s="93" t="s">
        <v>427</v>
      </c>
      <c r="I23" s="162" t="s">
        <v>427</v>
      </c>
      <c r="J23" s="93" t="s">
        <v>427</v>
      </c>
    </row>
    <row r="24" spans="1:10" x14ac:dyDescent="0.25">
      <c r="A24" s="89" t="s">
        <v>284</v>
      </c>
      <c r="B24" s="91" t="s">
        <v>277</v>
      </c>
      <c r="C24" s="91" t="s">
        <v>277</v>
      </c>
      <c r="D24" s="91" t="s">
        <v>277</v>
      </c>
      <c r="E24" s="91" t="s">
        <v>277</v>
      </c>
      <c r="F24" s="91" t="s">
        <v>277</v>
      </c>
      <c r="G24" s="93" t="s">
        <v>427</v>
      </c>
      <c r="H24" s="93" t="s">
        <v>427</v>
      </c>
      <c r="I24" s="161" t="s">
        <v>277</v>
      </c>
      <c r="J24" s="93" t="s">
        <v>427</v>
      </c>
    </row>
    <row r="25" spans="1:10" x14ac:dyDescent="0.25">
      <c r="A25" s="89" t="s">
        <v>307</v>
      </c>
      <c r="B25" s="91" t="s">
        <v>277</v>
      </c>
      <c r="C25" s="93" t="s">
        <v>428</v>
      </c>
      <c r="D25" s="91" t="s">
        <v>277</v>
      </c>
      <c r="E25" s="91" t="s">
        <v>277</v>
      </c>
      <c r="F25" s="93" t="s">
        <v>428</v>
      </c>
      <c r="G25" s="91" t="s">
        <v>277</v>
      </c>
      <c r="H25" s="91" t="s">
        <v>277</v>
      </c>
      <c r="I25" s="103" t="s">
        <v>277</v>
      </c>
      <c r="J25" s="91" t="s">
        <v>277</v>
      </c>
    </row>
    <row r="26" spans="1:10" x14ac:dyDescent="0.25">
      <c r="A26" s="89" t="s">
        <v>308</v>
      </c>
      <c r="B26" s="91" t="s">
        <v>277</v>
      </c>
      <c r="C26" s="93" t="s">
        <v>426</v>
      </c>
      <c r="D26" s="91" t="s">
        <v>277</v>
      </c>
      <c r="E26" s="91" t="s">
        <v>277</v>
      </c>
      <c r="F26" s="93" t="s">
        <v>426</v>
      </c>
      <c r="G26" s="90" t="s">
        <v>277</v>
      </c>
      <c r="H26" s="91" t="s">
        <v>277</v>
      </c>
      <c r="I26" s="91" t="s">
        <v>277</v>
      </c>
      <c r="J26" s="91" t="s">
        <v>277</v>
      </c>
    </row>
    <row r="27" spans="1:10" s="84" customFormat="1" x14ac:dyDescent="0.25">
      <c r="A27" s="89" t="s">
        <v>168</v>
      </c>
      <c r="B27" s="91" t="s">
        <v>277</v>
      </c>
      <c r="C27" s="91" t="s">
        <v>277</v>
      </c>
      <c r="D27" s="91" t="s">
        <v>277</v>
      </c>
      <c r="E27" s="91" t="s">
        <v>277</v>
      </c>
      <c r="F27" s="91" t="s">
        <v>277</v>
      </c>
      <c r="G27" s="91" t="s">
        <v>277</v>
      </c>
      <c r="H27" s="91" t="s">
        <v>277</v>
      </c>
      <c r="I27" s="91" t="s">
        <v>277</v>
      </c>
      <c r="J27" s="134" t="s">
        <v>425</v>
      </c>
    </row>
    <row r="28" spans="1:10" s="84" customFormat="1" x14ac:dyDescent="0.25">
      <c r="A28" s="29" t="s">
        <v>537</v>
      </c>
      <c r="B28" s="149" t="s">
        <v>277</v>
      </c>
      <c r="C28" s="149" t="s">
        <v>277</v>
      </c>
      <c r="D28" s="149" t="s">
        <v>277</v>
      </c>
      <c r="E28" s="168" t="s">
        <v>277</v>
      </c>
      <c r="F28" s="149" t="s">
        <v>277</v>
      </c>
      <c r="G28" s="149" t="s">
        <v>277</v>
      </c>
      <c r="H28" s="149" t="s">
        <v>277</v>
      </c>
      <c r="I28" s="149" t="s">
        <v>277</v>
      </c>
      <c r="J28" s="104" t="s">
        <v>277</v>
      </c>
    </row>
    <row r="29" spans="1:10" s="84" customFormat="1" x14ac:dyDescent="0.25">
      <c r="A29" s="29" t="s">
        <v>538</v>
      </c>
      <c r="B29" s="149" t="s">
        <v>277</v>
      </c>
      <c r="C29" s="149" t="s">
        <v>277</v>
      </c>
      <c r="D29" s="149" t="s">
        <v>277</v>
      </c>
      <c r="E29" s="168" t="s">
        <v>277</v>
      </c>
      <c r="F29" s="149" t="s">
        <v>277</v>
      </c>
      <c r="G29" s="149" t="s">
        <v>277</v>
      </c>
      <c r="H29" s="149" t="s">
        <v>277</v>
      </c>
      <c r="I29" s="149" t="s">
        <v>277</v>
      </c>
      <c r="J29" s="104" t="s">
        <v>277</v>
      </c>
    </row>
    <row r="30" spans="1:10" x14ac:dyDescent="0.25">
      <c r="A30" s="98" t="s">
        <v>167</v>
      </c>
      <c r="B30" s="65" t="s">
        <v>277</v>
      </c>
      <c r="C30" s="65" t="s">
        <v>277</v>
      </c>
      <c r="D30" s="65" t="s">
        <v>277</v>
      </c>
      <c r="E30" s="65" t="s">
        <v>277</v>
      </c>
      <c r="F30" s="65" t="s">
        <v>277</v>
      </c>
      <c r="G30" s="65" t="s">
        <v>277</v>
      </c>
      <c r="H30" s="65" t="s">
        <v>277</v>
      </c>
      <c r="I30" s="159" t="s">
        <v>425</v>
      </c>
      <c r="J30" s="160" t="s">
        <v>277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J18"/>
  <sheetViews>
    <sheetView tabSelected="1" workbookViewId="0">
      <selection activeCell="K28" sqref="K28"/>
    </sheetView>
  </sheetViews>
  <sheetFormatPr defaultRowHeight="15" x14ac:dyDescent="0.25"/>
  <cols>
    <col min="1" max="1" width="15.28515625" style="84" bestFit="1" customWidth="1"/>
    <col min="2" max="4" width="7.42578125" style="84" bestFit="1" customWidth="1"/>
    <col min="5" max="5" width="7.42578125" style="84" customWidth="1"/>
    <col min="6" max="10" width="7.42578125" style="84" bestFit="1" customWidth="1"/>
    <col min="11" max="16384" width="9.140625" style="84"/>
  </cols>
  <sheetData>
    <row r="1" spans="1:10" x14ac:dyDescent="0.25">
      <c r="B1" s="85" t="s">
        <v>278</v>
      </c>
      <c r="C1" s="85" t="s">
        <v>279</v>
      </c>
      <c r="D1" s="85" t="s">
        <v>280</v>
      </c>
      <c r="E1" s="85" t="s">
        <v>534</v>
      </c>
      <c r="F1" s="85" t="s">
        <v>436</v>
      </c>
      <c r="G1" s="85" t="s">
        <v>281</v>
      </c>
      <c r="H1" s="85" t="s">
        <v>378</v>
      </c>
      <c r="I1" s="85" t="s">
        <v>518</v>
      </c>
      <c r="J1" s="85" t="s">
        <v>379</v>
      </c>
    </row>
    <row r="2" spans="1:10" x14ac:dyDescent="0.25">
      <c r="A2" s="86" t="s">
        <v>513</v>
      </c>
      <c r="B2" s="133" t="s">
        <v>277</v>
      </c>
      <c r="C2" s="133" t="s">
        <v>277</v>
      </c>
      <c r="D2" s="133" t="s">
        <v>277</v>
      </c>
      <c r="E2" s="133" t="s">
        <v>277</v>
      </c>
      <c r="F2" s="99" t="s">
        <v>500</v>
      </c>
      <c r="G2" s="99" t="s">
        <v>500</v>
      </c>
      <c r="H2" s="99" t="s">
        <v>500</v>
      </c>
      <c r="I2" s="99" t="s">
        <v>500</v>
      </c>
      <c r="J2" s="99" t="s">
        <v>500</v>
      </c>
    </row>
    <row r="3" spans="1:10" x14ac:dyDescent="0.25">
      <c r="A3" s="84" t="s">
        <v>512</v>
      </c>
      <c r="B3" s="91" t="s">
        <v>277</v>
      </c>
      <c r="C3" s="91" t="s">
        <v>277</v>
      </c>
      <c r="D3" s="91" t="s">
        <v>277</v>
      </c>
      <c r="E3" s="91" t="s">
        <v>277</v>
      </c>
      <c r="F3" s="91">
        <v>3</v>
      </c>
      <c r="G3" s="91">
        <v>17</v>
      </c>
      <c r="H3" s="91">
        <v>28</v>
      </c>
      <c r="I3" s="91">
        <v>42</v>
      </c>
      <c r="J3" s="91">
        <v>55</v>
      </c>
    </row>
    <row r="4" spans="1:10" x14ac:dyDescent="0.25">
      <c r="A4" s="84" t="s">
        <v>514</v>
      </c>
      <c r="B4" s="91" t="s">
        <v>277</v>
      </c>
      <c r="C4" s="91" t="s">
        <v>277</v>
      </c>
      <c r="D4" s="91" t="s">
        <v>277</v>
      </c>
      <c r="E4" s="91" t="s">
        <v>277</v>
      </c>
      <c r="F4" s="91">
        <v>14</v>
      </c>
      <c r="G4" s="91">
        <v>25</v>
      </c>
      <c r="H4" s="91">
        <v>39</v>
      </c>
      <c r="I4" s="91">
        <v>52</v>
      </c>
      <c r="J4" s="91">
        <v>66</v>
      </c>
    </row>
    <row r="5" spans="1:10" x14ac:dyDescent="0.25">
      <c r="A5" s="89" t="s">
        <v>499</v>
      </c>
      <c r="B5" s="90" t="s">
        <v>277</v>
      </c>
      <c r="C5" s="90" t="s">
        <v>277</v>
      </c>
      <c r="D5" s="90" t="s">
        <v>277</v>
      </c>
      <c r="E5" s="151" t="s">
        <v>277</v>
      </c>
      <c r="F5" s="90" t="s">
        <v>500</v>
      </c>
      <c r="G5" s="90" t="s">
        <v>500</v>
      </c>
      <c r="H5" s="90" t="s">
        <v>500</v>
      </c>
      <c r="I5" s="151" t="s">
        <v>500</v>
      </c>
      <c r="J5" s="90" t="s">
        <v>500</v>
      </c>
    </row>
    <row r="6" spans="1:10" x14ac:dyDescent="0.25">
      <c r="A6" s="92" t="s">
        <v>501</v>
      </c>
      <c r="B6" s="91" t="s">
        <v>277</v>
      </c>
      <c r="C6" s="91" t="s">
        <v>277</v>
      </c>
      <c r="D6" s="91" t="s">
        <v>277</v>
      </c>
      <c r="E6" s="91" t="s">
        <v>277</v>
      </c>
      <c r="F6" s="91" t="s">
        <v>500</v>
      </c>
      <c r="G6" s="91" t="s">
        <v>500</v>
      </c>
      <c r="H6" s="91" t="s">
        <v>500</v>
      </c>
      <c r="I6" s="91" t="s">
        <v>500</v>
      </c>
      <c r="J6" s="91" t="s">
        <v>277</v>
      </c>
    </row>
    <row r="7" spans="1:10" x14ac:dyDescent="0.25">
      <c r="A7" s="132" t="s">
        <v>509</v>
      </c>
      <c r="B7" s="91" t="s">
        <v>277</v>
      </c>
      <c r="C7" s="91" t="s">
        <v>277</v>
      </c>
      <c r="D7" s="91" t="s">
        <v>277</v>
      </c>
      <c r="E7" s="91" t="s">
        <v>277</v>
      </c>
      <c r="F7" s="91" t="s">
        <v>277</v>
      </c>
      <c r="G7" s="91" t="s">
        <v>277</v>
      </c>
      <c r="H7" s="91" t="s">
        <v>277</v>
      </c>
      <c r="I7" s="91" t="s">
        <v>277</v>
      </c>
      <c r="J7" s="91" t="s">
        <v>500</v>
      </c>
    </row>
    <row r="8" spans="1:10" x14ac:dyDescent="0.25">
      <c r="A8" s="92" t="s">
        <v>155</v>
      </c>
      <c r="B8" s="90" t="s">
        <v>277</v>
      </c>
      <c r="C8" s="90" t="s">
        <v>277</v>
      </c>
      <c r="D8" s="90" t="s">
        <v>277</v>
      </c>
      <c r="E8" s="151" t="s">
        <v>277</v>
      </c>
      <c r="F8" s="90" t="s">
        <v>500</v>
      </c>
      <c r="G8" s="90" t="s">
        <v>500</v>
      </c>
      <c r="H8" s="90" t="s">
        <v>500</v>
      </c>
      <c r="I8" s="151" t="s">
        <v>500</v>
      </c>
      <c r="J8" s="90" t="s">
        <v>500</v>
      </c>
    </row>
    <row r="9" spans="1:10" x14ac:dyDescent="0.25">
      <c r="A9" s="89" t="s">
        <v>502</v>
      </c>
      <c r="B9" s="91" t="s">
        <v>277</v>
      </c>
      <c r="C9" s="91" t="s">
        <v>277</v>
      </c>
      <c r="D9" s="91" t="s">
        <v>277</v>
      </c>
      <c r="E9" s="91" t="s">
        <v>277</v>
      </c>
      <c r="F9" s="91" t="s">
        <v>500</v>
      </c>
      <c r="G9" s="91" t="s">
        <v>500</v>
      </c>
      <c r="H9" s="91" t="s">
        <v>500</v>
      </c>
      <c r="I9" s="91" t="s">
        <v>500</v>
      </c>
      <c r="J9" s="91" t="s">
        <v>500</v>
      </c>
    </row>
    <row r="10" spans="1:10" x14ac:dyDescent="0.25">
      <c r="A10" s="89" t="s">
        <v>504</v>
      </c>
      <c r="B10" s="91" t="s">
        <v>277</v>
      </c>
      <c r="C10" s="91" t="s">
        <v>277</v>
      </c>
      <c r="D10" s="91" t="s">
        <v>277</v>
      </c>
      <c r="E10" s="91" t="s">
        <v>277</v>
      </c>
      <c r="F10" s="91" t="s">
        <v>500</v>
      </c>
      <c r="G10" s="91" t="s">
        <v>500</v>
      </c>
      <c r="H10" s="91" t="s">
        <v>500</v>
      </c>
      <c r="I10" s="91" t="s">
        <v>500</v>
      </c>
      <c r="J10" s="91" t="s">
        <v>500</v>
      </c>
    </row>
    <row r="11" spans="1:10" x14ac:dyDescent="0.25">
      <c r="A11" s="92" t="s">
        <v>505</v>
      </c>
      <c r="B11" s="91" t="s">
        <v>277</v>
      </c>
      <c r="C11" s="91" t="s">
        <v>277</v>
      </c>
      <c r="D11" s="91" t="s">
        <v>277</v>
      </c>
      <c r="E11" s="91" t="s">
        <v>277</v>
      </c>
      <c r="F11" s="91" t="s">
        <v>500</v>
      </c>
      <c r="G11" s="91" t="s">
        <v>500</v>
      </c>
      <c r="H11" s="91" t="s">
        <v>500</v>
      </c>
      <c r="I11" s="91" t="s">
        <v>500</v>
      </c>
      <c r="J11" s="91" t="s">
        <v>500</v>
      </c>
    </row>
    <row r="12" spans="1:10" x14ac:dyDescent="0.25">
      <c r="A12" s="132" t="s">
        <v>510</v>
      </c>
      <c r="B12" s="91" t="s">
        <v>277</v>
      </c>
      <c r="C12" s="91" t="s">
        <v>277</v>
      </c>
      <c r="D12" s="91" t="s">
        <v>277</v>
      </c>
      <c r="E12" s="91" t="s">
        <v>277</v>
      </c>
      <c r="F12" s="91" t="s">
        <v>277</v>
      </c>
      <c r="G12" s="91" t="s">
        <v>277</v>
      </c>
      <c r="H12" s="91" t="s">
        <v>277</v>
      </c>
      <c r="I12" s="91" t="s">
        <v>277</v>
      </c>
      <c r="J12" s="91" t="s">
        <v>500</v>
      </c>
    </row>
    <row r="13" spans="1:10" x14ac:dyDescent="0.25">
      <c r="A13" s="132" t="s">
        <v>503</v>
      </c>
      <c r="B13" s="91" t="s">
        <v>277</v>
      </c>
      <c r="C13" s="91" t="s">
        <v>277</v>
      </c>
      <c r="D13" s="91" t="s">
        <v>277</v>
      </c>
      <c r="E13" s="91" t="s">
        <v>277</v>
      </c>
      <c r="F13" s="91" t="s">
        <v>277</v>
      </c>
      <c r="G13" s="91" t="s">
        <v>277</v>
      </c>
      <c r="H13" s="91" t="s">
        <v>277</v>
      </c>
      <c r="I13" s="91" t="s">
        <v>277</v>
      </c>
      <c r="J13" s="91" t="s">
        <v>500</v>
      </c>
    </row>
    <row r="14" spans="1:10" x14ac:dyDescent="0.25">
      <c r="A14" s="92" t="s">
        <v>506</v>
      </c>
      <c r="B14" s="91" t="s">
        <v>277</v>
      </c>
      <c r="C14" s="91" t="s">
        <v>277</v>
      </c>
      <c r="D14" s="91" t="s">
        <v>277</v>
      </c>
      <c r="E14" s="91" t="s">
        <v>277</v>
      </c>
      <c r="F14" s="91" t="s">
        <v>500</v>
      </c>
      <c r="G14" s="91" t="s">
        <v>277</v>
      </c>
      <c r="H14" s="91" t="s">
        <v>500</v>
      </c>
      <c r="I14" s="91" t="s">
        <v>500</v>
      </c>
      <c r="J14" s="91" t="s">
        <v>277</v>
      </c>
    </row>
    <row r="15" spans="1:10" x14ac:dyDescent="0.25">
      <c r="A15" s="89" t="s">
        <v>507</v>
      </c>
      <c r="B15" s="91" t="s">
        <v>277</v>
      </c>
      <c r="C15" s="91" t="s">
        <v>277</v>
      </c>
      <c r="D15" s="91" t="s">
        <v>277</v>
      </c>
      <c r="E15" s="91" t="s">
        <v>277</v>
      </c>
      <c r="F15" s="91" t="s">
        <v>500</v>
      </c>
      <c r="G15" s="134" t="s">
        <v>353</v>
      </c>
      <c r="H15" s="91" t="s">
        <v>500</v>
      </c>
      <c r="I15" s="91" t="s">
        <v>500</v>
      </c>
      <c r="J15" s="91" t="s">
        <v>277</v>
      </c>
    </row>
    <row r="16" spans="1:10" x14ac:dyDescent="0.25">
      <c r="A16" s="89" t="s">
        <v>508</v>
      </c>
      <c r="B16" s="91" t="s">
        <v>277</v>
      </c>
      <c r="C16" s="91" t="s">
        <v>277</v>
      </c>
      <c r="D16" s="91" t="s">
        <v>277</v>
      </c>
      <c r="E16" s="91" t="s">
        <v>277</v>
      </c>
      <c r="F16" s="91" t="s">
        <v>500</v>
      </c>
      <c r="G16" s="91" t="s">
        <v>277</v>
      </c>
      <c r="H16" s="91" t="s">
        <v>500</v>
      </c>
      <c r="I16" s="91" t="s">
        <v>500</v>
      </c>
      <c r="J16" s="91" t="s">
        <v>500</v>
      </c>
    </row>
    <row r="17" spans="1:10" x14ac:dyDescent="0.25">
      <c r="A17" s="166" t="s">
        <v>532</v>
      </c>
      <c r="B17" s="167" t="s">
        <v>277</v>
      </c>
      <c r="C17" s="167" t="s">
        <v>277</v>
      </c>
      <c r="D17" s="167" t="s">
        <v>277</v>
      </c>
      <c r="E17" s="167" t="s">
        <v>277</v>
      </c>
      <c r="F17" s="167" t="s">
        <v>500</v>
      </c>
      <c r="G17" s="167" t="s">
        <v>277</v>
      </c>
      <c r="H17" s="167" t="s">
        <v>500</v>
      </c>
      <c r="I17" s="167" t="s">
        <v>277</v>
      </c>
      <c r="J17" s="167" t="s">
        <v>500</v>
      </c>
    </row>
    <row r="18" spans="1:10" x14ac:dyDescent="0.25">
      <c r="A18" s="83" t="s">
        <v>511</v>
      </c>
      <c r="B18" s="94" t="s">
        <v>277</v>
      </c>
      <c r="C18" s="94" t="s">
        <v>277</v>
      </c>
      <c r="D18" s="94" t="s">
        <v>277</v>
      </c>
      <c r="E18" s="94" t="s">
        <v>277</v>
      </c>
      <c r="F18" s="94" t="s">
        <v>500</v>
      </c>
      <c r="G18" s="94" t="s">
        <v>500</v>
      </c>
      <c r="H18" s="94" t="s">
        <v>500</v>
      </c>
      <c r="I18" s="94" t="s">
        <v>500</v>
      </c>
      <c r="J18" s="94" t="s">
        <v>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pageSetUpPr fitToPage="1"/>
  </sheetPr>
  <dimension ref="A1:H29"/>
  <sheetViews>
    <sheetView showGridLines="0" zoomScaleNormal="100" workbookViewId="0">
      <selection activeCell="C16" sqref="C16"/>
    </sheetView>
  </sheetViews>
  <sheetFormatPr defaultRowHeight="15" x14ac:dyDescent="0.25"/>
  <cols>
    <col min="1" max="1" width="5.7109375" style="171" customWidth="1"/>
    <col min="2" max="2" width="17.7109375" style="171" customWidth="1"/>
    <col min="3" max="3" width="26.7109375" style="171" customWidth="1"/>
    <col min="4" max="8" width="9.7109375" style="171" customWidth="1"/>
    <col min="9" max="16384" width="9.140625" style="82"/>
  </cols>
  <sheetData>
    <row r="1" spans="1:8" x14ac:dyDescent="0.25">
      <c r="A1" s="181" t="s">
        <v>170</v>
      </c>
      <c r="B1" s="182"/>
      <c r="C1" s="187">
        <f>Summary!E9</f>
        <v>0</v>
      </c>
      <c r="D1" s="187"/>
      <c r="E1" s="187"/>
      <c r="F1" s="187"/>
      <c r="G1" s="187"/>
      <c r="H1" s="188"/>
    </row>
    <row r="2" spans="1:8" x14ac:dyDescent="0.25">
      <c r="A2" s="183" t="s">
        <v>289</v>
      </c>
      <c r="B2" s="184"/>
      <c r="C2" s="189">
        <f>Summary!E10</f>
        <v>0</v>
      </c>
      <c r="D2" s="189"/>
      <c r="E2" s="189"/>
      <c r="F2" s="189"/>
      <c r="G2" s="189"/>
      <c r="H2" s="190"/>
    </row>
    <row r="3" spans="1:8" x14ac:dyDescent="0.25">
      <c r="A3" s="185" t="s">
        <v>566</v>
      </c>
      <c r="B3" s="186"/>
      <c r="C3" s="191">
        <f>Summary!E11</f>
        <v>0</v>
      </c>
      <c r="D3" s="191"/>
      <c r="E3" s="191"/>
      <c r="F3" s="191"/>
      <c r="G3" s="191"/>
      <c r="H3" s="192"/>
    </row>
    <row r="4" spans="1:8" x14ac:dyDescent="0.25">
      <c r="A4" s="82"/>
      <c r="B4" s="82"/>
      <c r="C4" s="82"/>
      <c r="D4" s="82"/>
      <c r="E4" s="82"/>
      <c r="F4" s="82"/>
      <c r="G4" s="82"/>
      <c r="H4" s="82"/>
    </row>
    <row r="5" spans="1:8" x14ac:dyDescent="0.25">
      <c r="A5" s="77" t="s">
        <v>7</v>
      </c>
      <c r="B5" s="77" t="s">
        <v>199</v>
      </c>
      <c r="C5" s="78" t="s">
        <v>288</v>
      </c>
      <c r="D5" s="78" t="s">
        <v>185</v>
      </c>
      <c r="E5" s="79" t="s">
        <v>299</v>
      </c>
      <c r="F5" s="79" t="s">
        <v>300</v>
      </c>
      <c r="G5" s="78" t="s">
        <v>186</v>
      </c>
      <c r="H5" s="78" t="s">
        <v>180</v>
      </c>
    </row>
    <row r="6" spans="1:8" s="81" customFormat="1" x14ac:dyDescent="0.25">
      <c r="A6" s="169"/>
      <c r="B6" s="169"/>
      <c r="C6" s="170"/>
      <c r="D6" s="170"/>
      <c r="E6" s="170"/>
      <c r="F6" s="170"/>
      <c r="G6" s="170"/>
      <c r="H6" s="170"/>
    </row>
    <row r="7" spans="1:8" s="81" customFormat="1" x14ac:dyDescent="0.25">
      <c r="A7" s="169"/>
      <c r="B7" s="169"/>
      <c r="C7" s="169"/>
      <c r="D7" s="169"/>
      <c r="E7" s="169"/>
      <c r="F7" s="169"/>
      <c r="G7" s="169"/>
      <c r="H7" s="169"/>
    </row>
    <row r="8" spans="1:8" s="81" customFormat="1" x14ac:dyDescent="0.25">
      <c r="A8" s="169"/>
      <c r="B8" s="169"/>
      <c r="C8" s="169"/>
      <c r="D8" s="169"/>
      <c r="E8" s="169"/>
      <c r="F8" s="169"/>
      <c r="G8" s="169"/>
      <c r="H8" s="169"/>
    </row>
    <row r="9" spans="1:8" s="81" customFormat="1" x14ac:dyDescent="0.25">
      <c r="A9" s="169"/>
      <c r="B9" s="169"/>
      <c r="C9" s="169"/>
      <c r="D9" s="169"/>
      <c r="E9" s="169"/>
      <c r="F9" s="169"/>
      <c r="G9" s="169"/>
      <c r="H9" s="169"/>
    </row>
    <row r="10" spans="1:8" s="81" customFormat="1" x14ac:dyDescent="0.25">
      <c r="A10" s="169"/>
      <c r="B10" s="169"/>
      <c r="C10" s="169"/>
      <c r="D10" s="169"/>
      <c r="E10" s="169"/>
      <c r="F10" s="169"/>
      <c r="G10" s="169"/>
      <c r="H10" s="169"/>
    </row>
    <row r="11" spans="1:8" s="81" customFormat="1" x14ac:dyDescent="0.25">
      <c r="A11" s="169"/>
      <c r="B11" s="169"/>
      <c r="C11" s="169"/>
      <c r="D11" s="169"/>
      <c r="E11" s="169"/>
      <c r="F11" s="169"/>
      <c r="G11" s="169"/>
      <c r="H11" s="169"/>
    </row>
    <row r="12" spans="1:8" s="81" customFormat="1" x14ac:dyDescent="0.25">
      <c r="A12" s="169"/>
      <c r="B12" s="169"/>
      <c r="C12" s="169"/>
      <c r="D12" s="169"/>
      <c r="E12" s="169"/>
      <c r="F12" s="169"/>
      <c r="G12" s="169"/>
      <c r="H12" s="169"/>
    </row>
    <row r="13" spans="1:8" s="81" customFormat="1" x14ac:dyDescent="0.25">
      <c r="A13" s="169"/>
      <c r="B13" s="169"/>
      <c r="C13" s="169"/>
      <c r="D13" s="169"/>
      <c r="E13" s="169"/>
      <c r="F13" s="169"/>
      <c r="G13" s="169"/>
      <c r="H13" s="169"/>
    </row>
    <row r="14" spans="1:8" s="81" customFormat="1" x14ac:dyDescent="0.25">
      <c r="A14" s="169"/>
      <c r="B14" s="169"/>
      <c r="C14" s="169"/>
      <c r="D14" s="169"/>
      <c r="E14" s="169"/>
      <c r="F14" s="169"/>
      <c r="G14" s="169"/>
      <c r="H14" s="169"/>
    </row>
    <row r="15" spans="1:8" s="81" customFormat="1" x14ac:dyDescent="0.25">
      <c r="A15" s="169"/>
      <c r="B15" s="169"/>
      <c r="C15" s="169"/>
      <c r="D15" s="169"/>
      <c r="E15" s="169"/>
      <c r="F15" s="169"/>
      <c r="G15" s="169"/>
      <c r="H15" s="169"/>
    </row>
    <row r="16" spans="1:8" s="81" customFormat="1" x14ac:dyDescent="0.25">
      <c r="A16" s="169"/>
      <c r="B16" s="169"/>
      <c r="C16" s="169"/>
      <c r="D16" s="169"/>
      <c r="E16" s="169"/>
      <c r="F16" s="169"/>
      <c r="G16" s="169"/>
      <c r="H16" s="169"/>
    </row>
    <row r="17" spans="1:8" s="81" customFormat="1" x14ac:dyDescent="0.25">
      <c r="A17" s="169"/>
      <c r="B17" s="169"/>
      <c r="C17" s="169"/>
      <c r="D17" s="169"/>
      <c r="E17" s="169"/>
      <c r="F17" s="169"/>
      <c r="G17" s="169"/>
      <c r="H17" s="169"/>
    </row>
    <row r="18" spans="1:8" s="81" customFormat="1" x14ac:dyDescent="0.25">
      <c r="A18" s="169"/>
      <c r="B18" s="169"/>
      <c r="C18" s="169"/>
      <c r="D18" s="169"/>
      <c r="E18" s="169"/>
      <c r="F18" s="169"/>
      <c r="G18" s="169"/>
      <c r="H18" s="169"/>
    </row>
    <row r="19" spans="1:8" s="81" customFormat="1" x14ac:dyDescent="0.25">
      <c r="A19" s="169"/>
      <c r="B19" s="169"/>
      <c r="C19" s="169"/>
      <c r="D19" s="169"/>
      <c r="E19" s="169"/>
      <c r="F19" s="169"/>
      <c r="G19" s="169"/>
      <c r="H19" s="169"/>
    </row>
    <row r="20" spans="1:8" s="81" customFormat="1" x14ac:dyDescent="0.25">
      <c r="A20" s="169"/>
      <c r="B20" s="169"/>
      <c r="C20" s="169"/>
      <c r="D20" s="169"/>
      <c r="E20" s="169"/>
      <c r="F20" s="169"/>
      <c r="G20" s="169"/>
      <c r="H20" s="169"/>
    </row>
    <row r="21" spans="1:8" s="81" customFormat="1" x14ac:dyDescent="0.25">
      <c r="A21" s="169"/>
      <c r="B21" s="169"/>
      <c r="C21" s="169"/>
      <c r="D21" s="169"/>
      <c r="E21" s="169"/>
      <c r="F21" s="169"/>
      <c r="G21" s="169"/>
      <c r="H21" s="169"/>
    </row>
    <row r="22" spans="1:8" s="81" customFormat="1" x14ac:dyDescent="0.25">
      <c r="A22" s="169"/>
      <c r="B22" s="169"/>
      <c r="C22" s="169"/>
      <c r="D22" s="169"/>
      <c r="E22" s="169"/>
      <c r="F22" s="169"/>
      <c r="G22" s="169"/>
      <c r="H22" s="169"/>
    </row>
    <row r="23" spans="1:8" s="81" customFormat="1" x14ac:dyDescent="0.25">
      <c r="A23" s="169"/>
      <c r="B23" s="169"/>
      <c r="C23" s="169"/>
      <c r="D23" s="169"/>
      <c r="E23" s="169"/>
      <c r="F23" s="169"/>
      <c r="G23" s="169"/>
      <c r="H23" s="169"/>
    </row>
    <row r="24" spans="1:8" s="81" customFormat="1" x14ac:dyDescent="0.25">
      <c r="A24" s="169"/>
      <c r="B24" s="169"/>
      <c r="C24" s="169"/>
      <c r="D24" s="169"/>
      <c r="E24" s="169"/>
      <c r="F24" s="169"/>
      <c r="G24" s="169"/>
      <c r="H24" s="169"/>
    </row>
    <row r="25" spans="1:8" s="81" customFormat="1" x14ac:dyDescent="0.25">
      <c r="A25" s="169"/>
      <c r="B25" s="169"/>
      <c r="C25" s="169"/>
      <c r="D25" s="169"/>
      <c r="E25" s="169"/>
      <c r="F25" s="169"/>
      <c r="G25" s="169"/>
      <c r="H25" s="169"/>
    </row>
    <row r="26" spans="1:8" s="81" customFormat="1" x14ac:dyDescent="0.25">
      <c r="A26" s="169"/>
      <c r="B26" s="169"/>
      <c r="C26" s="169"/>
      <c r="D26" s="169"/>
      <c r="E26" s="169"/>
      <c r="F26" s="169"/>
      <c r="G26" s="169"/>
      <c r="H26" s="169"/>
    </row>
    <row r="27" spans="1:8" s="81" customFormat="1" x14ac:dyDescent="0.25">
      <c r="A27" s="169"/>
      <c r="B27" s="169"/>
      <c r="C27" s="169"/>
      <c r="D27" s="169"/>
      <c r="E27" s="169"/>
      <c r="F27" s="169"/>
      <c r="G27" s="169"/>
      <c r="H27" s="169"/>
    </row>
    <row r="28" spans="1:8" s="81" customFormat="1" x14ac:dyDescent="0.25">
      <c r="A28" s="169"/>
      <c r="B28" s="169"/>
      <c r="C28" s="169"/>
      <c r="D28" s="169"/>
      <c r="E28" s="169"/>
      <c r="F28" s="169"/>
      <c r="G28" s="169"/>
      <c r="H28" s="169"/>
    </row>
    <row r="29" spans="1:8" s="81" customFormat="1" x14ac:dyDescent="0.25">
      <c r="A29" s="169"/>
      <c r="B29" s="169"/>
      <c r="C29" s="169"/>
      <c r="D29" s="169"/>
      <c r="E29" s="169"/>
      <c r="F29" s="169"/>
      <c r="G29" s="169"/>
      <c r="H29" s="169"/>
    </row>
  </sheetData>
  <mergeCells count="6">
    <mergeCell ref="A1:B1"/>
    <mergeCell ref="A2:B2"/>
    <mergeCell ref="A3:B3"/>
    <mergeCell ref="C1:H1"/>
    <mergeCell ref="C2:H2"/>
    <mergeCell ref="C3:H3"/>
  </mergeCells>
  <pageMargins left="0.70866141732283472" right="0.70866141732283472" top="1.3385826771653544" bottom="0.74803149606299213" header="0.70866141732283472" footer="0.31496062992125984"/>
  <pageSetup paperSize="9" scale="88" fitToHeight="0" orientation="portrait" r:id="rId1"/>
  <headerFooter>
    <oddHeader>&amp;L&amp;"+,Bold"&amp;18Dimensional Inspection Report&amp;R&amp;G</oddHeader>
    <oddFooter>&amp;CFEN11 Rev 1&amp;RPage &amp;P of &amp;N
Date: &amp;D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pageSetUpPr fitToPage="1"/>
  </sheetPr>
  <dimension ref="A1:G14"/>
  <sheetViews>
    <sheetView showGridLines="0" zoomScaleNormal="100" workbookViewId="0">
      <selection activeCell="B6" sqref="B6"/>
    </sheetView>
  </sheetViews>
  <sheetFormatPr defaultRowHeight="15" x14ac:dyDescent="0.25"/>
  <cols>
    <col min="1" max="1" width="5.7109375" style="173" customWidth="1"/>
    <col min="2" max="2" width="17.7109375" style="173" customWidth="1"/>
    <col min="3" max="3" width="20.7109375" style="173" customWidth="1"/>
    <col min="4" max="5" width="18.28515625" style="173" customWidth="1"/>
    <col min="6" max="6" width="18.28515625" style="174" customWidth="1"/>
    <col min="7" max="8" width="17.85546875" style="80" customWidth="1"/>
    <col min="9" max="16384" width="9.140625" style="80"/>
  </cols>
  <sheetData>
    <row r="1" spans="1:7" x14ac:dyDescent="0.25">
      <c r="A1" s="193" t="s">
        <v>170</v>
      </c>
      <c r="B1" s="194"/>
      <c r="C1" s="199">
        <f>Summary!E9</f>
        <v>0</v>
      </c>
      <c r="D1" s="199"/>
      <c r="E1" s="199"/>
      <c r="F1" s="200"/>
    </row>
    <row r="2" spans="1:7" x14ac:dyDescent="0.25">
      <c r="A2" s="195" t="s">
        <v>289</v>
      </c>
      <c r="B2" s="196"/>
      <c r="C2" s="201">
        <f>Summary!E10</f>
        <v>0</v>
      </c>
      <c r="D2" s="201"/>
      <c r="E2" s="201"/>
      <c r="F2" s="202"/>
    </row>
    <row r="3" spans="1:7" x14ac:dyDescent="0.25">
      <c r="A3" s="197" t="s">
        <v>566</v>
      </c>
      <c r="B3" s="198"/>
      <c r="C3" s="203">
        <f>Summary!E11</f>
        <v>0</v>
      </c>
      <c r="D3" s="203"/>
      <c r="E3" s="203"/>
      <c r="F3" s="204"/>
    </row>
    <row r="4" spans="1:7" x14ac:dyDescent="0.25">
      <c r="A4" s="80"/>
      <c r="B4" s="80"/>
      <c r="C4" s="80"/>
      <c r="D4" s="80"/>
      <c r="E4" s="80"/>
      <c r="F4" s="107"/>
    </row>
    <row r="5" spans="1:7" x14ac:dyDescent="0.25">
      <c r="A5" s="77" t="s">
        <v>7</v>
      </c>
      <c r="B5" s="77" t="s">
        <v>199</v>
      </c>
      <c r="C5" s="78" t="s">
        <v>412</v>
      </c>
      <c r="D5" s="79" t="s">
        <v>294</v>
      </c>
      <c r="E5" s="79" t="s">
        <v>296</v>
      </c>
      <c r="F5" s="79" t="s">
        <v>295</v>
      </c>
      <c r="G5" s="81"/>
    </row>
    <row r="6" spans="1:7" s="81" customFormat="1" x14ac:dyDescent="0.25">
      <c r="A6" s="169"/>
      <c r="B6" s="169"/>
      <c r="C6" s="169"/>
      <c r="D6" s="169"/>
      <c r="E6" s="169"/>
      <c r="F6" s="172"/>
    </row>
    <row r="7" spans="1:7" s="81" customFormat="1" x14ac:dyDescent="0.25">
      <c r="A7" s="169"/>
      <c r="B7" s="169"/>
      <c r="C7" s="169"/>
      <c r="D7" s="169"/>
      <c r="E7" s="169"/>
      <c r="F7" s="172"/>
    </row>
    <row r="8" spans="1:7" s="81" customFormat="1" x14ac:dyDescent="0.25">
      <c r="A8" s="169"/>
      <c r="B8" s="169"/>
      <c r="C8" s="169"/>
      <c r="D8" s="169"/>
      <c r="E8" s="169"/>
      <c r="F8" s="172"/>
    </row>
    <row r="9" spans="1:7" s="81" customFormat="1" x14ac:dyDescent="0.25">
      <c r="A9" s="169"/>
      <c r="B9" s="169"/>
      <c r="C9" s="169"/>
      <c r="D9" s="169"/>
      <c r="E9" s="169"/>
      <c r="F9" s="172"/>
    </row>
    <row r="10" spans="1:7" s="81" customFormat="1" x14ac:dyDescent="0.25">
      <c r="A10" s="169"/>
      <c r="B10" s="169"/>
      <c r="C10" s="169"/>
      <c r="D10" s="169"/>
      <c r="E10" s="169"/>
      <c r="F10" s="172"/>
    </row>
    <row r="11" spans="1:7" s="81" customFormat="1" x14ac:dyDescent="0.25">
      <c r="A11" s="169"/>
      <c r="B11" s="169"/>
      <c r="C11" s="169"/>
      <c r="D11" s="169"/>
      <c r="E11" s="169"/>
      <c r="F11" s="172"/>
    </row>
    <row r="12" spans="1:7" s="81" customFormat="1" x14ac:dyDescent="0.25">
      <c r="A12" s="169"/>
      <c r="B12" s="169"/>
      <c r="C12" s="169"/>
      <c r="D12" s="169"/>
      <c r="E12" s="169"/>
      <c r="F12" s="172"/>
    </row>
    <row r="13" spans="1:7" s="81" customFormat="1" x14ac:dyDescent="0.25">
      <c r="A13" s="169"/>
      <c r="B13" s="169"/>
      <c r="C13" s="169"/>
      <c r="D13" s="169"/>
      <c r="E13" s="169"/>
      <c r="F13" s="172"/>
    </row>
    <row r="14" spans="1:7" s="81" customFormat="1" x14ac:dyDescent="0.25">
      <c r="A14" s="169"/>
      <c r="B14" s="169"/>
      <c r="C14" s="169"/>
      <c r="D14" s="169"/>
      <c r="E14" s="169"/>
      <c r="F14" s="172"/>
    </row>
  </sheetData>
  <mergeCells count="6">
    <mergeCell ref="A1:B1"/>
    <mergeCell ref="A2:B2"/>
    <mergeCell ref="A3:B3"/>
    <mergeCell ref="C1:F1"/>
    <mergeCell ref="C2:F2"/>
    <mergeCell ref="C3:F3"/>
  </mergeCells>
  <pageMargins left="0.70866141732283472" right="0.70866141732283472" top="1.3385826771653544" bottom="0.94488188976377963" header="0.70866141732283472" footer="0.51181102362204722"/>
  <pageSetup paperSize="9" scale="88" fitToHeight="0" orientation="portrait" r:id="rId1"/>
  <headerFooter>
    <oddHeader>&amp;L&amp;"+,Bold"&amp;18Material Traceability Report&amp;R&amp;G</oddHeader>
    <oddFooter>&amp;CFEN12 Rev 1&amp;RPage &amp;P of &amp;N
Date: &amp;D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>
    <pageSetUpPr fitToPage="1"/>
  </sheetPr>
  <dimension ref="A1:G54"/>
  <sheetViews>
    <sheetView showGridLines="0" zoomScaleNormal="100" workbookViewId="0">
      <selection activeCell="K37" sqref="K37"/>
    </sheetView>
  </sheetViews>
  <sheetFormatPr defaultRowHeight="15" x14ac:dyDescent="0.25"/>
  <cols>
    <col min="1" max="1" width="25.28515625" style="24" customWidth="1"/>
    <col min="2" max="6" width="10.7109375" customWidth="1"/>
    <col min="7" max="7" width="13.5703125" bestFit="1" customWidth="1"/>
  </cols>
  <sheetData>
    <row r="1" spans="1:7" x14ac:dyDescent="0.25">
      <c r="A1" s="108" t="s">
        <v>170</v>
      </c>
      <c r="B1" s="207" t="s">
        <v>606</v>
      </c>
      <c r="C1" s="207"/>
      <c r="D1" s="207"/>
      <c r="E1" s="207"/>
      <c r="F1" s="207"/>
      <c r="G1" s="208"/>
    </row>
    <row r="2" spans="1:7" x14ac:dyDescent="0.25">
      <c r="A2" s="109" t="s">
        <v>289</v>
      </c>
      <c r="B2" s="209">
        <v>4501221096</v>
      </c>
      <c r="C2" s="209"/>
      <c r="D2" s="209"/>
      <c r="E2" s="209"/>
      <c r="F2" s="209"/>
      <c r="G2" s="210"/>
    </row>
    <row r="3" spans="1:7" x14ac:dyDescent="0.25">
      <c r="A3" s="109" t="s">
        <v>566</v>
      </c>
      <c r="B3" s="209">
        <v>4378</v>
      </c>
      <c r="C3" s="209"/>
      <c r="D3" s="209"/>
      <c r="E3" s="209"/>
      <c r="F3" s="209"/>
      <c r="G3" s="210"/>
    </row>
    <row r="4" spans="1:7" x14ac:dyDescent="0.25">
      <c r="A4" s="109" t="s">
        <v>567</v>
      </c>
      <c r="B4" s="209">
        <v>1</v>
      </c>
      <c r="C4" s="209"/>
      <c r="D4" s="209"/>
      <c r="E4" s="209"/>
      <c r="F4" s="209"/>
      <c r="G4" s="210"/>
    </row>
    <row r="5" spans="1:7" x14ac:dyDescent="0.25">
      <c r="A5" s="109" t="s">
        <v>290</v>
      </c>
      <c r="B5" s="209" t="s">
        <v>604</v>
      </c>
      <c r="C5" s="209"/>
      <c r="D5" s="209"/>
      <c r="E5" s="209"/>
      <c r="F5" s="209"/>
      <c r="G5" s="210"/>
    </row>
    <row r="6" spans="1:7" x14ac:dyDescent="0.25">
      <c r="A6" s="109" t="s">
        <v>291</v>
      </c>
      <c r="B6" s="212" t="s">
        <v>605</v>
      </c>
      <c r="C6" s="212"/>
      <c r="D6" s="212"/>
      <c r="E6" s="212"/>
      <c r="F6" s="212"/>
      <c r="G6" s="213"/>
    </row>
    <row r="7" spans="1:7" s="84" customFormat="1" x14ac:dyDescent="0.25">
      <c r="A7" s="109" t="s">
        <v>292</v>
      </c>
      <c r="B7" s="209" t="s">
        <v>607</v>
      </c>
      <c r="C7" s="209"/>
      <c r="D7" s="209"/>
      <c r="E7" s="209"/>
      <c r="F7" s="209"/>
      <c r="G7" s="210"/>
    </row>
    <row r="8" spans="1:7" x14ac:dyDescent="0.25">
      <c r="A8" s="110" t="s">
        <v>175</v>
      </c>
      <c r="B8" s="205" t="s">
        <v>608</v>
      </c>
      <c r="C8" s="205"/>
      <c r="D8" s="205"/>
      <c r="E8" s="205"/>
      <c r="F8" s="205"/>
      <c r="G8" s="206"/>
    </row>
    <row r="10" spans="1:7" x14ac:dyDescent="0.25">
      <c r="A10" s="111" t="s">
        <v>282</v>
      </c>
      <c r="B10" s="61"/>
      <c r="C10" s="61"/>
      <c r="D10" s="61"/>
      <c r="E10" s="61"/>
      <c r="F10" s="61"/>
      <c r="G10" s="62"/>
    </row>
    <row r="11" spans="1:7" x14ac:dyDescent="0.25">
      <c r="A11" s="112" t="s">
        <v>293</v>
      </c>
      <c r="B11" s="211" t="s">
        <v>531</v>
      </c>
      <c r="C11" s="211"/>
      <c r="D11" s="215" t="s">
        <v>296</v>
      </c>
      <c r="E11" s="215"/>
      <c r="F11" s="211" t="s">
        <v>295</v>
      </c>
      <c r="G11" s="214"/>
    </row>
    <row r="13" spans="1:7" x14ac:dyDescent="0.25">
      <c r="A13" s="111" t="s">
        <v>286</v>
      </c>
      <c r="B13" s="61"/>
      <c r="C13" s="61"/>
      <c r="D13" s="61"/>
      <c r="E13" s="61"/>
      <c r="F13" s="61"/>
      <c r="G13" s="62"/>
    </row>
    <row r="14" spans="1:7" x14ac:dyDescent="0.25">
      <c r="A14" s="112" t="s">
        <v>178</v>
      </c>
      <c r="B14" s="211" t="s">
        <v>179</v>
      </c>
      <c r="C14" s="211"/>
      <c r="D14" s="211"/>
      <c r="E14" s="211"/>
      <c r="F14" s="76" t="s">
        <v>180</v>
      </c>
      <c r="G14" s="36" t="s">
        <v>301</v>
      </c>
    </row>
    <row r="16" spans="1:7" x14ac:dyDescent="0.25">
      <c r="A16" s="111" t="s">
        <v>297</v>
      </c>
      <c r="B16" s="61"/>
      <c r="C16" s="61"/>
      <c r="D16" s="61"/>
      <c r="E16" s="61"/>
      <c r="F16" s="61"/>
      <c r="G16" s="62"/>
    </row>
    <row r="17" spans="1:7" x14ac:dyDescent="0.25">
      <c r="A17" s="113" t="s">
        <v>298</v>
      </c>
      <c r="B17" s="37" t="s">
        <v>185</v>
      </c>
      <c r="C17" s="37" t="s">
        <v>299</v>
      </c>
      <c r="D17" s="37" t="s">
        <v>300</v>
      </c>
      <c r="E17" s="37" t="s">
        <v>186</v>
      </c>
      <c r="F17" s="76" t="s">
        <v>180</v>
      </c>
      <c r="G17" s="36" t="s">
        <v>181</v>
      </c>
    </row>
    <row r="19" spans="1:7" x14ac:dyDescent="0.25">
      <c r="A19" s="111" t="s">
        <v>192</v>
      </c>
      <c r="B19" s="61"/>
      <c r="C19" s="61"/>
      <c r="D19" s="61"/>
      <c r="E19" s="61"/>
      <c r="F19" s="61"/>
      <c r="G19" s="62"/>
    </row>
    <row r="20" spans="1:7" x14ac:dyDescent="0.25">
      <c r="A20" s="114" t="s">
        <v>302</v>
      </c>
      <c r="B20" s="209" t="s">
        <v>175</v>
      </c>
      <c r="C20" s="209"/>
      <c r="D20" s="209"/>
      <c r="E20" s="209" t="s">
        <v>303</v>
      </c>
      <c r="F20" s="209"/>
      <c r="G20" s="31" t="s">
        <v>181</v>
      </c>
    </row>
    <row r="21" spans="1:7" x14ac:dyDescent="0.25">
      <c r="A21" s="114"/>
      <c r="B21" s="209"/>
      <c r="C21" s="209"/>
      <c r="D21" s="209"/>
      <c r="E21" s="209"/>
      <c r="F21" s="209"/>
      <c r="G21" s="31"/>
    </row>
    <row r="22" spans="1:7" x14ac:dyDescent="0.25">
      <c r="A22" s="115"/>
      <c r="B22" s="205"/>
      <c r="C22" s="205"/>
      <c r="D22" s="205"/>
      <c r="E22" s="205"/>
      <c r="F22" s="205"/>
      <c r="G22" s="32"/>
    </row>
    <row r="24" spans="1:7" x14ac:dyDescent="0.25">
      <c r="A24" s="24" t="s">
        <v>304</v>
      </c>
      <c r="C24" t="s">
        <v>305</v>
      </c>
      <c r="F24" t="s">
        <v>306</v>
      </c>
    </row>
    <row r="26" spans="1:7" x14ac:dyDescent="0.25">
      <c r="A26" s="108" t="s">
        <v>170</v>
      </c>
      <c r="B26" s="207" t="str">
        <f t="shared" ref="B26:B31" si="0">IF(B1&lt;&gt;"",B1,"")</f>
        <v>Test Company</v>
      </c>
      <c r="C26" s="207"/>
      <c r="D26" s="207"/>
      <c r="E26" s="207"/>
      <c r="F26" s="207"/>
      <c r="G26" s="208"/>
    </row>
    <row r="27" spans="1:7" x14ac:dyDescent="0.25">
      <c r="A27" s="109" t="s">
        <v>289</v>
      </c>
      <c r="B27" s="209">
        <f t="shared" si="0"/>
        <v>4501221096</v>
      </c>
      <c r="C27" s="209"/>
      <c r="D27" s="209"/>
      <c r="E27" s="209"/>
      <c r="F27" s="209"/>
      <c r="G27" s="210"/>
    </row>
    <row r="28" spans="1:7" s="84" customFormat="1" x14ac:dyDescent="0.25">
      <c r="A28" s="109" t="s">
        <v>566</v>
      </c>
      <c r="B28" s="209">
        <f t="shared" si="0"/>
        <v>4378</v>
      </c>
      <c r="C28" s="209"/>
      <c r="D28" s="209"/>
      <c r="E28" s="209"/>
      <c r="F28" s="209"/>
      <c r="G28" s="210"/>
    </row>
    <row r="29" spans="1:7" s="84" customFormat="1" x14ac:dyDescent="0.25">
      <c r="A29" s="109" t="s">
        <v>567</v>
      </c>
      <c r="B29" s="209">
        <f t="shared" si="0"/>
        <v>1</v>
      </c>
      <c r="C29" s="209"/>
      <c r="D29" s="209"/>
      <c r="E29" s="209"/>
      <c r="F29" s="209"/>
      <c r="G29" s="210"/>
    </row>
    <row r="30" spans="1:7" s="84" customFormat="1" x14ac:dyDescent="0.25">
      <c r="A30" s="109" t="s">
        <v>290</v>
      </c>
      <c r="B30" s="209" t="str">
        <f t="shared" si="0"/>
        <v>Test</v>
      </c>
      <c r="C30" s="209"/>
      <c r="D30" s="209"/>
      <c r="E30" s="209"/>
      <c r="F30" s="209"/>
      <c r="G30" s="210"/>
    </row>
    <row r="31" spans="1:7" s="84" customFormat="1" x14ac:dyDescent="0.25">
      <c r="A31" s="110" t="s">
        <v>291</v>
      </c>
      <c r="B31" s="205" t="str">
        <f t="shared" si="0"/>
        <v>4378/19/1</v>
      </c>
      <c r="C31" s="205"/>
      <c r="D31" s="205"/>
      <c r="E31" s="205"/>
      <c r="F31" s="205"/>
      <c r="G31" s="206"/>
    </row>
    <row r="32" spans="1:7" s="84" customFormat="1" x14ac:dyDescent="0.25">
      <c r="A32" s="120"/>
      <c r="B32" s="120"/>
      <c r="C32" s="120"/>
      <c r="D32" s="120"/>
      <c r="E32" s="120"/>
      <c r="F32" s="120"/>
      <c r="G32" s="120"/>
    </row>
    <row r="33" spans="1:7" s="84" customFormat="1" x14ac:dyDescent="0.25">
      <c r="A33" s="120" t="s">
        <v>471</v>
      </c>
      <c r="B33" s="120"/>
      <c r="C33" s="120"/>
      <c r="D33" s="120"/>
      <c r="E33" s="120"/>
      <c r="F33" s="120"/>
      <c r="G33" s="120"/>
    </row>
    <row r="34" spans="1:7" s="84" customFormat="1" x14ac:dyDescent="0.25">
      <c r="A34" s="120"/>
      <c r="B34" s="120"/>
      <c r="C34" s="120"/>
      <c r="D34" s="120"/>
      <c r="E34" s="120"/>
      <c r="F34" s="120"/>
      <c r="G34" s="120"/>
    </row>
    <row r="35" spans="1:7" s="84" customFormat="1" x14ac:dyDescent="0.25">
      <c r="A35" s="120"/>
      <c r="B35" s="120"/>
      <c r="C35" s="120"/>
      <c r="D35" s="120"/>
      <c r="E35" s="120"/>
      <c r="F35" s="120"/>
      <c r="G35" s="120"/>
    </row>
    <row r="36" spans="1:7" s="84" customFormat="1" x14ac:dyDescent="0.25">
      <c r="A36" s="120"/>
      <c r="B36" s="120"/>
      <c r="C36" s="120"/>
      <c r="D36" s="120"/>
      <c r="E36" s="120"/>
      <c r="F36" s="120"/>
      <c r="G36" s="120"/>
    </row>
    <row r="37" spans="1:7" s="84" customFormat="1" x14ac:dyDescent="0.25">
      <c r="A37" s="120"/>
      <c r="B37" s="120"/>
      <c r="C37" s="120"/>
      <c r="D37" s="120"/>
      <c r="E37" s="120"/>
      <c r="F37" s="120"/>
      <c r="G37" s="120"/>
    </row>
    <row r="38" spans="1:7" s="84" customFormat="1" x14ac:dyDescent="0.25">
      <c r="A38" s="120"/>
      <c r="B38" s="120"/>
      <c r="C38" s="120"/>
      <c r="D38" s="120"/>
      <c r="E38" s="120"/>
      <c r="F38" s="120"/>
      <c r="G38" s="120"/>
    </row>
    <row r="39" spans="1:7" s="84" customFormat="1" x14ac:dyDescent="0.25">
      <c r="A39" s="120"/>
      <c r="B39" s="120"/>
      <c r="C39" s="120"/>
      <c r="D39" s="120"/>
      <c r="E39" s="120"/>
      <c r="F39" s="120"/>
      <c r="G39" s="120"/>
    </row>
    <row r="40" spans="1:7" s="84" customFormat="1" x14ac:dyDescent="0.25">
      <c r="A40" s="120"/>
      <c r="B40" s="120"/>
      <c r="C40" s="120"/>
      <c r="D40" s="120"/>
      <c r="E40" s="120"/>
      <c r="F40" s="120"/>
      <c r="G40" s="120"/>
    </row>
    <row r="41" spans="1:7" s="84" customFormat="1" x14ac:dyDescent="0.25">
      <c r="A41" s="120"/>
      <c r="B41" s="120"/>
      <c r="C41" s="120"/>
      <c r="D41" s="120"/>
      <c r="E41" s="120"/>
      <c r="F41" s="120"/>
      <c r="G41" s="120"/>
    </row>
    <row r="42" spans="1:7" s="84" customFormat="1" x14ac:dyDescent="0.25">
      <c r="A42" s="120"/>
      <c r="B42" s="120"/>
      <c r="C42" s="120"/>
      <c r="D42" s="120"/>
      <c r="E42" s="120"/>
      <c r="F42" s="120"/>
      <c r="G42" s="120"/>
    </row>
    <row r="43" spans="1:7" s="84" customFormat="1" x14ac:dyDescent="0.25">
      <c r="A43" s="120"/>
      <c r="B43" s="120"/>
      <c r="C43" s="120"/>
      <c r="D43" s="120"/>
      <c r="E43" s="120"/>
      <c r="F43" s="120"/>
      <c r="G43" s="120"/>
    </row>
    <row r="44" spans="1:7" s="84" customFormat="1" x14ac:dyDescent="0.25">
      <c r="A44" s="120"/>
      <c r="B44" s="120"/>
      <c r="C44" s="120"/>
      <c r="D44" s="120"/>
      <c r="E44" s="120"/>
      <c r="F44" s="120"/>
      <c r="G44" s="120"/>
    </row>
    <row r="45" spans="1:7" s="84" customFormat="1" x14ac:dyDescent="0.25">
      <c r="A45" s="120"/>
      <c r="B45" s="120"/>
      <c r="C45" s="120"/>
      <c r="D45" s="120"/>
      <c r="E45" s="120"/>
      <c r="F45" s="120"/>
      <c r="G45" s="120"/>
    </row>
    <row r="46" spans="1:7" s="84" customFormat="1" x14ac:dyDescent="0.25">
      <c r="A46" s="120"/>
      <c r="B46" s="120"/>
      <c r="C46" s="120"/>
      <c r="D46" s="120"/>
      <c r="E46" s="120"/>
      <c r="F46" s="120"/>
      <c r="G46" s="120"/>
    </row>
    <row r="47" spans="1:7" s="84" customFormat="1" x14ac:dyDescent="0.25">
      <c r="A47" s="120"/>
      <c r="B47" s="120"/>
      <c r="C47" s="120"/>
      <c r="D47" s="120"/>
      <c r="E47" s="120"/>
      <c r="F47" s="120"/>
      <c r="G47" s="120"/>
    </row>
    <row r="48" spans="1:7" s="84" customFormat="1" x14ac:dyDescent="0.25">
      <c r="A48" s="120"/>
      <c r="B48" s="120"/>
      <c r="C48" s="120"/>
      <c r="D48" s="120"/>
      <c r="E48" s="120"/>
      <c r="F48" s="120"/>
      <c r="G48" s="120"/>
    </row>
    <row r="49" spans="1:7" s="84" customFormat="1" x14ac:dyDescent="0.25">
      <c r="A49" s="120"/>
      <c r="B49" s="120"/>
      <c r="C49" s="120"/>
      <c r="D49" s="120"/>
      <c r="E49" s="120"/>
      <c r="F49" s="120"/>
      <c r="G49" s="120"/>
    </row>
    <row r="50" spans="1:7" s="84" customFormat="1" x14ac:dyDescent="0.25">
      <c r="A50" s="120"/>
      <c r="B50" s="120"/>
      <c r="C50" s="120"/>
      <c r="D50" s="120"/>
      <c r="E50" s="120"/>
      <c r="F50" s="120"/>
      <c r="G50" s="120"/>
    </row>
    <row r="51" spans="1:7" s="84" customFormat="1" x14ac:dyDescent="0.25">
      <c r="A51" s="120"/>
      <c r="B51" s="120"/>
      <c r="C51" s="120"/>
      <c r="D51" s="120"/>
      <c r="E51" s="120"/>
      <c r="F51" s="120"/>
      <c r="G51" s="120"/>
    </row>
    <row r="52" spans="1:7" s="84" customFormat="1" x14ac:dyDescent="0.25">
      <c r="A52" s="120"/>
      <c r="B52" s="120"/>
      <c r="C52" s="120"/>
      <c r="D52" s="120"/>
      <c r="E52" s="120"/>
      <c r="F52" s="120"/>
      <c r="G52" s="120"/>
    </row>
    <row r="53" spans="1:7" s="84" customFormat="1" x14ac:dyDescent="0.25">
      <c r="A53" s="120"/>
      <c r="B53" s="120"/>
      <c r="C53" s="120"/>
      <c r="D53" s="120"/>
      <c r="E53" s="120"/>
      <c r="F53" s="120"/>
      <c r="G53" s="120"/>
    </row>
    <row r="54" spans="1:7" s="84" customFormat="1" x14ac:dyDescent="0.25">
      <c r="A54" s="120"/>
      <c r="B54" s="120"/>
      <c r="C54" s="120"/>
      <c r="D54" s="120"/>
      <c r="E54" s="120"/>
      <c r="F54" s="120"/>
      <c r="G54" s="120"/>
    </row>
  </sheetData>
  <mergeCells count="24">
    <mergeCell ref="B14:E14"/>
    <mergeCell ref="B6:G6"/>
    <mergeCell ref="B8:G8"/>
    <mergeCell ref="B11:C11"/>
    <mergeCell ref="F11:G11"/>
    <mergeCell ref="D11:E11"/>
    <mergeCell ref="B7:G7"/>
    <mergeCell ref="B1:G1"/>
    <mergeCell ref="B2:G2"/>
    <mergeCell ref="B3:G3"/>
    <mergeCell ref="B4:G4"/>
    <mergeCell ref="B5:G5"/>
    <mergeCell ref="E20:F20"/>
    <mergeCell ref="E21:F21"/>
    <mergeCell ref="E22:F22"/>
    <mergeCell ref="B21:D21"/>
    <mergeCell ref="B22:D22"/>
    <mergeCell ref="B20:D20"/>
    <mergeCell ref="B31:G31"/>
    <mergeCell ref="B26:G26"/>
    <mergeCell ref="B27:G27"/>
    <mergeCell ref="B28:G28"/>
    <mergeCell ref="B29:G29"/>
    <mergeCell ref="B30:G30"/>
  </mergeCells>
  <pageMargins left="0.7" right="0.7" top="0.75" bottom="0.75" header="0.3" footer="0.3"/>
  <pageSetup paperSize="9" scale="94" fitToHeight="0" orientation="portrait" r:id="rId1"/>
  <rowBreaks count="1" manualBreakCount="1">
    <brk id="25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65"/>
  <sheetViews>
    <sheetView zoomScaleNormal="100" workbookViewId="0">
      <selection activeCell="H25" sqref="H25"/>
    </sheetView>
  </sheetViews>
  <sheetFormatPr defaultRowHeight="15" x14ac:dyDescent="0.25"/>
  <cols>
    <col min="1" max="1" width="16.85546875" style="84" bestFit="1" customWidth="1"/>
    <col min="2" max="2" width="25.28515625" style="138" customWidth="1"/>
    <col min="3" max="5" width="15.28515625" style="84" bestFit="1" customWidth="1"/>
    <col min="6" max="16384" width="9.140625" style="84"/>
  </cols>
  <sheetData>
    <row r="1" spans="1:2" x14ac:dyDescent="0.25">
      <c r="A1" s="100" t="s">
        <v>436</v>
      </c>
    </row>
    <row r="2" spans="1:2" x14ac:dyDescent="0.25">
      <c r="A2" s="99" t="s">
        <v>440</v>
      </c>
      <c r="B2" s="139"/>
    </row>
    <row r="3" spans="1:2" x14ac:dyDescent="0.25">
      <c r="A3" s="89" t="s">
        <v>499</v>
      </c>
      <c r="B3" s="140"/>
    </row>
    <row r="4" spans="1:2" x14ac:dyDescent="0.25">
      <c r="A4" s="89" t="s">
        <v>501</v>
      </c>
      <c r="B4" s="140"/>
    </row>
    <row r="5" spans="1:2" x14ac:dyDescent="0.25">
      <c r="A5" s="89" t="s">
        <v>155</v>
      </c>
      <c r="B5" s="141"/>
    </row>
    <row r="6" spans="1:2" x14ac:dyDescent="0.25">
      <c r="A6" s="137" t="s">
        <v>502</v>
      </c>
    </row>
    <row r="7" spans="1:2" x14ac:dyDescent="0.25">
      <c r="A7" s="137" t="s">
        <v>504</v>
      </c>
    </row>
    <row r="8" spans="1:2" x14ac:dyDescent="0.25">
      <c r="A8" s="137" t="s">
        <v>505</v>
      </c>
    </row>
    <row r="9" spans="1:2" x14ac:dyDescent="0.25">
      <c r="A9" s="137" t="s">
        <v>506</v>
      </c>
    </row>
    <row r="10" spans="1:2" x14ac:dyDescent="0.25">
      <c r="A10" s="137" t="s">
        <v>507</v>
      </c>
    </row>
    <row r="11" spans="1:2" x14ac:dyDescent="0.25">
      <c r="A11" s="137" t="s">
        <v>508</v>
      </c>
    </row>
    <row r="12" spans="1:2" x14ac:dyDescent="0.25">
      <c r="A12" s="105" t="s">
        <v>532</v>
      </c>
    </row>
    <row r="13" spans="1:2" x14ac:dyDescent="0.25">
      <c r="A13" s="98" t="s">
        <v>511</v>
      </c>
    </row>
    <row r="15" spans="1:2" x14ac:dyDescent="0.25">
      <c r="A15" s="85" t="s">
        <v>281</v>
      </c>
    </row>
    <row r="16" spans="1:2" x14ac:dyDescent="0.25">
      <c r="A16" s="99" t="s">
        <v>441</v>
      </c>
    </row>
    <row r="17" spans="1:6" x14ac:dyDescent="0.25">
      <c r="A17" s="89" t="s">
        <v>499</v>
      </c>
      <c r="B17" s="141"/>
      <c r="F17" s="121"/>
    </row>
    <row r="18" spans="1:6" x14ac:dyDescent="0.25">
      <c r="A18" s="89" t="s">
        <v>501</v>
      </c>
      <c r="B18" s="141"/>
    </row>
    <row r="19" spans="1:6" x14ac:dyDescent="0.25">
      <c r="A19" s="89" t="s">
        <v>155</v>
      </c>
      <c r="B19" s="141"/>
      <c r="C19" s="121"/>
      <c r="D19" s="121"/>
      <c r="E19" s="121"/>
      <c r="F19" s="121"/>
    </row>
    <row r="20" spans="1:6" x14ac:dyDescent="0.25">
      <c r="A20" s="137" t="s">
        <v>502</v>
      </c>
      <c r="C20" s="121"/>
      <c r="D20" s="121"/>
      <c r="E20" s="121"/>
      <c r="F20" s="121"/>
    </row>
    <row r="21" spans="1:6" x14ac:dyDescent="0.25">
      <c r="A21" s="137" t="s">
        <v>504</v>
      </c>
      <c r="C21" s="121"/>
      <c r="D21" s="121"/>
      <c r="E21" s="121"/>
      <c r="F21" s="121"/>
    </row>
    <row r="22" spans="1:6" x14ac:dyDescent="0.25">
      <c r="A22" s="137" t="s">
        <v>505</v>
      </c>
      <c r="C22" s="121"/>
      <c r="D22"/>
      <c r="E22" s="121"/>
      <c r="F22" s="121"/>
    </row>
    <row r="23" spans="1:6" x14ac:dyDescent="0.25">
      <c r="A23" s="137" t="s">
        <v>507</v>
      </c>
      <c r="C23" s="121"/>
      <c r="D23" s="121"/>
      <c r="E23" s="121"/>
      <c r="F23" s="121"/>
    </row>
    <row r="24" spans="1:6" x14ac:dyDescent="0.25">
      <c r="A24" s="98" t="s">
        <v>511</v>
      </c>
      <c r="C24" s="121"/>
      <c r="E24" s="121"/>
      <c r="F24" s="121"/>
    </row>
    <row r="25" spans="1:6" x14ac:dyDescent="0.25">
      <c r="C25" s="121"/>
      <c r="E25" s="121"/>
      <c r="F25" s="121"/>
    </row>
    <row r="26" spans="1:6" x14ac:dyDescent="0.25">
      <c r="A26" s="85" t="s">
        <v>378</v>
      </c>
    </row>
    <row r="27" spans="1:6" x14ac:dyDescent="0.25">
      <c r="A27" s="87" t="s">
        <v>166</v>
      </c>
    </row>
    <row r="28" spans="1:6" x14ac:dyDescent="0.25">
      <c r="A28" s="89" t="s">
        <v>499</v>
      </c>
      <c r="B28" s="141"/>
    </row>
    <row r="29" spans="1:6" x14ac:dyDescent="0.25">
      <c r="A29" s="89" t="s">
        <v>501</v>
      </c>
      <c r="B29" s="141"/>
    </row>
    <row r="30" spans="1:6" x14ac:dyDescent="0.25">
      <c r="A30" s="89" t="s">
        <v>155</v>
      </c>
      <c r="B30" s="141"/>
    </row>
    <row r="31" spans="1:6" x14ac:dyDescent="0.25">
      <c r="A31" s="137" t="s">
        <v>502</v>
      </c>
    </row>
    <row r="32" spans="1:6" x14ac:dyDescent="0.25">
      <c r="A32" s="137" t="s">
        <v>504</v>
      </c>
    </row>
    <row r="33" spans="1:1" x14ac:dyDescent="0.25">
      <c r="A33" s="137" t="s">
        <v>505</v>
      </c>
    </row>
    <row r="34" spans="1:1" x14ac:dyDescent="0.25">
      <c r="A34" s="137" t="s">
        <v>506</v>
      </c>
    </row>
    <row r="35" spans="1:1" x14ac:dyDescent="0.25">
      <c r="A35" s="137" t="s">
        <v>507</v>
      </c>
    </row>
    <row r="36" spans="1:1" x14ac:dyDescent="0.25">
      <c r="A36" s="137" t="s">
        <v>508</v>
      </c>
    </row>
    <row r="37" spans="1:1" x14ac:dyDescent="0.25">
      <c r="A37" s="105" t="s">
        <v>532</v>
      </c>
    </row>
    <row r="38" spans="1:1" x14ac:dyDescent="0.25">
      <c r="A38" s="98" t="s">
        <v>511</v>
      </c>
    </row>
    <row r="40" spans="1:1" x14ac:dyDescent="0.25">
      <c r="A40" s="136" t="s">
        <v>518</v>
      </c>
    </row>
    <row r="41" spans="1:1" x14ac:dyDescent="0.25">
      <c r="A41" s="135" t="s">
        <v>167</v>
      </c>
    </row>
    <row r="42" spans="1:1" x14ac:dyDescent="0.25">
      <c r="A42" s="89" t="s">
        <v>499</v>
      </c>
    </row>
    <row r="43" spans="1:1" x14ac:dyDescent="0.25">
      <c r="A43" s="137" t="s">
        <v>501</v>
      </c>
    </row>
    <row r="44" spans="1:1" x14ac:dyDescent="0.25">
      <c r="A44" s="89" t="s">
        <v>155</v>
      </c>
    </row>
    <row r="45" spans="1:1" x14ac:dyDescent="0.25">
      <c r="A45" s="137" t="s">
        <v>502</v>
      </c>
    </row>
    <row r="46" spans="1:1" x14ac:dyDescent="0.25">
      <c r="A46" s="137" t="s">
        <v>504</v>
      </c>
    </row>
    <row r="47" spans="1:1" x14ac:dyDescent="0.25">
      <c r="A47" s="137" t="s">
        <v>505</v>
      </c>
    </row>
    <row r="48" spans="1:1" x14ac:dyDescent="0.25">
      <c r="A48" s="137" t="s">
        <v>506</v>
      </c>
    </row>
    <row r="49" spans="1:2" x14ac:dyDescent="0.25">
      <c r="A49" s="137" t="s">
        <v>507</v>
      </c>
    </row>
    <row r="50" spans="1:2" x14ac:dyDescent="0.25">
      <c r="A50" s="137" t="s">
        <v>508</v>
      </c>
    </row>
    <row r="51" spans="1:2" x14ac:dyDescent="0.25">
      <c r="A51" s="98" t="s">
        <v>511</v>
      </c>
    </row>
    <row r="52" spans="1:2" x14ac:dyDescent="0.25">
      <c r="A52" s="163"/>
    </row>
    <row r="53" spans="1:2" x14ac:dyDescent="0.25">
      <c r="A53" s="136" t="s">
        <v>379</v>
      </c>
    </row>
    <row r="54" spans="1:2" x14ac:dyDescent="0.25">
      <c r="A54" s="135" t="s">
        <v>168</v>
      </c>
    </row>
    <row r="55" spans="1:2" x14ac:dyDescent="0.25">
      <c r="A55" s="89" t="s">
        <v>499</v>
      </c>
      <c r="B55" s="141"/>
    </row>
    <row r="56" spans="1:2" x14ac:dyDescent="0.25">
      <c r="A56" s="137" t="s">
        <v>509</v>
      </c>
      <c r="B56" s="141"/>
    </row>
    <row r="57" spans="1:2" x14ac:dyDescent="0.25">
      <c r="A57" s="89" t="s">
        <v>155</v>
      </c>
      <c r="B57" s="141"/>
    </row>
    <row r="58" spans="1:2" x14ac:dyDescent="0.25">
      <c r="A58" s="137" t="s">
        <v>502</v>
      </c>
      <c r="B58" s="121"/>
    </row>
    <row r="59" spans="1:2" x14ac:dyDescent="0.25">
      <c r="A59" s="137" t="s">
        <v>504</v>
      </c>
    </row>
    <row r="60" spans="1:2" x14ac:dyDescent="0.25">
      <c r="A60" s="137" t="s">
        <v>505</v>
      </c>
    </row>
    <row r="61" spans="1:2" x14ac:dyDescent="0.25">
      <c r="A61" s="137" t="s">
        <v>510</v>
      </c>
      <c r="B61" s="141"/>
    </row>
    <row r="62" spans="1:2" x14ac:dyDescent="0.25">
      <c r="A62" s="137" t="s">
        <v>503</v>
      </c>
      <c r="B62" s="141"/>
    </row>
    <row r="63" spans="1:2" x14ac:dyDescent="0.25">
      <c r="A63" s="137" t="s">
        <v>508</v>
      </c>
    </row>
    <row r="64" spans="1:2" x14ac:dyDescent="0.25">
      <c r="A64" s="105" t="s">
        <v>532</v>
      </c>
    </row>
    <row r="65" spans="1:1" x14ac:dyDescent="0.25">
      <c r="A65" s="98" t="s">
        <v>511</v>
      </c>
    </row>
  </sheetData>
  <pageMargins left="0.70866141732283472" right="0.70866141732283472" top="0.74803149606299213" bottom="0.74803149606299213" header="0.31496062992125984" footer="0.31496062992125984"/>
  <pageSetup paperSize="8" orientation="landscape" r:id="rId1"/>
  <rowBreaks count="1" manualBreakCount="1">
    <brk id="25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I67"/>
  <sheetViews>
    <sheetView workbookViewId="0"/>
  </sheetViews>
  <sheetFormatPr defaultRowHeight="15" x14ac:dyDescent="0.25"/>
  <cols>
    <col min="1" max="1" width="28.140625" style="21" customWidth="1"/>
    <col min="2" max="2" width="12.28515625" style="21" customWidth="1"/>
    <col min="3" max="3" width="17" style="21" customWidth="1"/>
    <col min="4" max="4" width="23.7109375" style="21" bestFit="1" customWidth="1"/>
    <col min="5" max="16384" width="9.140625" style="21"/>
  </cols>
  <sheetData>
    <row r="1" spans="1:9" ht="18.75" x14ac:dyDescent="0.3">
      <c r="A1" s="23" t="s">
        <v>232</v>
      </c>
    </row>
    <row r="3" spans="1:9" x14ac:dyDescent="0.25">
      <c r="A3" s="12" t="s">
        <v>200</v>
      </c>
      <c r="B3" s="22" t="s">
        <v>149</v>
      </c>
      <c r="C3" s="22" t="s">
        <v>231</v>
      </c>
      <c r="G3"/>
      <c r="H3"/>
      <c r="I3"/>
    </row>
    <row r="4" spans="1:9" x14ac:dyDescent="0.25">
      <c r="A4" t="s">
        <v>201</v>
      </c>
      <c r="B4" t="s">
        <v>202</v>
      </c>
      <c r="C4" s="38">
        <v>1.5</v>
      </c>
      <c r="G4"/>
      <c r="H4"/>
      <c r="I4"/>
    </row>
    <row r="5" spans="1:9" x14ac:dyDescent="0.25">
      <c r="A5" t="s">
        <v>203</v>
      </c>
      <c r="B5" t="s">
        <v>204</v>
      </c>
      <c r="C5" s="38">
        <v>2</v>
      </c>
      <c r="G5"/>
      <c r="H5"/>
      <c r="I5"/>
    </row>
    <row r="6" spans="1:9" x14ac:dyDescent="0.25">
      <c r="A6" t="s">
        <v>205</v>
      </c>
      <c r="B6" t="s">
        <v>206</v>
      </c>
      <c r="C6" s="38">
        <v>3</v>
      </c>
      <c r="G6"/>
      <c r="H6"/>
      <c r="I6"/>
    </row>
    <row r="7" spans="1:9" x14ac:dyDescent="0.25">
      <c r="A7" t="s">
        <v>207</v>
      </c>
      <c r="B7" t="s">
        <v>208</v>
      </c>
      <c r="C7" s="38">
        <v>4</v>
      </c>
      <c r="G7"/>
      <c r="H7"/>
      <c r="I7"/>
    </row>
    <row r="8" spans="1:9" x14ac:dyDescent="0.25">
      <c r="A8" t="s">
        <v>209</v>
      </c>
      <c r="B8" t="s">
        <v>210</v>
      </c>
      <c r="C8" s="38">
        <v>6</v>
      </c>
      <c r="G8"/>
      <c r="H8"/>
      <c r="I8"/>
    </row>
    <row r="9" spans="1:9" x14ac:dyDescent="0.25">
      <c r="A9" t="s">
        <v>211</v>
      </c>
      <c r="B9" t="s">
        <v>212</v>
      </c>
      <c r="C9" s="38">
        <v>8</v>
      </c>
      <c r="G9"/>
      <c r="H9"/>
      <c r="I9"/>
    </row>
    <row r="10" spans="1:9" x14ac:dyDescent="0.25">
      <c r="A10" t="s">
        <v>213</v>
      </c>
      <c r="B10" t="s">
        <v>214</v>
      </c>
      <c r="C10" s="38">
        <v>10</v>
      </c>
      <c r="G10"/>
      <c r="H10"/>
      <c r="I10"/>
    </row>
    <row r="11" spans="1:9" x14ac:dyDescent="0.25">
      <c r="A11" t="s">
        <v>215</v>
      </c>
      <c r="B11" t="s">
        <v>216</v>
      </c>
      <c r="C11" s="38">
        <v>12</v>
      </c>
      <c r="G11"/>
      <c r="H11"/>
      <c r="I11"/>
    </row>
    <row r="12" spans="1:9" x14ac:dyDescent="0.25">
      <c r="A12" t="s">
        <v>217</v>
      </c>
      <c r="B12" t="s">
        <v>218</v>
      </c>
      <c r="C12" s="38">
        <v>15</v>
      </c>
      <c r="G12"/>
      <c r="H12"/>
      <c r="I12"/>
    </row>
    <row r="13" spans="1:9" x14ac:dyDescent="0.25">
      <c r="A13" t="s">
        <v>219</v>
      </c>
      <c r="B13" t="s">
        <v>220</v>
      </c>
      <c r="C13" s="38">
        <v>16</v>
      </c>
      <c r="G13"/>
      <c r="H13"/>
      <c r="I13"/>
    </row>
    <row r="14" spans="1:9" x14ac:dyDescent="0.25">
      <c r="A14" t="s">
        <v>316</v>
      </c>
      <c r="B14" t="s">
        <v>330</v>
      </c>
      <c r="C14" s="38">
        <v>18</v>
      </c>
      <c r="G14"/>
      <c r="H14"/>
      <c r="I14"/>
    </row>
    <row r="15" spans="1:9" x14ac:dyDescent="0.25">
      <c r="A15" t="s">
        <v>317</v>
      </c>
      <c r="B15" t="s">
        <v>331</v>
      </c>
      <c r="C15" s="38">
        <v>20</v>
      </c>
      <c r="G15"/>
      <c r="H15"/>
      <c r="I15"/>
    </row>
    <row r="16" spans="1:9" x14ac:dyDescent="0.25">
      <c r="A16" t="s">
        <v>318</v>
      </c>
      <c r="B16" t="s">
        <v>332</v>
      </c>
      <c r="C16" s="38">
        <v>25</v>
      </c>
      <c r="G16"/>
      <c r="H16"/>
      <c r="I16"/>
    </row>
    <row r="17" spans="1:9" x14ac:dyDescent="0.25">
      <c r="A17" t="s">
        <v>319</v>
      </c>
      <c r="B17" t="s">
        <v>333</v>
      </c>
      <c r="C17" s="38">
        <v>30</v>
      </c>
      <c r="G17"/>
      <c r="H17"/>
      <c r="I17"/>
    </row>
    <row r="18" spans="1:9" x14ac:dyDescent="0.25">
      <c r="A18" t="s">
        <v>320</v>
      </c>
      <c r="B18" t="s">
        <v>334</v>
      </c>
      <c r="C18" s="38">
        <v>35</v>
      </c>
      <c r="G18"/>
      <c r="H18"/>
      <c r="I18"/>
    </row>
    <row r="19" spans="1:9" x14ac:dyDescent="0.25">
      <c r="A19" t="s">
        <v>321</v>
      </c>
      <c r="B19" t="s">
        <v>335</v>
      </c>
      <c r="C19" s="38">
        <v>40</v>
      </c>
      <c r="G19"/>
      <c r="H19"/>
      <c r="I19"/>
    </row>
    <row r="20" spans="1:9" x14ac:dyDescent="0.25">
      <c r="A20" t="s">
        <v>322</v>
      </c>
      <c r="B20" t="s">
        <v>336</v>
      </c>
      <c r="C20" s="38">
        <v>45</v>
      </c>
      <c r="G20"/>
      <c r="H20"/>
      <c r="I20"/>
    </row>
    <row r="21" spans="1:9" x14ac:dyDescent="0.25">
      <c r="A21" t="s">
        <v>323</v>
      </c>
      <c r="B21" t="s">
        <v>337</v>
      </c>
      <c r="C21" s="38">
        <v>50</v>
      </c>
      <c r="G21"/>
      <c r="H21"/>
      <c r="I21"/>
    </row>
    <row r="22" spans="1:9" x14ac:dyDescent="0.25">
      <c r="A22" t="s">
        <v>324</v>
      </c>
      <c r="B22" t="s">
        <v>338</v>
      </c>
      <c r="C22" s="38">
        <v>55</v>
      </c>
      <c r="G22"/>
      <c r="H22"/>
      <c r="I22"/>
    </row>
    <row r="23" spans="1:9" x14ac:dyDescent="0.25">
      <c r="A23" t="s">
        <v>325</v>
      </c>
      <c r="B23" t="s">
        <v>339</v>
      </c>
      <c r="C23" s="38">
        <v>60</v>
      </c>
      <c r="G23"/>
      <c r="H23"/>
      <c r="I23"/>
    </row>
    <row r="24" spans="1:9" x14ac:dyDescent="0.25">
      <c r="A24" t="s">
        <v>326</v>
      </c>
      <c r="B24" t="s">
        <v>340</v>
      </c>
      <c r="C24" s="38">
        <v>70</v>
      </c>
      <c r="G24"/>
      <c r="H24"/>
      <c r="I24"/>
    </row>
    <row r="25" spans="1:9" x14ac:dyDescent="0.25">
      <c r="A25" t="s">
        <v>327</v>
      </c>
      <c r="B25" t="s">
        <v>341</v>
      </c>
      <c r="C25" s="38">
        <v>80</v>
      </c>
      <c r="G25"/>
      <c r="H25"/>
      <c r="I25"/>
    </row>
    <row r="26" spans="1:9" x14ac:dyDescent="0.25">
      <c r="A26" t="s">
        <v>328</v>
      </c>
      <c r="B26" t="s">
        <v>342</v>
      </c>
      <c r="C26" s="38">
        <v>90</v>
      </c>
      <c r="G26"/>
      <c r="H26"/>
      <c r="I26"/>
    </row>
    <row r="27" spans="1:9" x14ac:dyDescent="0.25">
      <c r="A27" t="s">
        <v>329</v>
      </c>
      <c r="B27" t="s">
        <v>343</v>
      </c>
      <c r="C27" s="38">
        <v>100</v>
      </c>
      <c r="G27"/>
      <c r="H27"/>
      <c r="I27"/>
    </row>
    <row r="28" spans="1:9" x14ac:dyDescent="0.25">
      <c r="A28" t="s">
        <v>221</v>
      </c>
      <c r="B28" t="s">
        <v>222</v>
      </c>
      <c r="C28" s="38">
        <v>3.1749999999999998</v>
      </c>
      <c r="G28"/>
      <c r="H28"/>
      <c r="I28"/>
    </row>
    <row r="29" spans="1:9" x14ac:dyDescent="0.25">
      <c r="A29" t="s">
        <v>223</v>
      </c>
      <c r="B29" t="s">
        <v>224</v>
      </c>
      <c r="C29" s="38">
        <v>6.35</v>
      </c>
      <c r="G29"/>
      <c r="H29"/>
      <c r="I29"/>
    </row>
    <row r="30" spans="1:9" x14ac:dyDescent="0.25">
      <c r="A30" t="s">
        <v>225</v>
      </c>
      <c r="B30" t="s">
        <v>226</v>
      </c>
      <c r="C30" s="38">
        <v>9.5250000000000004</v>
      </c>
      <c r="G30"/>
      <c r="H30"/>
      <c r="I30"/>
    </row>
    <row r="31" spans="1:9" x14ac:dyDescent="0.25">
      <c r="A31" t="s">
        <v>227</v>
      </c>
      <c r="B31" t="s">
        <v>228</v>
      </c>
      <c r="C31" s="38">
        <v>12.7</v>
      </c>
      <c r="G31"/>
      <c r="H31"/>
      <c r="I31"/>
    </row>
    <row r="32" spans="1:9" x14ac:dyDescent="0.25">
      <c r="A32" t="s">
        <v>229</v>
      </c>
      <c r="B32" t="s">
        <v>230</v>
      </c>
      <c r="C32" s="38">
        <v>19.05</v>
      </c>
      <c r="G32"/>
      <c r="H32"/>
      <c r="I32"/>
    </row>
    <row r="33" spans="1:6" x14ac:dyDescent="0.25">
      <c r="A33" t="s">
        <v>344</v>
      </c>
      <c r="B33" t="s">
        <v>345</v>
      </c>
      <c r="C33" t="s">
        <v>170</v>
      </c>
    </row>
    <row r="36" spans="1:6" s="22" customFormat="1" x14ac:dyDescent="0.25">
      <c r="A36" s="12" t="s">
        <v>233</v>
      </c>
      <c r="B36" s="22" t="s">
        <v>149</v>
      </c>
      <c r="C36" s="22" t="s">
        <v>231</v>
      </c>
    </row>
    <row r="37" spans="1:6" x14ac:dyDescent="0.25">
      <c r="A37" t="s">
        <v>234</v>
      </c>
      <c r="B37" t="s">
        <v>235</v>
      </c>
      <c r="C37" s="38">
        <v>1</v>
      </c>
      <c r="D37"/>
      <c r="E37"/>
      <c r="F37"/>
    </row>
    <row r="38" spans="1:6" x14ac:dyDescent="0.25">
      <c r="A38" t="s">
        <v>236</v>
      </c>
      <c r="B38" t="s">
        <v>202</v>
      </c>
      <c r="C38" s="38">
        <v>1.5</v>
      </c>
      <c r="D38"/>
      <c r="E38"/>
      <c r="F38"/>
    </row>
    <row r="39" spans="1:6" x14ac:dyDescent="0.25">
      <c r="A39" t="s">
        <v>237</v>
      </c>
      <c r="B39" t="s">
        <v>204</v>
      </c>
      <c r="C39" s="38">
        <v>2</v>
      </c>
      <c r="D39"/>
      <c r="E39"/>
      <c r="F39"/>
    </row>
    <row r="40" spans="1:6" x14ac:dyDescent="0.25">
      <c r="A40" t="s">
        <v>238</v>
      </c>
      <c r="B40" t="s">
        <v>206</v>
      </c>
      <c r="C40" s="38">
        <v>3</v>
      </c>
      <c r="D40"/>
      <c r="E40"/>
      <c r="F40"/>
    </row>
    <row r="41" spans="1:6" x14ac:dyDescent="0.25">
      <c r="A41" t="s">
        <v>239</v>
      </c>
      <c r="B41" t="s">
        <v>208</v>
      </c>
      <c r="C41" s="38">
        <v>4</v>
      </c>
      <c r="D41"/>
      <c r="E41"/>
      <c r="F41"/>
    </row>
    <row r="42" spans="1:6" x14ac:dyDescent="0.25">
      <c r="A42" t="s">
        <v>240</v>
      </c>
      <c r="B42" t="s">
        <v>241</v>
      </c>
      <c r="C42" s="38">
        <v>5</v>
      </c>
      <c r="D42"/>
      <c r="E42"/>
      <c r="F42"/>
    </row>
    <row r="43" spans="1:6" x14ac:dyDescent="0.25">
      <c r="A43" t="s">
        <v>242</v>
      </c>
      <c r="B43" t="s">
        <v>243</v>
      </c>
      <c r="C43" s="38">
        <v>5.5</v>
      </c>
      <c r="D43"/>
      <c r="E43"/>
      <c r="F43"/>
    </row>
    <row r="44" spans="1:6" x14ac:dyDescent="0.25">
      <c r="A44" t="s">
        <v>244</v>
      </c>
      <c r="B44" t="s">
        <v>210</v>
      </c>
      <c r="C44" s="38">
        <v>6</v>
      </c>
      <c r="D44"/>
      <c r="E44"/>
      <c r="F44"/>
    </row>
    <row r="45" spans="1:6" x14ac:dyDescent="0.25">
      <c r="A45" t="s">
        <v>245</v>
      </c>
      <c r="B45" t="s">
        <v>246</v>
      </c>
      <c r="C45" s="38">
        <v>6.5</v>
      </c>
      <c r="D45"/>
      <c r="E45"/>
      <c r="F45"/>
    </row>
    <row r="46" spans="1:6" x14ac:dyDescent="0.25">
      <c r="A46" t="s">
        <v>247</v>
      </c>
      <c r="B46" t="s">
        <v>248</v>
      </c>
      <c r="C46" s="38">
        <v>7.5</v>
      </c>
      <c r="D46"/>
      <c r="E46"/>
      <c r="F46"/>
    </row>
    <row r="47" spans="1:6" x14ac:dyDescent="0.25">
      <c r="A47" t="s">
        <v>249</v>
      </c>
      <c r="B47" t="s">
        <v>212</v>
      </c>
      <c r="C47" s="38">
        <v>8</v>
      </c>
      <c r="D47"/>
      <c r="E47"/>
      <c r="F47"/>
    </row>
    <row r="48" spans="1:6" x14ac:dyDescent="0.25">
      <c r="A48" t="s">
        <v>250</v>
      </c>
      <c r="B48" t="s">
        <v>214</v>
      </c>
      <c r="C48" s="38">
        <v>10</v>
      </c>
      <c r="D48"/>
      <c r="E48"/>
      <c r="F48"/>
    </row>
    <row r="49" spans="1:6" x14ac:dyDescent="0.25">
      <c r="A49" t="s">
        <v>251</v>
      </c>
      <c r="B49" t="s">
        <v>252</v>
      </c>
      <c r="C49" s="38">
        <v>2.3812500000000001</v>
      </c>
      <c r="D49"/>
      <c r="E49"/>
      <c r="F49"/>
    </row>
    <row r="50" spans="1:6" x14ac:dyDescent="0.25">
      <c r="A50" t="s">
        <v>253</v>
      </c>
      <c r="B50" t="s">
        <v>222</v>
      </c>
      <c r="C50" s="38">
        <v>3.1749999999999998</v>
      </c>
      <c r="D50"/>
      <c r="E50"/>
      <c r="F50"/>
    </row>
    <row r="51" spans="1:6" x14ac:dyDescent="0.25">
      <c r="A51" t="s">
        <v>254</v>
      </c>
      <c r="B51" t="s">
        <v>255</v>
      </c>
      <c r="C51" s="38">
        <v>3.96875</v>
      </c>
      <c r="D51"/>
      <c r="E51"/>
      <c r="F51"/>
    </row>
    <row r="52" spans="1:6" x14ac:dyDescent="0.25">
      <c r="A52" t="s">
        <v>256</v>
      </c>
      <c r="B52" t="s">
        <v>257</v>
      </c>
      <c r="C52" s="38">
        <v>4.7625000000000002</v>
      </c>
      <c r="D52"/>
      <c r="E52"/>
      <c r="F52"/>
    </row>
    <row r="53" spans="1:6" x14ac:dyDescent="0.25">
      <c r="A53" t="s">
        <v>258</v>
      </c>
      <c r="B53" t="s">
        <v>259</v>
      </c>
      <c r="C53" s="38">
        <v>5.5562500000000004</v>
      </c>
      <c r="D53"/>
      <c r="E53"/>
      <c r="F53"/>
    </row>
    <row r="54" spans="1:6" x14ac:dyDescent="0.25">
      <c r="A54" t="s">
        <v>260</v>
      </c>
      <c r="B54" t="s">
        <v>261</v>
      </c>
      <c r="C54" s="38">
        <v>6.35</v>
      </c>
      <c r="D54"/>
      <c r="E54"/>
      <c r="F54"/>
    </row>
    <row r="55" spans="1:6" x14ac:dyDescent="0.25">
      <c r="A55" t="s">
        <v>262</v>
      </c>
      <c r="B55" t="s">
        <v>263</v>
      </c>
      <c r="C55" s="38">
        <v>7.1437499999999998</v>
      </c>
      <c r="D55"/>
      <c r="E55"/>
      <c r="F55"/>
    </row>
    <row r="56" spans="1:6" x14ac:dyDescent="0.25">
      <c r="A56" t="s">
        <v>264</v>
      </c>
      <c r="B56" t="s">
        <v>265</v>
      </c>
      <c r="C56" s="38">
        <v>7.9375</v>
      </c>
      <c r="D56"/>
      <c r="E56"/>
      <c r="F56"/>
    </row>
    <row r="57" spans="1:6" x14ac:dyDescent="0.25">
      <c r="A57" t="s">
        <v>266</v>
      </c>
      <c r="B57" t="s">
        <v>267</v>
      </c>
      <c r="C57" s="38">
        <v>8.7312499999999993</v>
      </c>
      <c r="D57"/>
      <c r="E57"/>
      <c r="F57"/>
    </row>
    <row r="58" spans="1:6" x14ac:dyDescent="0.25">
      <c r="A58" t="s">
        <v>268</v>
      </c>
      <c r="B58" t="s">
        <v>226</v>
      </c>
      <c r="C58" s="38">
        <v>9.5250000000000004</v>
      </c>
      <c r="D58"/>
      <c r="E58"/>
      <c r="F58"/>
    </row>
    <row r="59" spans="1:6" x14ac:dyDescent="0.25">
      <c r="A59" t="s">
        <v>269</v>
      </c>
      <c r="B59" t="s">
        <v>270</v>
      </c>
      <c r="C59" s="38">
        <v>10.31875</v>
      </c>
      <c r="D59"/>
      <c r="E59"/>
      <c r="F59"/>
    </row>
    <row r="60" spans="1:6" x14ac:dyDescent="0.25">
      <c r="A60" t="s">
        <v>271</v>
      </c>
      <c r="B60" t="s">
        <v>272</v>
      </c>
      <c r="C60" s="38">
        <v>11.112500000000001</v>
      </c>
      <c r="D60"/>
      <c r="E60"/>
      <c r="F60"/>
    </row>
    <row r="61" spans="1:6" x14ac:dyDescent="0.25">
      <c r="A61" t="s">
        <v>273</v>
      </c>
      <c r="B61" t="s">
        <v>274</v>
      </c>
      <c r="C61" s="38">
        <v>11.90625</v>
      </c>
      <c r="D61"/>
      <c r="E61"/>
      <c r="F61"/>
    </row>
    <row r="62" spans="1:6" x14ac:dyDescent="0.25">
      <c r="A62" s="84" t="s">
        <v>275</v>
      </c>
      <c r="B62" s="84" t="s">
        <v>228</v>
      </c>
      <c r="C62" s="38">
        <v>12.7</v>
      </c>
      <c r="D62" s="84"/>
      <c r="E62" s="84"/>
      <c r="F62" s="84"/>
    </row>
    <row r="63" spans="1:6" x14ac:dyDescent="0.25">
      <c r="A63" t="s">
        <v>460</v>
      </c>
      <c r="B63" t="s">
        <v>345</v>
      </c>
      <c r="C63" s="38" t="s">
        <v>461</v>
      </c>
      <c r="D63"/>
      <c r="E63"/>
      <c r="F63"/>
    </row>
    <row r="65" spans="1:3" x14ac:dyDescent="0.25">
      <c r="A65" s="22" t="s">
        <v>346</v>
      </c>
      <c r="B65" s="22" t="s">
        <v>149</v>
      </c>
      <c r="C65" s="22" t="s">
        <v>350</v>
      </c>
    </row>
    <row r="66" spans="1:3" x14ac:dyDescent="0.25">
      <c r="A66" t="s">
        <v>347</v>
      </c>
      <c r="B66" t="s">
        <v>276</v>
      </c>
      <c r="C66" t="s">
        <v>276</v>
      </c>
    </row>
    <row r="67" spans="1:3" x14ac:dyDescent="0.25">
      <c r="A67" t="s">
        <v>348</v>
      </c>
      <c r="B67" t="s">
        <v>349</v>
      </c>
      <c r="C67" t="s">
        <v>349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L173"/>
  <sheetViews>
    <sheetView topLeftCell="A74" workbookViewId="0">
      <selection activeCell="B151" sqref="B151"/>
    </sheetView>
  </sheetViews>
  <sheetFormatPr defaultRowHeight="15" x14ac:dyDescent="0.25"/>
  <cols>
    <col min="1" max="1" width="39" customWidth="1"/>
    <col min="2" max="2" width="33" bestFit="1" customWidth="1"/>
    <col min="3" max="3" width="14.28515625" customWidth="1"/>
    <col min="4" max="4" width="14.140625" customWidth="1"/>
    <col min="5" max="5" width="14.28515625" customWidth="1"/>
    <col min="6" max="6" width="10.85546875" customWidth="1"/>
    <col min="7" max="7" width="11.28515625" customWidth="1"/>
    <col min="8" max="8" width="14.85546875" customWidth="1"/>
    <col min="9" max="9" width="9.5703125" customWidth="1"/>
    <col min="10" max="10" width="15.85546875" bestFit="1" customWidth="1"/>
  </cols>
  <sheetData>
    <row r="1" spans="1:3" s="12" customFormat="1" x14ac:dyDescent="0.25">
      <c r="A1" s="12" t="s">
        <v>135</v>
      </c>
    </row>
    <row r="3" spans="1:3" x14ac:dyDescent="0.25">
      <c r="A3" s="13" t="s">
        <v>16</v>
      </c>
      <c r="B3" s="14" t="s">
        <v>17</v>
      </c>
      <c r="C3" s="14" t="s">
        <v>156</v>
      </c>
    </row>
    <row r="4" spans="1:3" x14ac:dyDescent="0.25">
      <c r="A4" s="11" t="s">
        <v>18</v>
      </c>
      <c r="B4" s="11">
        <v>1</v>
      </c>
      <c r="C4" s="11">
        <f>B4*1000</f>
        <v>1000</v>
      </c>
    </row>
    <row r="5" spans="1:3" x14ac:dyDescent="0.25">
      <c r="A5" s="11" t="s">
        <v>19</v>
      </c>
      <c r="B5" s="11">
        <v>0.01</v>
      </c>
      <c r="C5" s="11">
        <f>B5*1000</f>
        <v>10</v>
      </c>
    </row>
    <row r="6" spans="1:3" x14ac:dyDescent="0.25">
      <c r="A6" s="11" t="s">
        <v>15</v>
      </c>
      <c r="B6" s="11">
        <v>1E-3</v>
      </c>
      <c r="C6" s="11">
        <f>B6*1000</f>
        <v>1</v>
      </c>
    </row>
    <row r="7" spans="1:3" x14ac:dyDescent="0.25">
      <c r="A7" s="11" t="s">
        <v>20</v>
      </c>
      <c r="B7" s="11">
        <v>2.5399999999999999E-2</v>
      </c>
      <c r="C7" s="11">
        <f>B7*1000</f>
        <v>25.4</v>
      </c>
    </row>
    <row r="8" spans="1:3" x14ac:dyDescent="0.25">
      <c r="A8" s="11" t="s">
        <v>21</v>
      </c>
      <c r="B8" s="11">
        <v>0.30480000000000002</v>
      </c>
      <c r="C8" s="11">
        <f>B8*1000</f>
        <v>304.8</v>
      </c>
    </row>
    <row r="10" spans="1:3" x14ac:dyDescent="0.25">
      <c r="A10" s="12" t="s">
        <v>5</v>
      </c>
      <c r="B10" s="12" t="s">
        <v>22</v>
      </c>
    </row>
    <row r="11" spans="1:3" x14ac:dyDescent="0.25">
      <c r="A11" t="s">
        <v>13</v>
      </c>
      <c r="B11">
        <f>TEMP_USER</f>
        <v>10</v>
      </c>
    </row>
    <row r="12" spans="1:3" x14ac:dyDescent="0.25">
      <c r="A12" t="s">
        <v>23</v>
      </c>
      <c r="B12">
        <f>(TEMP_USER-32)*5/9</f>
        <v>-12.222222222222221</v>
      </c>
    </row>
    <row r="13" spans="1:3" x14ac:dyDescent="0.25">
      <c r="A13" t="s">
        <v>24</v>
      </c>
      <c r="B13">
        <f>TEMP_USER-273.15</f>
        <v>-263.14999999999998</v>
      </c>
    </row>
    <row r="14" spans="1:3" x14ac:dyDescent="0.25">
      <c r="A14" t="s">
        <v>8</v>
      </c>
      <c r="B14">
        <f>(TEMP_USER*5/9)-273.15</f>
        <v>-267.59444444444443</v>
      </c>
    </row>
    <row r="16" spans="1:3" x14ac:dyDescent="0.25">
      <c r="A16" s="12" t="s">
        <v>25</v>
      </c>
      <c r="B16" s="12" t="s">
        <v>26</v>
      </c>
      <c r="C16" s="12" t="s">
        <v>13</v>
      </c>
    </row>
    <row r="17" spans="1:3" x14ac:dyDescent="0.25">
      <c r="A17">
        <v>10</v>
      </c>
      <c r="B17" t="s">
        <v>13</v>
      </c>
      <c r="C17">
        <f>VLOOKUP(B17,A11:B14,2,FALSE)</f>
        <v>10</v>
      </c>
    </row>
    <row r="19" spans="1:3" x14ac:dyDescent="0.25">
      <c r="A19" s="12" t="s">
        <v>6</v>
      </c>
      <c r="B19" s="12" t="s">
        <v>27</v>
      </c>
      <c r="C19" s="12" t="s">
        <v>28</v>
      </c>
    </row>
    <row r="20" spans="1:3" x14ac:dyDescent="0.25">
      <c r="A20" t="s">
        <v>29</v>
      </c>
      <c r="B20" s="15">
        <v>1.0000000000000001E-5</v>
      </c>
      <c r="C20">
        <v>0</v>
      </c>
    </row>
    <row r="21" spans="1:3" x14ac:dyDescent="0.25">
      <c r="A21" t="s">
        <v>30</v>
      </c>
      <c r="B21" s="15">
        <v>1.0000000000000001E-5</v>
      </c>
      <c r="C21">
        <v>1.01325</v>
      </c>
    </row>
    <row r="22" spans="1:3" x14ac:dyDescent="0.25">
      <c r="A22" t="s">
        <v>31</v>
      </c>
      <c r="B22">
        <v>0.01</v>
      </c>
      <c r="C22">
        <v>0</v>
      </c>
    </row>
    <row r="23" spans="1:3" x14ac:dyDescent="0.25">
      <c r="A23" t="s">
        <v>32</v>
      </c>
      <c r="B23">
        <v>0.01</v>
      </c>
      <c r="C23">
        <v>1.01325</v>
      </c>
    </row>
    <row r="24" spans="1:3" x14ac:dyDescent="0.25">
      <c r="A24" t="s">
        <v>33</v>
      </c>
      <c r="B24" s="15">
        <v>1.0000000000000001E-5</v>
      </c>
      <c r="C24">
        <v>0</v>
      </c>
    </row>
    <row r="25" spans="1:3" x14ac:dyDescent="0.25">
      <c r="A25" t="s">
        <v>34</v>
      </c>
      <c r="B25" s="15">
        <v>1.0000000000000001E-5</v>
      </c>
      <c r="C25">
        <v>1.01325</v>
      </c>
    </row>
    <row r="26" spans="1:3" x14ac:dyDescent="0.25">
      <c r="A26" t="s">
        <v>35</v>
      </c>
      <c r="B26">
        <v>0.01</v>
      </c>
      <c r="C26">
        <v>0</v>
      </c>
    </row>
    <row r="27" spans="1:3" x14ac:dyDescent="0.25">
      <c r="A27" t="s">
        <v>36</v>
      </c>
      <c r="B27">
        <v>0.01</v>
      </c>
      <c r="C27">
        <v>1.01325</v>
      </c>
    </row>
    <row r="28" spans="1:3" x14ac:dyDescent="0.25">
      <c r="A28" t="s">
        <v>37</v>
      </c>
      <c r="B28">
        <v>1</v>
      </c>
      <c r="C28">
        <v>0</v>
      </c>
    </row>
    <row r="29" spans="1:3" x14ac:dyDescent="0.25">
      <c r="A29" t="s">
        <v>38</v>
      </c>
      <c r="B29">
        <v>1</v>
      </c>
      <c r="C29">
        <v>1.01325</v>
      </c>
    </row>
    <row r="30" spans="1:3" x14ac:dyDescent="0.25">
      <c r="A30" t="s">
        <v>11</v>
      </c>
      <c r="B30">
        <v>1E-3</v>
      </c>
      <c r="C30">
        <v>0</v>
      </c>
    </row>
    <row r="31" spans="1:3" x14ac:dyDescent="0.25">
      <c r="A31" t="s">
        <v>39</v>
      </c>
      <c r="B31">
        <v>1E-3</v>
      </c>
      <c r="C31">
        <v>1.01325</v>
      </c>
    </row>
    <row r="32" spans="1:3" x14ac:dyDescent="0.25">
      <c r="A32" t="s">
        <v>40</v>
      </c>
      <c r="B32">
        <v>1.01325</v>
      </c>
      <c r="C32">
        <v>0</v>
      </c>
    </row>
    <row r="33" spans="1:3" x14ac:dyDescent="0.25">
      <c r="A33" t="s">
        <v>41</v>
      </c>
      <c r="B33">
        <v>1.01325</v>
      </c>
      <c r="C33">
        <v>1.01325</v>
      </c>
    </row>
    <row r="34" spans="1:3" x14ac:dyDescent="0.25">
      <c r="A34" t="s">
        <v>42</v>
      </c>
      <c r="B34">
        <v>4.7880299999999998E-4</v>
      </c>
      <c r="C34">
        <v>0</v>
      </c>
    </row>
    <row r="35" spans="1:3" x14ac:dyDescent="0.25">
      <c r="A35" t="s">
        <v>43</v>
      </c>
      <c r="B35">
        <v>4.7880299999999998E-4</v>
      </c>
      <c r="C35">
        <v>1.01325</v>
      </c>
    </row>
    <row r="36" spans="1:3" x14ac:dyDescent="0.25">
      <c r="A36" t="s">
        <v>44</v>
      </c>
      <c r="B36">
        <v>6.8900000000000003E-2</v>
      </c>
      <c r="C36">
        <v>0</v>
      </c>
    </row>
    <row r="37" spans="1:3" x14ac:dyDescent="0.25">
      <c r="A37" t="s">
        <v>45</v>
      </c>
      <c r="B37">
        <v>6.8900000000000003E-2</v>
      </c>
      <c r="C37">
        <v>1.01325</v>
      </c>
    </row>
    <row r="38" spans="1:3" x14ac:dyDescent="0.25">
      <c r="A38" t="s">
        <v>46</v>
      </c>
      <c r="B38">
        <v>2.490889E-3</v>
      </c>
      <c r="C38">
        <v>0</v>
      </c>
    </row>
    <row r="39" spans="1:3" x14ac:dyDescent="0.25">
      <c r="A39" t="s">
        <v>47</v>
      </c>
      <c r="B39">
        <v>2.490889E-3</v>
      </c>
      <c r="C39">
        <v>1.01325</v>
      </c>
    </row>
    <row r="40" spans="1:3" x14ac:dyDescent="0.25">
      <c r="A40" t="s">
        <v>48</v>
      </c>
      <c r="B40" s="15">
        <v>9.8099999999999999E-5</v>
      </c>
      <c r="C40">
        <v>0</v>
      </c>
    </row>
    <row r="41" spans="1:3" x14ac:dyDescent="0.25">
      <c r="A41" t="s">
        <v>49</v>
      </c>
      <c r="B41" s="15">
        <v>9.8099999999999999E-5</v>
      </c>
      <c r="C41">
        <v>1.01325</v>
      </c>
    </row>
    <row r="42" spans="1:3" x14ac:dyDescent="0.25">
      <c r="A42" t="s">
        <v>50</v>
      </c>
      <c r="B42">
        <v>0.98066500000000001</v>
      </c>
      <c r="C42">
        <v>0</v>
      </c>
    </row>
    <row r="43" spans="1:3" x14ac:dyDescent="0.25">
      <c r="A43" t="s">
        <v>51</v>
      </c>
      <c r="B43">
        <v>0.98066500000000001</v>
      </c>
      <c r="C43">
        <v>1.01325</v>
      </c>
    </row>
    <row r="45" spans="1:3" x14ac:dyDescent="0.25">
      <c r="A45" s="12" t="s">
        <v>52</v>
      </c>
      <c r="B45" s="12" t="s">
        <v>53</v>
      </c>
      <c r="C45" s="12" t="s">
        <v>37</v>
      </c>
    </row>
    <row r="46" spans="1:3" x14ac:dyDescent="0.25">
      <c r="A46">
        <v>10</v>
      </c>
      <c r="B46" t="s">
        <v>38</v>
      </c>
      <c r="C46">
        <f>PRESS_USER*VLOOKUP(PRESS_USER_UNITS,$A$20:$B$43,2,FALSE)+VLOOKUP(PRESS_USER_UNITS,$A$20:$C$43,3,FALSE)</f>
        <v>11.013249999999999</v>
      </c>
    </row>
    <row r="49" spans="1:11" s="12" customFormat="1" x14ac:dyDescent="0.25">
      <c r="A49" s="12" t="s">
        <v>54</v>
      </c>
      <c r="B49" s="12" t="s">
        <v>55</v>
      </c>
      <c r="C49" s="12" t="s">
        <v>56</v>
      </c>
      <c r="D49" s="12" t="s">
        <v>57</v>
      </c>
      <c r="E49" s="12" t="s">
        <v>58</v>
      </c>
      <c r="F49" s="12" t="s">
        <v>59</v>
      </c>
      <c r="G49" s="12" t="s">
        <v>60</v>
      </c>
      <c r="H49" s="12" t="s">
        <v>61</v>
      </c>
      <c r="I49" s="12" t="s">
        <v>62</v>
      </c>
      <c r="J49" s="12" t="s">
        <v>63</v>
      </c>
      <c r="K49" s="12" t="s">
        <v>64</v>
      </c>
    </row>
    <row r="50" spans="1:11" x14ac:dyDescent="0.25">
      <c r="A50" t="s">
        <v>12</v>
      </c>
      <c r="B50">
        <v>1</v>
      </c>
      <c r="C50">
        <v>1</v>
      </c>
      <c r="D50">
        <v>1</v>
      </c>
      <c r="E50" t="b">
        <v>0</v>
      </c>
      <c r="F50" t="b">
        <v>0</v>
      </c>
      <c r="G50" t="b">
        <v>0</v>
      </c>
      <c r="H50" t="b">
        <v>0</v>
      </c>
      <c r="I50" t="b">
        <v>1</v>
      </c>
      <c r="J50" t="s">
        <v>65</v>
      </c>
      <c r="K50" t="str">
        <f>LEFT(A50,FIND("/",A50)-1)</f>
        <v>kg</v>
      </c>
    </row>
    <row r="51" spans="1:11" x14ac:dyDescent="0.25">
      <c r="A51" t="s">
        <v>66</v>
      </c>
      <c r="B51">
        <v>60</v>
      </c>
      <c r="C51">
        <v>1</v>
      </c>
      <c r="D51">
        <v>1</v>
      </c>
      <c r="E51" t="b">
        <v>0</v>
      </c>
      <c r="F51" t="b">
        <v>0</v>
      </c>
      <c r="G51" t="b">
        <v>0</v>
      </c>
      <c r="H51" t="b">
        <v>0</v>
      </c>
      <c r="I51" t="b">
        <v>1</v>
      </c>
      <c r="J51" t="s">
        <v>65</v>
      </c>
      <c r="K51" t="str">
        <f t="shared" ref="K51:K112" si="0">LEFT(A51,FIND("/",A51)-1)</f>
        <v>kg</v>
      </c>
    </row>
    <row r="52" spans="1:11" x14ac:dyDescent="0.25">
      <c r="A52" t="s">
        <v>67</v>
      </c>
      <c r="B52">
        <v>3600</v>
      </c>
      <c r="C52">
        <v>1</v>
      </c>
      <c r="D52">
        <v>1</v>
      </c>
      <c r="E52" t="b">
        <v>0</v>
      </c>
      <c r="F52" t="b">
        <v>0</v>
      </c>
      <c r="G52" t="b">
        <v>0</v>
      </c>
      <c r="H52" t="b">
        <v>0</v>
      </c>
      <c r="I52" t="b">
        <v>1</v>
      </c>
      <c r="J52" t="s">
        <v>65</v>
      </c>
      <c r="K52" t="str">
        <f t="shared" si="0"/>
        <v>kg</v>
      </c>
    </row>
    <row r="53" spans="1:11" x14ac:dyDescent="0.25">
      <c r="A53" t="s">
        <v>68</v>
      </c>
      <c r="B53">
        <v>86400</v>
      </c>
      <c r="C53">
        <v>1</v>
      </c>
      <c r="D53">
        <v>1</v>
      </c>
      <c r="E53" t="b">
        <v>0</v>
      </c>
      <c r="F53" t="b">
        <v>0</v>
      </c>
      <c r="G53" t="b">
        <v>0</v>
      </c>
      <c r="H53" t="b">
        <v>0</v>
      </c>
      <c r="I53" t="b">
        <v>1</v>
      </c>
      <c r="J53" t="s">
        <v>65</v>
      </c>
      <c r="K53" t="str">
        <f t="shared" si="0"/>
        <v>kg</v>
      </c>
    </row>
    <row r="54" spans="1:11" x14ac:dyDescent="0.25">
      <c r="A54" t="s">
        <v>69</v>
      </c>
      <c r="B54">
        <v>1</v>
      </c>
      <c r="C54">
        <v>1</v>
      </c>
      <c r="D54">
        <v>0.45359237000000002</v>
      </c>
      <c r="E54" t="b">
        <v>0</v>
      </c>
      <c r="F54" t="b">
        <v>0</v>
      </c>
      <c r="G54" t="b">
        <v>0</v>
      </c>
      <c r="H54" t="b">
        <v>0</v>
      </c>
      <c r="I54" t="b">
        <v>0</v>
      </c>
      <c r="J54" t="s">
        <v>70</v>
      </c>
      <c r="K54" t="str">
        <f t="shared" si="0"/>
        <v>lb</v>
      </c>
    </row>
    <row r="55" spans="1:11" x14ac:dyDescent="0.25">
      <c r="A55" t="s">
        <v>71</v>
      </c>
      <c r="B55">
        <v>60</v>
      </c>
      <c r="C55">
        <v>1</v>
      </c>
      <c r="D55">
        <v>0.45359237000000002</v>
      </c>
      <c r="E55" t="b">
        <v>0</v>
      </c>
      <c r="F55" t="b">
        <v>0</v>
      </c>
      <c r="G55" t="b">
        <v>0</v>
      </c>
      <c r="H55" t="b">
        <v>0</v>
      </c>
      <c r="I55" t="b">
        <v>0</v>
      </c>
      <c r="J55" t="s">
        <v>70</v>
      </c>
      <c r="K55" t="str">
        <f t="shared" si="0"/>
        <v>lb</v>
      </c>
    </row>
    <row r="56" spans="1:11" x14ac:dyDescent="0.25">
      <c r="A56" t="s">
        <v>72</v>
      </c>
      <c r="B56">
        <v>3600</v>
      </c>
      <c r="C56">
        <v>1</v>
      </c>
      <c r="D56">
        <v>0.45359237000000002</v>
      </c>
      <c r="E56" t="b">
        <v>0</v>
      </c>
      <c r="F56" t="b">
        <v>0</v>
      </c>
      <c r="G56" t="b">
        <v>0</v>
      </c>
      <c r="H56" t="b">
        <v>0</v>
      </c>
      <c r="I56" t="b">
        <v>0</v>
      </c>
      <c r="J56" t="s">
        <v>70</v>
      </c>
      <c r="K56" t="str">
        <f t="shared" si="0"/>
        <v>lb</v>
      </c>
    </row>
    <row r="57" spans="1:11" x14ac:dyDescent="0.25">
      <c r="A57" t="s">
        <v>73</v>
      </c>
      <c r="B57">
        <v>86400</v>
      </c>
      <c r="C57">
        <v>1</v>
      </c>
      <c r="D57">
        <v>0.45359237000000002</v>
      </c>
      <c r="E57" t="b">
        <v>0</v>
      </c>
      <c r="F57" t="b">
        <v>0</v>
      </c>
      <c r="G57" t="b">
        <v>0</v>
      </c>
      <c r="H57" t="b">
        <v>0</v>
      </c>
      <c r="I57" t="b">
        <v>0</v>
      </c>
      <c r="J57" t="s">
        <v>70</v>
      </c>
      <c r="K57" t="str">
        <f t="shared" si="0"/>
        <v>lb</v>
      </c>
    </row>
    <row r="58" spans="1:11" x14ac:dyDescent="0.25">
      <c r="A58" t="s">
        <v>74</v>
      </c>
      <c r="B58">
        <v>1</v>
      </c>
      <c r="C58">
        <v>1</v>
      </c>
      <c r="D58">
        <v>1000</v>
      </c>
      <c r="E58" t="b">
        <v>0</v>
      </c>
      <c r="F58" t="b">
        <v>0</v>
      </c>
      <c r="G58" t="b">
        <v>0</v>
      </c>
      <c r="H58" t="b">
        <v>0</v>
      </c>
      <c r="I58" t="b">
        <v>0</v>
      </c>
      <c r="J58" t="s">
        <v>70</v>
      </c>
      <c r="K58" t="str">
        <f t="shared" si="0"/>
        <v>Tonne</v>
      </c>
    </row>
    <row r="59" spans="1:11" x14ac:dyDescent="0.25">
      <c r="A59" t="s">
        <v>75</v>
      </c>
      <c r="B59">
        <v>60</v>
      </c>
      <c r="C59">
        <v>1</v>
      </c>
      <c r="D59">
        <v>1000</v>
      </c>
      <c r="E59" t="b">
        <v>0</v>
      </c>
      <c r="F59" t="b">
        <v>0</v>
      </c>
      <c r="G59" t="b">
        <v>0</v>
      </c>
      <c r="H59" t="b">
        <v>0</v>
      </c>
      <c r="I59" t="b">
        <v>0</v>
      </c>
      <c r="J59" t="s">
        <v>70</v>
      </c>
      <c r="K59" t="str">
        <f t="shared" si="0"/>
        <v>Tonne</v>
      </c>
    </row>
    <row r="60" spans="1:11" x14ac:dyDescent="0.25">
      <c r="A60" t="s">
        <v>76</v>
      </c>
      <c r="B60">
        <v>3600</v>
      </c>
      <c r="C60">
        <v>1</v>
      </c>
      <c r="D60">
        <v>1000</v>
      </c>
      <c r="E60" t="b">
        <v>0</v>
      </c>
      <c r="F60" t="b">
        <v>0</v>
      </c>
      <c r="G60" t="b">
        <v>0</v>
      </c>
      <c r="H60" t="b">
        <v>0</v>
      </c>
      <c r="I60" t="b">
        <v>0</v>
      </c>
      <c r="J60" t="s">
        <v>70</v>
      </c>
      <c r="K60" t="str">
        <f t="shared" si="0"/>
        <v>Tonne</v>
      </c>
    </row>
    <row r="61" spans="1:11" x14ac:dyDescent="0.25">
      <c r="A61" t="s">
        <v>77</v>
      </c>
      <c r="B61">
        <v>86400</v>
      </c>
      <c r="C61">
        <v>1</v>
      </c>
      <c r="D61">
        <v>1000</v>
      </c>
      <c r="E61" t="b">
        <v>0</v>
      </c>
      <c r="F61" t="b">
        <v>0</v>
      </c>
      <c r="G61" t="b">
        <v>0</v>
      </c>
      <c r="H61" t="b">
        <v>0</v>
      </c>
      <c r="I61" t="b">
        <v>0</v>
      </c>
      <c r="J61" t="s">
        <v>70</v>
      </c>
      <c r="K61" t="str">
        <f t="shared" si="0"/>
        <v>Tonne</v>
      </c>
    </row>
    <row r="62" spans="1:11" x14ac:dyDescent="0.25">
      <c r="A62" t="s">
        <v>78</v>
      </c>
      <c r="B62">
        <v>1</v>
      </c>
      <c r="C62">
        <v>1</v>
      </c>
      <c r="D62">
        <v>1016.04691</v>
      </c>
      <c r="E62" t="b">
        <v>0</v>
      </c>
      <c r="F62" t="b">
        <v>0</v>
      </c>
      <c r="G62" t="b">
        <v>0</v>
      </c>
      <c r="H62" t="b">
        <v>0</v>
      </c>
      <c r="I62" t="b">
        <v>1</v>
      </c>
      <c r="J62" t="s">
        <v>65</v>
      </c>
      <c r="K62" t="str">
        <f t="shared" si="0"/>
        <v>Ton(L)</v>
      </c>
    </row>
    <row r="63" spans="1:11" x14ac:dyDescent="0.25">
      <c r="A63" t="s">
        <v>79</v>
      </c>
      <c r="B63">
        <v>60</v>
      </c>
      <c r="C63">
        <v>1</v>
      </c>
      <c r="D63">
        <v>1016.04691</v>
      </c>
      <c r="E63" t="b">
        <v>0</v>
      </c>
      <c r="F63" t="b">
        <v>0</v>
      </c>
      <c r="G63" t="b">
        <v>0</v>
      </c>
      <c r="H63" t="b">
        <v>0</v>
      </c>
      <c r="I63" t="b">
        <v>1</v>
      </c>
      <c r="J63" t="s">
        <v>65</v>
      </c>
      <c r="K63" t="str">
        <f t="shared" si="0"/>
        <v>Ton(L)</v>
      </c>
    </row>
    <row r="64" spans="1:11" x14ac:dyDescent="0.25">
      <c r="A64" t="s">
        <v>80</v>
      </c>
      <c r="B64">
        <v>3600</v>
      </c>
      <c r="C64">
        <v>1</v>
      </c>
      <c r="D64">
        <v>1016.04691</v>
      </c>
      <c r="E64" t="b">
        <v>0</v>
      </c>
      <c r="F64" t="b">
        <v>0</v>
      </c>
      <c r="G64" t="b">
        <v>0</v>
      </c>
      <c r="H64" t="b">
        <v>0</v>
      </c>
      <c r="I64" t="b">
        <v>1</v>
      </c>
      <c r="J64" t="s">
        <v>65</v>
      </c>
      <c r="K64" t="str">
        <f t="shared" si="0"/>
        <v>Ton(L)</v>
      </c>
    </row>
    <row r="65" spans="1:11" x14ac:dyDescent="0.25">
      <c r="A65" t="s">
        <v>81</v>
      </c>
      <c r="B65">
        <v>86400</v>
      </c>
      <c r="C65">
        <v>1</v>
      </c>
      <c r="D65">
        <v>1016.04691</v>
      </c>
      <c r="E65" t="b">
        <v>0</v>
      </c>
      <c r="F65" t="b">
        <v>0</v>
      </c>
      <c r="G65" t="b">
        <v>0</v>
      </c>
      <c r="H65" t="b">
        <v>0</v>
      </c>
      <c r="I65" t="b">
        <v>1</v>
      </c>
      <c r="J65" t="s">
        <v>65</v>
      </c>
      <c r="K65" t="str">
        <f t="shared" si="0"/>
        <v>Ton(L)</v>
      </c>
    </row>
    <row r="66" spans="1:11" x14ac:dyDescent="0.25">
      <c r="A66" t="s">
        <v>82</v>
      </c>
      <c r="B66">
        <v>1</v>
      </c>
      <c r="C66">
        <v>1</v>
      </c>
      <c r="D66">
        <v>907.18474000000003</v>
      </c>
      <c r="E66" t="b">
        <v>0</v>
      </c>
      <c r="F66" t="b">
        <v>0</v>
      </c>
      <c r="G66" t="b">
        <v>0</v>
      </c>
      <c r="H66" t="b">
        <v>0</v>
      </c>
      <c r="I66" t="b">
        <v>1</v>
      </c>
      <c r="J66" t="s">
        <v>65</v>
      </c>
      <c r="K66" t="str">
        <f t="shared" si="0"/>
        <v>Ton(S)</v>
      </c>
    </row>
    <row r="67" spans="1:11" x14ac:dyDescent="0.25">
      <c r="A67" t="s">
        <v>83</v>
      </c>
      <c r="B67">
        <v>60</v>
      </c>
      <c r="C67">
        <v>1</v>
      </c>
      <c r="D67">
        <v>907.18474000000003</v>
      </c>
      <c r="E67" t="b">
        <v>0</v>
      </c>
      <c r="F67" t="b">
        <v>0</v>
      </c>
      <c r="G67" t="b">
        <v>0</v>
      </c>
      <c r="H67" t="b">
        <v>0</v>
      </c>
      <c r="I67" t="b">
        <v>1</v>
      </c>
      <c r="J67" t="s">
        <v>65</v>
      </c>
      <c r="K67" t="str">
        <f t="shared" si="0"/>
        <v>Ton(S)</v>
      </c>
    </row>
    <row r="68" spans="1:11" x14ac:dyDescent="0.25">
      <c r="A68" t="s">
        <v>84</v>
      </c>
      <c r="B68">
        <v>3600</v>
      </c>
      <c r="C68">
        <v>1</v>
      </c>
      <c r="D68">
        <v>907.18474000000003</v>
      </c>
      <c r="E68" t="b">
        <v>0</v>
      </c>
      <c r="F68" t="b">
        <v>0</v>
      </c>
      <c r="G68" t="b">
        <v>0</v>
      </c>
      <c r="H68" t="b">
        <v>0</v>
      </c>
      <c r="I68" t="b">
        <v>1</v>
      </c>
      <c r="J68" t="s">
        <v>65</v>
      </c>
      <c r="K68" t="str">
        <f t="shared" si="0"/>
        <v>Ton(S)</v>
      </c>
    </row>
    <row r="69" spans="1:11" x14ac:dyDescent="0.25">
      <c r="A69" t="s">
        <v>85</v>
      </c>
      <c r="B69">
        <v>86400</v>
      </c>
      <c r="C69">
        <v>1</v>
      </c>
      <c r="D69">
        <v>907.18474000000003</v>
      </c>
      <c r="E69" t="b">
        <v>0</v>
      </c>
      <c r="F69" t="b">
        <v>0</v>
      </c>
      <c r="G69" t="b">
        <v>0</v>
      </c>
      <c r="H69" t="b">
        <v>0</v>
      </c>
      <c r="I69" t="b">
        <v>1</v>
      </c>
      <c r="J69" t="s">
        <v>65</v>
      </c>
      <c r="K69" t="str">
        <f t="shared" si="0"/>
        <v>Ton(S)</v>
      </c>
    </row>
    <row r="70" spans="1:11" x14ac:dyDescent="0.25">
      <c r="A70" t="s">
        <v>65</v>
      </c>
      <c r="B70">
        <v>1</v>
      </c>
      <c r="C70">
        <v>1</v>
      </c>
      <c r="D70">
        <v>1</v>
      </c>
      <c r="E70" t="b">
        <v>1</v>
      </c>
      <c r="F70" t="b">
        <v>0</v>
      </c>
      <c r="G70" t="b">
        <v>0</v>
      </c>
      <c r="H70" t="b">
        <v>0</v>
      </c>
      <c r="I70" t="b">
        <v>1</v>
      </c>
      <c r="J70" t="s">
        <v>12</v>
      </c>
      <c r="K70" t="str">
        <f t="shared" si="0"/>
        <v>m³</v>
      </c>
    </row>
    <row r="71" spans="1:11" x14ac:dyDescent="0.25">
      <c r="A71" t="s">
        <v>86</v>
      </c>
      <c r="B71">
        <v>60</v>
      </c>
      <c r="C71">
        <v>1</v>
      </c>
      <c r="D71">
        <v>1</v>
      </c>
      <c r="E71" t="b">
        <v>1</v>
      </c>
      <c r="F71" t="b">
        <v>0</v>
      </c>
      <c r="G71" t="b">
        <v>0</v>
      </c>
      <c r="H71" t="b">
        <v>0</v>
      </c>
      <c r="I71" t="b">
        <v>1</v>
      </c>
      <c r="J71" t="s">
        <v>12</v>
      </c>
      <c r="K71" t="str">
        <f t="shared" si="0"/>
        <v>m³</v>
      </c>
    </row>
    <row r="72" spans="1:11" x14ac:dyDescent="0.25">
      <c r="A72" t="s">
        <v>9</v>
      </c>
      <c r="B72">
        <v>3600</v>
      </c>
      <c r="C72">
        <v>1</v>
      </c>
      <c r="D72">
        <v>1</v>
      </c>
      <c r="E72" t="b">
        <v>1</v>
      </c>
      <c r="F72" t="b">
        <v>0</v>
      </c>
      <c r="G72" t="b">
        <v>0</v>
      </c>
      <c r="H72" t="b">
        <v>0</v>
      </c>
      <c r="I72" t="b">
        <v>1</v>
      </c>
      <c r="J72" t="s">
        <v>12</v>
      </c>
      <c r="K72" t="str">
        <f t="shared" si="0"/>
        <v>m³</v>
      </c>
    </row>
    <row r="73" spans="1:11" x14ac:dyDescent="0.25">
      <c r="A73" t="s">
        <v>87</v>
      </c>
      <c r="B73">
        <v>86400</v>
      </c>
      <c r="C73">
        <v>1</v>
      </c>
      <c r="D73">
        <v>1</v>
      </c>
      <c r="E73" t="b">
        <v>1</v>
      </c>
      <c r="F73" t="b">
        <v>0</v>
      </c>
      <c r="G73" t="b">
        <v>0</v>
      </c>
      <c r="H73" t="b">
        <v>0</v>
      </c>
      <c r="I73" t="b">
        <v>1</v>
      </c>
      <c r="J73" t="s">
        <v>12</v>
      </c>
      <c r="K73" t="str">
        <f t="shared" si="0"/>
        <v>m³</v>
      </c>
    </row>
    <row r="74" spans="1:11" x14ac:dyDescent="0.25">
      <c r="A74" t="s">
        <v>88</v>
      </c>
      <c r="B74">
        <v>1</v>
      </c>
      <c r="C74">
        <v>1E-3</v>
      </c>
      <c r="D74">
        <v>1</v>
      </c>
      <c r="E74" t="b">
        <v>1</v>
      </c>
      <c r="F74" t="b">
        <v>0</v>
      </c>
      <c r="G74" t="b">
        <v>0</v>
      </c>
      <c r="H74" t="b">
        <v>0</v>
      </c>
      <c r="I74" t="b">
        <v>1</v>
      </c>
      <c r="J74" t="s">
        <v>12</v>
      </c>
      <c r="K74" t="str">
        <f t="shared" si="0"/>
        <v>litres</v>
      </c>
    </row>
    <row r="75" spans="1:11" x14ac:dyDescent="0.25">
      <c r="A75" t="s">
        <v>89</v>
      </c>
      <c r="B75">
        <v>60</v>
      </c>
      <c r="C75">
        <v>1E-3</v>
      </c>
      <c r="D75">
        <v>1</v>
      </c>
      <c r="E75" t="b">
        <v>1</v>
      </c>
      <c r="F75" t="b">
        <v>0</v>
      </c>
      <c r="G75" t="b">
        <v>0</v>
      </c>
      <c r="H75" t="b">
        <v>0</v>
      </c>
      <c r="I75" t="b">
        <v>1</v>
      </c>
      <c r="J75" t="s">
        <v>12</v>
      </c>
      <c r="K75" t="str">
        <f t="shared" si="0"/>
        <v>litres</v>
      </c>
    </row>
    <row r="76" spans="1:11" x14ac:dyDescent="0.25">
      <c r="A76" t="s">
        <v>90</v>
      </c>
      <c r="B76">
        <v>3600</v>
      </c>
      <c r="C76">
        <v>1E-3</v>
      </c>
      <c r="D76">
        <v>1</v>
      </c>
      <c r="E76" t="b">
        <v>1</v>
      </c>
      <c r="F76" t="b">
        <v>0</v>
      </c>
      <c r="G76" t="b">
        <v>0</v>
      </c>
      <c r="H76" t="b">
        <v>0</v>
      </c>
      <c r="I76" t="b">
        <v>1</v>
      </c>
      <c r="J76" t="s">
        <v>12</v>
      </c>
      <c r="K76" t="str">
        <f t="shared" si="0"/>
        <v>litres</v>
      </c>
    </row>
    <row r="77" spans="1:11" x14ac:dyDescent="0.25">
      <c r="A77" t="s">
        <v>91</v>
      </c>
      <c r="B77">
        <v>86400</v>
      </c>
      <c r="C77">
        <v>1E-3</v>
      </c>
      <c r="D77">
        <v>1</v>
      </c>
      <c r="E77" t="b">
        <v>1</v>
      </c>
      <c r="F77" t="b">
        <v>0</v>
      </c>
      <c r="G77" t="b">
        <v>0</v>
      </c>
      <c r="H77" t="b">
        <v>0</v>
      </c>
      <c r="I77" t="b">
        <v>1</v>
      </c>
      <c r="J77" t="s">
        <v>12</v>
      </c>
      <c r="K77" t="str">
        <f t="shared" si="0"/>
        <v>litres</v>
      </c>
    </row>
    <row r="78" spans="1:11" x14ac:dyDescent="0.25">
      <c r="A78" t="s">
        <v>70</v>
      </c>
      <c r="B78">
        <v>1</v>
      </c>
      <c r="C78">
        <v>2.8316846999999999E-2</v>
      </c>
      <c r="D78">
        <v>1</v>
      </c>
      <c r="E78" t="b">
        <v>1</v>
      </c>
      <c r="F78" t="b">
        <v>0</v>
      </c>
      <c r="G78" t="b">
        <v>0</v>
      </c>
      <c r="H78" t="b">
        <v>0</v>
      </c>
      <c r="I78" t="b">
        <v>0</v>
      </c>
      <c r="J78" t="s">
        <v>69</v>
      </c>
      <c r="K78" t="str">
        <f t="shared" si="0"/>
        <v>ft³</v>
      </c>
    </row>
    <row r="79" spans="1:11" x14ac:dyDescent="0.25">
      <c r="A79" t="s">
        <v>92</v>
      </c>
      <c r="B79">
        <v>60</v>
      </c>
      <c r="C79">
        <v>2.8316846999999999E-2</v>
      </c>
      <c r="D79">
        <v>1</v>
      </c>
      <c r="E79" t="b">
        <v>1</v>
      </c>
      <c r="F79" t="b">
        <v>0</v>
      </c>
      <c r="G79" t="b">
        <v>0</v>
      </c>
      <c r="H79" t="b">
        <v>0</v>
      </c>
      <c r="I79" t="b">
        <v>0</v>
      </c>
      <c r="J79" t="s">
        <v>69</v>
      </c>
      <c r="K79" t="str">
        <f t="shared" si="0"/>
        <v>ft³</v>
      </c>
    </row>
    <row r="80" spans="1:11" x14ac:dyDescent="0.25">
      <c r="A80" t="s">
        <v>93</v>
      </c>
      <c r="B80">
        <v>3600</v>
      </c>
      <c r="C80">
        <v>2.8316846999999999E-2</v>
      </c>
      <c r="D80">
        <v>1</v>
      </c>
      <c r="E80" t="b">
        <v>1</v>
      </c>
      <c r="F80" t="b">
        <v>0</v>
      </c>
      <c r="G80" t="b">
        <v>0</v>
      </c>
      <c r="H80" t="b">
        <v>0</v>
      </c>
      <c r="I80" t="b">
        <v>0</v>
      </c>
      <c r="J80" t="s">
        <v>69</v>
      </c>
      <c r="K80" t="str">
        <f t="shared" si="0"/>
        <v>ft³</v>
      </c>
    </row>
    <row r="81" spans="1:11" x14ac:dyDescent="0.25">
      <c r="A81" t="s">
        <v>94</v>
      </c>
      <c r="B81">
        <v>86400</v>
      </c>
      <c r="C81">
        <v>2.8316846999999999E-2</v>
      </c>
      <c r="D81">
        <v>1</v>
      </c>
      <c r="E81" t="b">
        <v>1</v>
      </c>
      <c r="F81" t="b">
        <v>0</v>
      </c>
      <c r="G81" t="b">
        <v>0</v>
      </c>
      <c r="H81" t="b">
        <v>0</v>
      </c>
      <c r="I81" t="b">
        <v>0</v>
      </c>
      <c r="J81" t="s">
        <v>69</v>
      </c>
      <c r="K81" t="str">
        <f t="shared" si="0"/>
        <v>ft³</v>
      </c>
    </row>
    <row r="82" spans="1:11" x14ac:dyDescent="0.25">
      <c r="A82" t="s">
        <v>95</v>
      </c>
      <c r="B82">
        <v>1</v>
      </c>
      <c r="C82">
        <v>4.5460919999999998E-3</v>
      </c>
      <c r="D82">
        <v>1</v>
      </c>
      <c r="E82" t="b">
        <v>1</v>
      </c>
      <c r="F82" t="b">
        <v>0</v>
      </c>
      <c r="G82" t="b">
        <v>0</v>
      </c>
      <c r="H82" t="b">
        <v>0</v>
      </c>
      <c r="I82" t="b">
        <v>1</v>
      </c>
      <c r="J82" t="s">
        <v>12</v>
      </c>
      <c r="K82" t="str">
        <f t="shared" si="0"/>
        <v>UKG</v>
      </c>
    </row>
    <row r="83" spans="1:11" x14ac:dyDescent="0.25">
      <c r="A83" t="s">
        <v>96</v>
      </c>
      <c r="B83">
        <v>60</v>
      </c>
      <c r="C83">
        <v>4.5460919999999998E-3</v>
      </c>
      <c r="D83">
        <v>1</v>
      </c>
      <c r="E83" t="b">
        <v>1</v>
      </c>
      <c r="F83" t="b">
        <v>0</v>
      </c>
      <c r="G83" t="b">
        <v>0</v>
      </c>
      <c r="H83" t="b">
        <v>0</v>
      </c>
      <c r="I83" t="b">
        <v>1</v>
      </c>
      <c r="J83" t="s">
        <v>12</v>
      </c>
      <c r="K83" t="str">
        <f t="shared" si="0"/>
        <v>UKG</v>
      </c>
    </row>
    <row r="84" spans="1:11" x14ac:dyDescent="0.25">
      <c r="A84" t="s">
        <v>97</v>
      </c>
      <c r="B84">
        <v>3600</v>
      </c>
      <c r="C84">
        <v>4.5460919999999998E-3</v>
      </c>
      <c r="D84">
        <v>1</v>
      </c>
      <c r="E84" t="b">
        <v>1</v>
      </c>
      <c r="F84" t="b">
        <v>0</v>
      </c>
      <c r="G84" t="b">
        <v>0</v>
      </c>
      <c r="H84" t="b">
        <v>0</v>
      </c>
      <c r="I84" t="b">
        <v>1</v>
      </c>
      <c r="J84" t="s">
        <v>12</v>
      </c>
      <c r="K84" t="str">
        <f t="shared" si="0"/>
        <v>UKG</v>
      </c>
    </row>
    <row r="85" spans="1:11" x14ac:dyDescent="0.25">
      <c r="A85" t="s">
        <v>98</v>
      </c>
      <c r="B85">
        <v>86400</v>
      </c>
      <c r="C85">
        <v>4.5460919999999998E-3</v>
      </c>
      <c r="D85">
        <v>1</v>
      </c>
      <c r="E85" t="b">
        <v>1</v>
      </c>
      <c r="F85" t="b">
        <v>0</v>
      </c>
      <c r="G85" t="b">
        <v>0</v>
      </c>
      <c r="H85" t="b">
        <v>0</v>
      </c>
      <c r="I85" t="b">
        <v>1</v>
      </c>
      <c r="J85" t="s">
        <v>12</v>
      </c>
      <c r="K85" t="str">
        <f t="shared" si="0"/>
        <v>UKG</v>
      </c>
    </row>
    <row r="86" spans="1:11" x14ac:dyDescent="0.25">
      <c r="A86" t="s">
        <v>99</v>
      </c>
      <c r="B86">
        <v>1</v>
      </c>
      <c r="C86">
        <v>3.7854120000000002E-3</v>
      </c>
      <c r="D86">
        <v>1</v>
      </c>
      <c r="E86" t="b">
        <v>1</v>
      </c>
      <c r="F86" t="b">
        <v>0</v>
      </c>
      <c r="G86" t="b">
        <v>0</v>
      </c>
      <c r="H86" t="b">
        <v>0</v>
      </c>
      <c r="I86" t="b">
        <v>0</v>
      </c>
      <c r="J86" t="s">
        <v>69</v>
      </c>
      <c r="K86" t="str">
        <f t="shared" si="0"/>
        <v>USG</v>
      </c>
    </row>
    <row r="87" spans="1:11" x14ac:dyDescent="0.25">
      <c r="A87" t="s">
        <v>100</v>
      </c>
      <c r="B87">
        <v>60</v>
      </c>
      <c r="C87">
        <v>3.7854120000000002E-3</v>
      </c>
      <c r="D87">
        <v>1</v>
      </c>
      <c r="E87" t="b">
        <v>1</v>
      </c>
      <c r="F87" t="b">
        <v>0</v>
      </c>
      <c r="G87" t="b">
        <v>0</v>
      </c>
      <c r="H87" t="b">
        <v>0</v>
      </c>
      <c r="I87" t="b">
        <v>0</v>
      </c>
      <c r="J87" t="s">
        <v>69</v>
      </c>
      <c r="K87" t="str">
        <f t="shared" si="0"/>
        <v>USG</v>
      </c>
    </row>
    <row r="88" spans="1:11" x14ac:dyDescent="0.25">
      <c r="A88" t="s">
        <v>101</v>
      </c>
      <c r="B88">
        <v>3600</v>
      </c>
      <c r="C88">
        <v>3.7854120000000002E-3</v>
      </c>
      <c r="D88">
        <v>1</v>
      </c>
      <c r="E88" t="b">
        <v>1</v>
      </c>
      <c r="F88" t="b">
        <v>0</v>
      </c>
      <c r="G88" t="b">
        <v>0</v>
      </c>
      <c r="H88" t="b">
        <v>0</v>
      </c>
      <c r="I88" t="b">
        <v>0</v>
      </c>
      <c r="J88" t="s">
        <v>69</v>
      </c>
      <c r="K88" t="str">
        <f t="shared" si="0"/>
        <v>USG</v>
      </c>
    </row>
    <row r="89" spans="1:11" x14ac:dyDescent="0.25">
      <c r="A89" t="s">
        <v>102</v>
      </c>
      <c r="B89">
        <v>86400</v>
      </c>
      <c r="C89">
        <v>3.7854120000000002E-3</v>
      </c>
      <c r="D89">
        <v>1</v>
      </c>
      <c r="E89" t="b">
        <v>1</v>
      </c>
      <c r="F89" t="b">
        <v>0</v>
      </c>
      <c r="G89" t="b">
        <v>0</v>
      </c>
      <c r="H89" t="b">
        <v>0</v>
      </c>
      <c r="I89" t="b">
        <v>0</v>
      </c>
      <c r="J89" t="s">
        <v>69</v>
      </c>
      <c r="K89" t="str">
        <f t="shared" si="0"/>
        <v>USG</v>
      </c>
    </row>
    <row r="90" spans="1:11" x14ac:dyDescent="0.25">
      <c r="A90" t="s">
        <v>103</v>
      </c>
      <c r="B90">
        <v>86400</v>
      </c>
      <c r="C90">
        <v>0.16365924000000001</v>
      </c>
      <c r="D90">
        <v>1</v>
      </c>
      <c r="E90" t="b">
        <v>1</v>
      </c>
      <c r="F90" t="b">
        <v>0</v>
      </c>
      <c r="G90" t="b">
        <v>0</v>
      </c>
      <c r="H90" t="b">
        <v>0</v>
      </c>
      <c r="I90" t="b">
        <v>1</v>
      </c>
      <c r="J90" t="s">
        <v>12</v>
      </c>
      <c r="K90" t="str">
        <f t="shared" si="0"/>
        <v>UK Barrels</v>
      </c>
    </row>
    <row r="91" spans="1:11" x14ac:dyDescent="0.25">
      <c r="A91" t="s">
        <v>104</v>
      </c>
      <c r="B91">
        <v>86400</v>
      </c>
      <c r="C91">
        <v>0.1192404712</v>
      </c>
      <c r="D91">
        <v>1</v>
      </c>
      <c r="E91" t="b">
        <v>1</v>
      </c>
      <c r="F91" t="b">
        <v>0</v>
      </c>
      <c r="G91" t="b">
        <v>0</v>
      </c>
      <c r="H91" t="b">
        <v>0</v>
      </c>
      <c r="I91" t="b">
        <v>1</v>
      </c>
      <c r="J91" t="s">
        <v>12</v>
      </c>
      <c r="K91" t="str">
        <f t="shared" si="0"/>
        <v>US Barrels</v>
      </c>
    </row>
    <row r="92" spans="1:11" x14ac:dyDescent="0.25">
      <c r="A92" t="s">
        <v>105</v>
      </c>
      <c r="B92">
        <v>86400</v>
      </c>
      <c r="C92">
        <v>0.15898729492999999</v>
      </c>
      <c r="D92">
        <v>1</v>
      </c>
      <c r="E92" t="b">
        <v>1</v>
      </c>
      <c r="F92" t="b">
        <v>0</v>
      </c>
      <c r="G92" t="b">
        <v>0</v>
      </c>
      <c r="H92" t="b">
        <v>0</v>
      </c>
      <c r="I92" t="b">
        <v>0</v>
      </c>
      <c r="J92" t="s">
        <v>69</v>
      </c>
      <c r="K92" t="str">
        <f t="shared" si="0"/>
        <v>Petroleum Barrels</v>
      </c>
    </row>
    <row r="93" spans="1:11" x14ac:dyDescent="0.25">
      <c r="A93" t="s">
        <v>106</v>
      </c>
      <c r="B93">
        <v>1</v>
      </c>
      <c r="C93">
        <v>1</v>
      </c>
      <c r="D93">
        <v>1</v>
      </c>
      <c r="E93" t="b">
        <v>1</v>
      </c>
      <c r="F93" t="b">
        <v>1</v>
      </c>
      <c r="G93" t="b">
        <v>0</v>
      </c>
      <c r="H93" t="b">
        <v>0</v>
      </c>
      <c r="I93" t="b">
        <v>1</v>
      </c>
      <c r="J93" t="s">
        <v>12</v>
      </c>
      <c r="K93" t="str">
        <f t="shared" si="0"/>
        <v>Sm³</v>
      </c>
    </row>
    <row r="94" spans="1:11" x14ac:dyDescent="0.25">
      <c r="A94" t="s">
        <v>107</v>
      </c>
      <c r="B94">
        <v>60</v>
      </c>
      <c r="C94">
        <v>1</v>
      </c>
      <c r="D94">
        <v>1</v>
      </c>
      <c r="E94" t="b">
        <v>1</v>
      </c>
      <c r="F94" t="b">
        <v>1</v>
      </c>
      <c r="G94" t="b">
        <v>0</v>
      </c>
      <c r="H94" t="b">
        <v>0</v>
      </c>
      <c r="I94" t="b">
        <v>1</v>
      </c>
      <c r="J94" t="s">
        <v>12</v>
      </c>
      <c r="K94" t="str">
        <f t="shared" si="0"/>
        <v>Sm³</v>
      </c>
    </row>
    <row r="95" spans="1:11" x14ac:dyDescent="0.25">
      <c r="A95" t="s">
        <v>108</v>
      </c>
      <c r="B95">
        <v>3600</v>
      </c>
      <c r="C95">
        <v>1</v>
      </c>
      <c r="D95">
        <v>1</v>
      </c>
      <c r="E95" t="b">
        <v>1</v>
      </c>
      <c r="F95" t="b">
        <v>1</v>
      </c>
      <c r="G95" t="b">
        <v>0</v>
      </c>
      <c r="H95" t="b">
        <v>0</v>
      </c>
      <c r="I95" t="b">
        <v>1</v>
      </c>
      <c r="J95" t="s">
        <v>12</v>
      </c>
      <c r="K95" t="str">
        <f t="shared" si="0"/>
        <v>Sm³</v>
      </c>
    </row>
    <row r="96" spans="1:11" x14ac:dyDescent="0.25">
      <c r="A96" t="s">
        <v>109</v>
      </c>
      <c r="B96">
        <v>86400</v>
      </c>
      <c r="C96">
        <v>1</v>
      </c>
      <c r="D96">
        <v>1</v>
      </c>
      <c r="E96" t="b">
        <v>1</v>
      </c>
      <c r="F96" t="b">
        <v>1</v>
      </c>
      <c r="G96" t="b">
        <v>0</v>
      </c>
      <c r="H96" t="b">
        <v>0</v>
      </c>
      <c r="I96" t="b">
        <v>1</v>
      </c>
      <c r="J96" t="s">
        <v>12</v>
      </c>
      <c r="K96" t="str">
        <f t="shared" si="0"/>
        <v>Sm³</v>
      </c>
    </row>
    <row r="97" spans="1:11" x14ac:dyDescent="0.25">
      <c r="A97" t="s">
        <v>110</v>
      </c>
      <c r="B97">
        <v>1</v>
      </c>
      <c r="C97">
        <v>2.8316846999999999E-2</v>
      </c>
      <c r="D97">
        <v>1</v>
      </c>
      <c r="E97" t="b">
        <v>1</v>
      </c>
      <c r="F97" t="b">
        <v>1</v>
      </c>
      <c r="G97" t="b">
        <v>0</v>
      </c>
      <c r="H97" t="b">
        <v>0</v>
      </c>
      <c r="I97" t="b">
        <v>0</v>
      </c>
      <c r="J97" t="s">
        <v>69</v>
      </c>
      <c r="K97" t="str">
        <f t="shared" si="0"/>
        <v>Scf</v>
      </c>
    </row>
    <row r="98" spans="1:11" x14ac:dyDescent="0.25">
      <c r="A98" t="s">
        <v>111</v>
      </c>
      <c r="B98">
        <v>60</v>
      </c>
      <c r="C98">
        <v>2.8316846999999999E-2</v>
      </c>
      <c r="D98">
        <v>1</v>
      </c>
      <c r="E98" t="b">
        <v>1</v>
      </c>
      <c r="F98" t="b">
        <v>1</v>
      </c>
      <c r="G98" t="b">
        <v>0</v>
      </c>
      <c r="H98" t="b">
        <v>0</v>
      </c>
      <c r="I98" t="b">
        <v>0</v>
      </c>
      <c r="J98" t="s">
        <v>69</v>
      </c>
      <c r="K98" t="str">
        <f t="shared" si="0"/>
        <v>Scf</v>
      </c>
    </row>
    <row r="99" spans="1:11" x14ac:dyDescent="0.25">
      <c r="A99" t="s">
        <v>112</v>
      </c>
      <c r="B99">
        <v>3600</v>
      </c>
      <c r="C99">
        <v>2.8316846999999999E-2</v>
      </c>
      <c r="D99">
        <v>1</v>
      </c>
      <c r="E99" t="b">
        <v>1</v>
      </c>
      <c r="F99" t="b">
        <v>1</v>
      </c>
      <c r="G99" t="b">
        <v>0</v>
      </c>
      <c r="H99" t="b">
        <v>0</v>
      </c>
      <c r="I99" t="b">
        <v>0</v>
      </c>
      <c r="J99" t="s">
        <v>69</v>
      </c>
      <c r="K99" t="str">
        <f t="shared" si="0"/>
        <v>Scf</v>
      </c>
    </row>
    <row r="100" spans="1:11" x14ac:dyDescent="0.25">
      <c r="A100" t="s">
        <v>113</v>
      </c>
      <c r="B100">
        <v>86400</v>
      </c>
      <c r="C100">
        <v>2.8316846999999999E-2</v>
      </c>
      <c r="D100">
        <v>1</v>
      </c>
      <c r="E100" t="b">
        <v>1</v>
      </c>
      <c r="F100" t="b">
        <v>1</v>
      </c>
      <c r="G100" t="b">
        <v>0</v>
      </c>
      <c r="H100" t="b">
        <v>0</v>
      </c>
      <c r="I100" t="b">
        <v>0</v>
      </c>
      <c r="J100" t="s">
        <v>69</v>
      </c>
      <c r="K100" t="str">
        <f t="shared" si="0"/>
        <v>Scf</v>
      </c>
    </row>
    <row r="101" spans="1:11" x14ac:dyDescent="0.25">
      <c r="A101" t="s">
        <v>114</v>
      </c>
      <c r="B101">
        <v>1</v>
      </c>
      <c r="C101">
        <v>1</v>
      </c>
      <c r="D101">
        <v>1</v>
      </c>
      <c r="E101" t="b">
        <v>1</v>
      </c>
      <c r="F101" t="b">
        <v>0</v>
      </c>
      <c r="G101" t="b">
        <v>0</v>
      </c>
      <c r="H101" t="b">
        <v>1</v>
      </c>
      <c r="I101" t="b">
        <v>1</v>
      </c>
      <c r="J101" t="s">
        <v>12</v>
      </c>
      <c r="K101" t="str">
        <f t="shared" si="0"/>
        <v>Nm³</v>
      </c>
    </row>
    <row r="102" spans="1:11" x14ac:dyDescent="0.25">
      <c r="A102" t="s">
        <v>115</v>
      </c>
      <c r="B102">
        <v>60</v>
      </c>
      <c r="C102">
        <v>1</v>
      </c>
      <c r="D102">
        <v>1</v>
      </c>
      <c r="E102" t="b">
        <v>1</v>
      </c>
      <c r="F102" t="b">
        <v>0</v>
      </c>
      <c r="G102" t="b">
        <v>0</v>
      </c>
      <c r="H102" t="b">
        <v>1</v>
      </c>
      <c r="I102" t="b">
        <v>1</v>
      </c>
      <c r="J102" t="s">
        <v>12</v>
      </c>
      <c r="K102" t="str">
        <f t="shared" si="0"/>
        <v>Nm³</v>
      </c>
    </row>
    <row r="103" spans="1:11" x14ac:dyDescent="0.25">
      <c r="A103" t="s">
        <v>116</v>
      </c>
      <c r="B103">
        <v>3600</v>
      </c>
      <c r="C103">
        <v>1</v>
      </c>
      <c r="D103">
        <v>1</v>
      </c>
      <c r="E103" t="b">
        <v>1</v>
      </c>
      <c r="F103" t="b">
        <v>0</v>
      </c>
      <c r="G103" t="b">
        <v>0</v>
      </c>
      <c r="H103" t="b">
        <v>1</v>
      </c>
      <c r="I103" t="b">
        <v>1</v>
      </c>
      <c r="J103" t="s">
        <v>12</v>
      </c>
      <c r="K103" t="str">
        <f t="shared" si="0"/>
        <v>Nm³</v>
      </c>
    </row>
    <row r="104" spans="1:11" x14ac:dyDescent="0.25">
      <c r="A104" t="s">
        <v>117</v>
      </c>
      <c r="B104">
        <v>86400</v>
      </c>
      <c r="C104">
        <v>1</v>
      </c>
      <c r="D104">
        <v>1</v>
      </c>
      <c r="E104" t="b">
        <v>1</v>
      </c>
      <c r="F104" t="b">
        <v>0</v>
      </c>
      <c r="G104" t="b">
        <v>0</v>
      </c>
      <c r="H104" t="b">
        <v>1</v>
      </c>
      <c r="I104" t="b">
        <v>1</v>
      </c>
      <c r="J104" t="s">
        <v>12</v>
      </c>
      <c r="K104" t="str">
        <f t="shared" si="0"/>
        <v>Nm³</v>
      </c>
    </row>
    <row r="105" spans="1:11" x14ac:dyDescent="0.25">
      <c r="A105" t="s">
        <v>118</v>
      </c>
      <c r="B105">
        <v>1</v>
      </c>
      <c r="C105">
        <v>2.8316846999999999E-2</v>
      </c>
      <c r="D105">
        <v>1</v>
      </c>
      <c r="E105" t="b">
        <v>1</v>
      </c>
      <c r="F105" t="b">
        <v>0</v>
      </c>
      <c r="G105" t="b">
        <v>0</v>
      </c>
      <c r="H105" t="b">
        <v>1</v>
      </c>
      <c r="I105" t="b">
        <v>0</v>
      </c>
      <c r="J105" t="s">
        <v>69</v>
      </c>
      <c r="K105" t="str">
        <f t="shared" si="0"/>
        <v>Ncf</v>
      </c>
    </row>
    <row r="106" spans="1:11" x14ac:dyDescent="0.25">
      <c r="A106" t="s">
        <v>119</v>
      </c>
      <c r="B106">
        <v>60</v>
      </c>
      <c r="C106">
        <v>2.8316846999999999E-2</v>
      </c>
      <c r="D106">
        <v>1</v>
      </c>
      <c r="E106" t="b">
        <v>1</v>
      </c>
      <c r="F106" t="b">
        <v>0</v>
      </c>
      <c r="G106" t="b">
        <v>0</v>
      </c>
      <c r="H106" t="b">
        <v>1</v>
      </c>
      <c r="I106" t="b">
        <v>0</v>
      </c>
      <c r="J106" t="s">
        <v>69</v>
      </c>
      <c r="K106" t="str">
        <f t="shared" si="0"/>
        <v>Ncf</v>
      </c>
    </row>
    <row r="107" spans="1:11" x14ac:dyDescent="0.25">
      <c r="A107" t="s">
        <v>120</v>
      </c>
      <c r="B107">
        <v>3600</v>
      </c>
      <c r="C107">
        <v>2.8316846999999999E-2</v>
      </c>
      <c r="D107">
        <v>1</v>
      </c>
      <c r="E107" t="b">
        <v>1</v>
      </c>
      <c r="F107" t="b">
        <v>0</v>
      </c>
      <c r="G107" t="b">
        <v>0</v>
      </c>
      <c r="H107" t="b">
        <v>1</v>
      </c>
      <c r="I107" t="b">
        <v>0</v>
      </c>
      <c r="J107" t="s">
        <v>69</v>
      </c>
      <c r="K107" t="str">
        <f t="shared" si="0"/>
        <v>Ncf</v>
      </c>
    </row>
    <row r="108" spans="1:11" x14ac:dyDescent="0.25">
      <c r="A108" t="s">
        <v>121</v>
      </c>
      <c r="B108">
        <v>86400</v>
      </c>
      <c r="C108">
        <v>2.8316846999999999E-2</v>
      </c>
      <c r="D108">
        <v>1</v>
      </c>
      <c r="E108" t="b">
        <v>1</v>
      </c>
      <c r="F108" t="b">
        <v>0</v>
      </c>
      <c r="G108" t="b">
        <v>0</v>
      </c>
      <c r="H108" t="b">
        <v>1</v>
      </c>
      <c r="I108" t="b">
        <v>0</v>
      </c>
      <c r="J108" t="s">
        <v>69</v>
      </c>
      <c r="K108" t="str">
        <f t="shared" si="0"/>
        <v>Ncf</v>
      </c>
    </row>
    <row r="109" spans="1:11" x14ac:dyDescent="0.25">
      <c r="A109" t="s">
        <v>122</v>
      </c>
      <c r="B109">
        <v>1</v>
      </c>
      <c r="C109">
        <v>2.8316846999999999E-2</v>
      </c>
      <c r="D109">
        <v>1</v>
      </c>
      <c r="E109" t="b">
        <v>1</v>
      </c>
      <c r="F109" t="b">
        <v>0</v>
      </c>
      <c r="G109" t="b">
        <v>1</v>
      </c>
      <c r="H109" t="b">
        <v>0</v>
      </c>
      <c r="I109" t="b">
        <v>0</v>
      </c>
      <c r="J109" t="s">
        <v>69</v>
      </c>
      <c r="K109" t="str">
        <f t="shared" si="0"/>
        <v>Scf</v>
      </c>
    </row>
    <row r="110" spans="1:11" x14ac:dyDescent="0.25">
      <c r="A110" t="s">
        <v>123</v>
      </c>
      <c r="B110">
        <v>60</v>
      </c>
      <c r="C110">
        <v>2.8316846999999999E-2</v>
      </c>
      <c r="D110">
        <v>1</v>
      </c>
      <c r="E110" t="b">
        <v>1</v>
      </c>
      <c r="F110" t="b">
        <v>0</v>
      </c>
      <c r="G110" t="b">
        <v>1</v>
      </c>
      <c r="H110" t="b">
        <v>0</v>
      </c>
      <c r="I110" t="b">
        <v>0</v>
      </c>
      <c r="J110" t="s">
        <v>69</v>
      </c>
      <c r="K110" t="str">
        <f t="shared" si="0"/>
        <v>Scf</v>
      </c>
    </row>
    <row r="111" spans="1:11" x14ac:dyDescent="0.25">
      <c r="A111" t="s">
        <v>124</v>
      </c>
      <c r="B111">
        <v>3600</v>
      </c>
      <c r="C111">
        <v>2.8316846999999999E-2</v>
      </c>
      <c r="D111">
        <v>1</v>
      </c>
      <c r="E111" t="b">
        <v>1</v>
      </c>
      <c r="F111" t="b">
        <v>0</v>
      </c>
      <c r="G111" t="b">
        <v>1</v>
      </c>
      <c r="H111" t="b">
        <v>0</v>
      </c>
      <c r="I111" t="b">
        <v>0</v>
      </c>
      <c r="J111" t="s">
        <v>69</v>
      </c>
      <c r="K111" t="str">
        <f t="shared" si="0"/>
        <v>Scf</v>
      </c>
    </row>
    <row r="112" spans="1:11" x14ac:dyDescent="0.25">
      <c r="A112" t="s">
        <v>125</v>
      </c>
      <c r="B112">
        <v>86400</v>
      </c>
      <c r="C112">
        <v>2.8316846999999999E-2</v>
      </c>
      <c r="D112">
        <v>1</v>
      </c>
      <c r="E112" t="b">
        <v>1</v>
      </c>
      <c r="F112" t="b">
        <v>0</v>
      </c>
      <c r="G112" t="b">
        <v>1</v>
      </c>
      <c r="H112" t="b">
        <v>0</v>
      </c>
      <c r="I112" t="b">
        <v>0</v>
      </c>
      <c r="J112" t="s">
        <v>69</v>
      </c>
      <c r="K112" t="str">
        <f t="shared" si="0"/>
        <v>Scf</v>
      </c>
    </row>
    <row r="114" spans="1:12" x14ac:dyDescent="0.25">
      <c r="A114" s="12" t="s">
        <v>126</v>
      </c>
      <c r="B114" s="12" t="s">
        <v>55</v>
      </c>
      <c r="C114" s="12" t="s">
        <v>56</v>
      </c>
      <c r="D114" s="12" t="s">
        <v>57</v>
      </c>
      <c r="E114" s="12" t="s">
        <v>58</v>
      </c>
      <c r="F114" s="12" t="s">
        <v>59</v>
      </c>
      <c r="G114" s="12" t="s">
        <v>60</v>
      </c>
      <c r="H114" s="12" t="s">
        <v>61</v>
      </c>
      <c r="I114" s="12" t="s">
        <v>62</v>
      </c>
      <c r="J114" s="12" t="s">
        <v>63</v>
      </c>
      <c r="K114" s="12" t="s">
        <v>64</v>
      </c>
      <c r="L114" s="12"/>
    </row>
    <row r="115" spans="1:12" x14ac:dyDescent="0.25">
      <c r="A115" t="s">
        <v>116</v>
      </c>
      <c r="B115">
        <f>VLOOKUP($A$115,$A$50:$K$112,2,FALSE)</f>
        <v>3600</v>
      </c>
      <c r="C115">
        <f>VLOOKUP($A$115,$A$50:$K$112,3,FALSE)</f>
        <v>1</v>
      </c>
      <c r="D115">
        <f>VLOOKUP($A$115,$A$50:$K$112,4,FALSE)</f>
        <v>1</v>
      </c>
      <c r="E115" t="b">
        <f>VLOOKUP($A$115,$A$50:$K$112,5,FALSE)</f>
        <v>1</v>
      </c>
      <c r="F115" t="b">
        <f>VLOOKUP($A$115,$A$50:$K$112,6,FALSE)</f>
        <v>0</v>
      </c>
      <c r="G115" t="b">
        <f>VLOOKUP($A$115,$A$50:$K$112,7,FALSE)</f>
        <v>0</v>
      </c>
      <c r="H115" t="b">
        <f>VLOOKUP($A$115,$A$50:$K$112,8,FALSE)</f>
        <v>1</v>
      </c>
      <c r="I115" t="b">
        <f>VLOOKUP($A$115,$A$50:$K$112,9,FALSE)</f>
        <v>1</v>
      </c>
      <c r="J115" t="str">
        <f>VLOOKUP($A$115,$A$50:$K$112,10,FALSE)</f>
        <v>kg/s</v>
      </c>
      <c r="K115" t="str">
        <f>VLOOKUP($A$115,$A$50:$K$112,11,FALSE)</f>
        <v>Nm³</v>
      </c>
    </row>
    <row r="117" spans="1:12" x14ac:dyDescent="0.25">
      <c r="A117" t="s">
        <v>10</v>
      </c>
      <c r="B117" t="s">
        <v>127</v>
      </c>
    </row>
    <row r="118" spans="1:12" x14ac:dyDescent="0.25">
      <c r="A118" t="s">
        <v>14</v>
      </c>
      <c r="B118">
        <v>1</v>
      </c>
    </row>
    <row r="119" spans="1:12" x14ac:dyDescent="0.25">
      <c r="A119" t="s">
        <v>128</v>
      </c>
      <c r="B119">
        <v>16.018463369999999</v>
      </c>
    </row>
    <row r="120" spans="1:12" x14ac:dyDescent="0.25">
      <c r="A120" t="s">
        <v>129</v>
      </c>
      <c r="B120">
        <v>99.776372660000007</v>
      </c>
    </row>
    <row r="122" spans="1:12" s="12" customFormat="1" x14ac:dyDescent="0.25">
      <c r="A122" s="12" t="s">
        <v>130</v>
      </c>
      <c r="B122" s="12" t="s">
        <v>131</v>
      </c>
      <c r="C122" s="12" t="s">
        <v>132</v>
      </c>
      <c r="D122" s="12" t="s">
        <v>133</v>
      </c>
    </row>
    <row r="123" spans="1:12" x14ac:dyDescent="0.25">
      <c r="A123">
        <v>13.624000000000001</v>
      </c>
      <c r="B123" t="s">
        <v>14</v>
      </c>
      <c r="C123">
        <f>USER_DENSITY*VLOOKUP(USER_DENSITY_UNITS,$A$118:$B$120,2,FALSE)</f>
        <v>13.624000000000001</v>
      </c>
      <c r="D123" s="16" t="s">
        <v>134</v>
      </c>
    </row>
    <row r="125" spans="1:12" x14ac:dyDescent="0.25">
      <c r="A125" s="12" t="s">
        <v>136</v>
      </c>
      <c r="B125" s="12" t="s">
        <v>149</v>
      </c>
      <c r="C125" s="12" t="s">
        <v>150</v>
      </c>
    </row>
    <row r="126" spans="1:12" x14ac:dyDescent="0.25">
      <c r="A126" t="s">
        <v>137</v>
      </c>
      <c r="B126" t="s">
        <v>169</v>
      </c>
      <c r="C126" t="b">
        <v>1</v>
      </c>
    </row>
    <row r="127" spans="1:12" x14ac:dyDescent="0.25">
      <c r="A127" t="s">
        <v>138</v>
      </c>
      <c r="B127" t="s">
        <v>163</v>
      </c>
      <c r="C127" t="b">
        <v>1</v>
      </c>
    </row>
    <row r="128" spans="1:12" x14ac:dyDescent="0.25">
      <c r="A128" t="s">
        <v>139</v>
      </c>
      <c r="B128" t="s">
        <v>164</v>
      </c>
      <c r="C128" s="84" t="b">
        <v>1</v>
      </c>
    </row>
    <row r="129" spans="1:4" x14ac:dyDescent="0.25">
      <c r="A129" t="s">
        <v>140</v>
      </c>
      <c r="B129" t="s">
        <v>168</v>
      </c>
      <c r="C129" t="b">
        <v>1</v>
      </c>
      <c r="D129" s="84"/>
    </row>
    <row r="130" spans="1:4" x14ac:dyDescent="0.25">
      <c r="A130" t="s">
        <v>141</v>
      </c>
      <c r="B130" t="s">
        <v>151</v>
      </c>
      <c r="C130" t="b">
        <v>0</v>
      </c>
    </row>
    <row r="131" spans="1:4" x14ac:dyDescent="0.25">
      <c r="A131" t="s">
        <v>142</v>
      </c>
      <c r="B131" t="s">
        <v>152</v>
      </c>
      <c r="C131" t="b">
        <v>0</v>
      </c>
    </row>
    <row r="132" spans="1:4" x14ac:dyDescent="0.25">
      <c r="A132" t="s">
        <v>143</v>
      </c>
      <c r="B132" t="s">
        <v>153</v>
      </c>
      <c r="C132" t="b">
        <v>0</v>
      </c>
    </row>
    <row r="133" spans="1:4" x14ac:dyDescent="0.25">
      <c r="A133" t="s">
        <v>144</v>
      </c>
      <c r="B133" t="s">
        <v>165</v>
      </c>
      <c r="C133" t="b">
        <v>1</v>
      </c>
    </row>
    <row r="134" spans="1:4" x14ac:dyDescent="0.25">
      <c r="A134" t="s">
        <v>145</v>
      </c>
      <c r="B134" t="s">
        <v>166</v>
      </c>
      <c r="C134" t="b">
        <v>1</v>
      </c>
    </row>
    <row r="135" spans="1:4" x14ac:dyDescent="0.25">
      <c r="A135" t="s">
        <v>146</v>
      </c>
      <c r="B135" t="s">
        <v>167</v>
      </c>
      <c r="C135" s="84" t="b">
        <v>1</v>
      </c>
    </row>
    <row r="136" spans="1:4" s="84" customFormat="1" x14ac:dyDescent="0.25">
      <c r="A136" s="176" t="s">
        <v>147</v>
      </c>
      <c r="B136" s="176" t="s">
        <v>148</v>
      </c>
      <c r="C136" s="176" t="b">
        <v>0</v>
      </c>
    </row>
    <row r="137" spans="1:4" s="84" customFormat="1" x14ac:dyDescent="0.25">
      <c r="A137" s="176" t="s">
        <v>594</v>
      </c>
      <c r="B137" s="176" t="s">
        <v>595</v>
      </c>
      <c r="C137" s="176" t="b">
        <v>0</v>
      </c>
    </row>
    <row r="138" spans="1:4" s="84" customFormat="1" x14ac:dyDescent="0.25">
      <c r="A138" s="176" t="s">
        <v>596</v>
      </c>
      <c r="B138" s="176" t="s">
        <v>597</v>
      </c>
      <c r="C138" s="176" t="b">
        <v>0</v>
      </c>
    </row>
    <row r="139" spans="1:4" s="84" customFormat="1" x14ac:dyDescent="0.25">
      <c r="A139" s="176" t="s">
        <v>598</v>
      </c>
      <c r="B139" s="176" t="s">
        <v>599</v>
      </c>
      <c r="C139" s="176" t="b">
        <v>0</v>
      </c>
    </row>
    <row r="140" spans="1:4" s="84" customFormat="1" x14ac:dyDescent="0.25">
      <c r="A140" s="176" t="s">
        <v>600</v>
      </c>
      <c r="B140" s="176" t="s">
        <v>601</v>
      </c>
      <c r="C140" s="176" t="b">
        <v>0</v>
      </c>
    </row>
    <row r="141" spans="1:4" x14ac:dyDescent="0.25">
      <c r="A141" s="176" t="s">
        <v>602</v>
      </c>
      <c r="B141" s="176" t="s">
        <v>603</v>
      </c>
      <c r="C141" s="176" t="b">
        <v>0</v>
      </c>
    </row>
    <row r="145" spans="1:5" x14ac:dyDescent="0.25">
      <c r="A145" s="12" t="s">
        <v>462</v>
      </c>
      <c r="B145" s="12" t="s">
        <v>466</v>
      </c>
    </row>
    <row r="146" spans="1:5" x14ac:dyDescent="0.25">
      <c r="A146" s="84" t="s">
        <v>472</v>
      </c>
      <c r="B146" s="84" t="s">
        <v>176</v>
      </c>
    </row>
    <row r="147" spans="1:5" x14ac:dyDescent="0.25">
      <c r="A147" s="84" t="s">
        <v>473</v>
      </c>
      <c r="B147" s="84" t="s">
        <v>463</v>
      </c>
    </row>
    <row r="148" spans="1:5" x14ac:dyDescent="0.25">
      <c r="A148" s="84" t="s">
        <v>474</v>
      </c>
      <c r="B148" s="84" t="s">
        <v>464</v>
      </c>
    </row>
    <row r="149" spans="1:5" x14ac:dyDescent="0.25">
      <c r="A149" s="84" t="s">
        <v>475</v>
      </c>
      <c r="B149" s="84" t="s">
        <v>547</v>
      </c>
    </row>
    <row r="150" spans="1:5" x14ac:dyDescent="0.25">
      <c r="A150" s="84" t="s">
        <v>476</v>
      </c>
      <c r="B150" s="84" t="s">
        <v>465</v>
      </c>
    </row>
    <row r="151" spans="1:5" x14ac:dyDescent="0.25">
      <c r="A151" s="84" t="s">
        <v>498</v>
      </c>
      <c r="B151" s="84" t="s">
        <v>470</v>
      </c>
      <c r="E151" s="117"/>
    </row>
    <row r="152" spans="1:5" s="84" customFormat="1" x14ac:dyDescent="0.25">
      <c r="A152" s="84" t="s">
        <v>497</v>
      </c>
      <c r="B152" s="84" t="s">
        <v>469</v>
      </c>
      <c r="E152" s="117"/>
    </row>
    <row r="153" spans="1:5" x14ac:dyDescent="0.25">
      <c r="A153" s="84" t="s">
        <v>477</v>
      </c>
      <c r="B153" s="84" t="s">
        <v>166</v>
      </c>
    </row>
    <row r="154" spans="1:5" x14ac:dyDescent="0.25">
      <c r="A154" s="84" t="s">
        <v>478</v>
      </c>
      <c r="B154" s="84" t="s">
        <v>167</v>
      </c>
    </row>
    <row r="155" spans="1:5" x14ac:dyDescent="0.25">
      <c r="A155" s="84" t="s">
        <v>479</v>
      </c>
      <c r="B155" s="84" t="s">
        <v>151</v>
      </c>
    </row>
    <row r="156" spans="1:5" x14ac:dyDescent="0.25">
      <c r="A156" s="84" t="s">
        <v>480</v>
      </c>
      <c r="B156" s="84" t="s">
        <v>151</v>
      </c>
    </row>
    <row r="157" spans="1:5" x14ac:dyDescent="0.25">
      <c r="A157" s="84" t="s">
        <v>481</v>
      </c>
      <c r="B157" s="84" t="s">
        <v>151</v>
      </c>
    </row>
    <row r="158" spans="1:5" x14ac:dyDescent="0.25">
      <c r="A158" s="84" t="s">
        <v>482</v>
      </c>
      <c r="B158" s="84" t="s">
        <v>151</v>
      </c>
    </row>
    <row r="159" spans="1:5" x14ac:dyDescent="0.25">
      <c r="A159" s="84" t="s">
        <v>515</v>
      </c>
      <c r="B159" s="84" t="s">
        <v>151</v>
      </c>
    </row>
    <row r="160" spans="1:5" x14ac:dyDescent="0.25">
      <c r="A160" s="84" t="s">
        <v>483</v>
      </c>
      <c r="B160" s="84" t="s">
        <v>151</v>
      </c>
    </row>
    <row r="161" spans="1:2" x14ac:dyDescent="0.25">
      <c r="A161" s="84" t="s">
        <v>484</v>
      </c>
      <c r="B161" s="84" t="s">
        <v>151</v>
      </c>
    </row>
    <row r="162" spans="1:2" x14ac:dyDescent="0.25">
      <c r="A162" s="84" t="s">
        <v>485</v>
      </c>
      <c r="B162" s="84" t="s">
        <v>151</v>
      </c>
    </row>
    <row r="163" spans="1:2" x14ac:dyDescent="0.25">
      <c r="A163" s="84" t="s">
        <v>486</v>
      </c>
      <c r="B163" s="84" t="s">
        <v>151</v>
      </c>
    </row>
    <row r="164" spans="1:2" x14ac:dyDescent="0.25">
      <c r="A164" s="84" t="s">
        <v>487</v>
      </c>
      <c r="B164" s="84" t="s">
        <v>467</v>
      </c>
    </row>
    <row r="165" spans="1:2" x14ac:dyDescent="0.25">
      <c r="A165" s="84" t="s">
        <v>488</v>
      </c>
      <c r="B165" s="84" t="s">
        <v>467</v>
      </c>
    </row>
    <row r="166" spans="1:2" x14ac:dyDescent="0.25">
      <c r="A166" s="84" t="s">
        <v>489</v>
      </c>
      <c r="B166" s="84" t="s">
        <v>467</v>
      </c>
    </row>
    <row r="167" spans="1:2" x14ac:dyDescent="0.25">
      <c r="A167" s="84" t="s">
        <v>490</v>
      </c>
      <c r="B167" s="84" t="s">
        <v>152</v>
      </c>
    </row>
    <row r="168" spans="1:2" x14ac:dyDescent="0.25">
      <c r="A168" s="84" t="s">
        <v>491</v>
      </c>
      <c r="B168" s="84" t="s">
        <v>152</v>
      </c>
    </row>
    <row r="169" spans="1:2" x14ac:dyDescent="0.25">
      <c r="A169" s="84" t="s">
        <v>492</v>
      </c>
      <c r="B169" s="84" t="s">
        <v>152</v>
      </c>
    </row>
    <row r="170" spans="1:2" x14ac:dyDescent="0.25">
      <c r="A170" s="84" t="s">
        <v>493</v>
      </c>
      <c r="B170" s="84" t="s">
        <v>152</v>
      </c>
    </row>
    <row r="171" spans="1:2" x14ac:dyDescent="0.25">
      <c r="A171" s="84" t="s">
        <v>494</v>
      </c>
      <c r="B171" s="84" t="s">
        <v>468</v>
      </c>
    </row>
    <row r="172" spans="1:2" x14ac:dyDescent="0.25">
      <c r="A172" s="84" t="s">
        <v>495</v>
      </c>
      <c r="B172" s="84" t="s">
        <v>468</v>
      </c>
    </row>
    <row r="173" spans="1:2" x14ac:dyDescent="0.25">
      <c r="A173" s="84" t="s">
        <v>496</v>
      </c>
      <c r="B173" s="84" t="s">
        <v>468</v>
      </c>
    </row>
  </sheetData>
  <sortState xmlns:xlrd2="http://schemas.microsoft.com/office/spreadsheetml/2017/richdata2" ref="A146:C172">
    <sortCondition ref="A146:A172"/>
  </sortState>
  <conditionalFormatting sqref="C126:C141">
    <cfRule type="cellIs" dxfId="0" priority="1" operator="equal">
      <formula>TRUE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2:E30"/>
  <sheetViews>
    <sheetView workbookViewId="0">
      <selection activeCell="A25" sqref="A25"/>
    </sheetView>
  </sheetViews>
  <sheetFormatPr defaultRowHeight="15" x14ac:dyDescent="0.25"/>
  <cols>
    <col min="1" max="1" width="60.85546875" bestFit="1" customWidth="1"/>
    <col min="2" max="2" width="6" bestFit="1" customWidth="1"/>
    <col min="3" max="3" width="67.7109375" bestFit="1" customWidth="1"/>
    <col min="4" max="4" width="5.42578125" bestFit="1" customWidth="1"/>
    <col min="5" max="5" width="37.42578125" bestFit="1" customWidth="1"/>
    <col min="6" max="6" width="4.140625" bestFit="1" customWidth="1"/>
    <col min="7" max="7" width="17.42578125" customWidth="1"/>
    <col min="8" max="8" width="37" bestFit="1" customWidth="1"/>
  </cols>
  <sheetData>
    <row r="2" spans="1:5" x14ac:dyDescent="0.25">
      <c r="A2" s="84"/>
      <c r="E2" s="15"/>
    </row>
    <row r="3" spans="1:5" x14ac:dyDescent="0.25">
      <c r="A3" s="17"/>
      <c r="E3" s="84"/>
    </row>
    <row r="4" spans="1:5" x14ac:dyDescent="0.25">
      <c r="A4" s="84"/>
      <c r="E4" s="15"/>
    </row>
    <row r="5" spans="1:5" x14ac:dyDescent="0.25">
      <c r="A5" s="84"/>
      <c r="E5" s="176"/>
    </row>
    <row r="6" spans="1:5" x14ac:dyDescent="0.25">
      <c r="A6" s="84"/>
      <c r="E6" s="15"/>
    </row>
    <row r="7" spans="1:5" x14ac:dyDescent="0.25">
      <c r="A7" s="176"/>
      <c r="E7" s="15"/>
    </row>
    <row r="8" spans="1:5" x14ac:dyDescent="0.25">
      <c r="E8" s="15"/>
    </row>
    <row r="9" spans="1:5" x14ac:dyDescent="0.25">
      <c r="A9" s="178"/>
      <c r="E9" s="15"/>
    </row>
    <row r="10" spans="1:5" x14ac:dyDescent="0.25">
      <c r="E10" s="15"/>
    </row>
    <row r="11" spans="1:5" x14ac:dyDescent="0.25">
      <c r="E11" s="177"/>
    </row>
    <row r="12" spans="1:5" x14ac:dyDescent="0.25">
      <c r="E12" s="176"/>
    </row>
    <row r="13" spans="1:5" x14ac:dyDescent="0.25">
      <c r="E13" s="15"/>
    </row>
    <row r="14" spans="1:5" x14ac:dyDescent="0.25">
      <c r="E14" s="177"/>
    </row>
    <row r="30" spans="5:5" x14ac:dyDescent="0.25">
      <c r="E30" s="15"/>
    </row>
  </sheetData>
  <sortState xmlns:xlrd2="http://schemas.microsoft.com/office/spreadsheetml/2017/richdata2" ref="A2:H21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66</vt:i4>
      </vt:variant>
    </vt:vector>
  </HeadingPairs>
  <TitlesOfParts>
    <vt:vector size="78" baseType="lpstr">
      <vt:lpstr>Front Page</vt:lpstr>
      <vt:lpstr>Summary</vt:lpstr>
      <vt:lpstr>Crosstable</vt:lpstr>
      <vt:lpstr>Mtl_Crosstable</vt:lpstr>
      <vt:lpstr>Lbl_Crosstable</vt:lpstr>
      <vt:lpstr>Dim Matrix</vt:lpstr>
      <vt:lpstr>Material Matrix</vt:lpstr>
      <vt:lpstr>Template</vt:lpstr>
      <vt:lpstr>Labels</vt:lpstr>
      <vt:lpstr>OrificeSAPConversions</vt:lpstr>
      <vt:lpstr>Conversions</vt:lpstr>
      <vt:lpstr>SolveDPData</vt:lpstr>
      <vt:lpstr>AppTitle</vt:lpstr>
      <vt:lpstr>CELLREF</vt:lpstr>
      <vt:lpstr>CH_FPD_DRAIN_VENT</vt:lpstr>
      <vt:lpstr>CH_FPD_DRAIN_VENT_SIZE</vt:lpstr>
      <vt:lpstr>CH_FPD_PLATE_THICK</vt:lpstr>
      <vt:lpstr>CROSSREF_DIMENSIONS</vt:lpstr>
      <vt:lpstr>CROSSREF_INSPECT</vt:lpstr>
      <vt:lpstr>CROSSREF_MATTRACE</vt:lpstr>
      <vt:lpstr>CROSSREF_PRODUCTCODE</vt:lpstr>
      <vt:lpstr>DENSITY_KGM3</vt:lpstr>
      <vt:lpstr>DPFlowProductLookup</vt:lpstr>
      <vt:lpstr>FLOW_CONVERT_ATNTP</vt:lpstr>
      <vt:lpstr>FLOW_CONVERT_ATSTP</vt:lpstr>
      <vt:lpstr>FLOW_CONVERT_ATSTP68F</vt:lpstr>
      <vt:lpstr>FLOW_CONVERT_KG</vt:lpstr>
      <vt:lpstr>FLOW_CONVERT_M3</vt:lpstr>
      <vt:lpstr>FLOW_CONVERT_SECS</vt:lpstr>
      <vt:lpstr>FLOW_ISUK</vt:lpstr>
      <vt:lpstr>FLOW_ISVOLUME</vt:lpstr>
      <vt:lpstr>FLOW_NOTTIMEDEPENDENT</vt:lpstr>
      <vt:lpstr>FLOW_OPPOSITEDEFAULT</vt:lpstr>
      <vt:lpstr>FLOW_USER</vt:lpstr>
      <vt:lpstr>Item_DPAtMeterMax</vt:lpstr>
      <vt:lpstr>Item_FlowAtMeterMax</vt:lpstr>
      <vt:lpstr>Item_Fluid</vt:lpstr>
      <vt:lpstr>Item_Material</vt:lpstr>
      <vt:lpstr>Item_ModelNo</vt:lpstr>
      <vt:lpstr>Item_OperatingPressure</vt:lpstr>
      <vt:lpstr>Item_OperatingTemperature</vt:lpstr>
      <vt:lpstr>Item_PipeSize</vt:lpstr>
      <vt:lpstr>LBL_CROSSREFRANGE</vt:lpstr>
      <vt:lpstr>Length_Conversion</vt:lpstr>
      <vt:lpstr>LOAD_NONSAP</vt:lpstr>
      <vt:lpstr>Summary!MAT_TRC_HEADER_CUSTOMER</vt:lpstr>
      <vt:lpstr>MAT_TRC_HEADER_DESCRIPTION</vt:lpstr>
      <vt:lpstr>Summary!MAT_TRC_HEADER_HYPERLINK</vt:lpstr>
      <vt:lpstr>Summary!MAT_TRC_HEADER_PURCHASE_ORDER_NO</vt:lpstr>
      <vt:lpstr>Summary!MAT_TRC_HEADER_SALES_ORDER_ITEM</vt:lpstr>
      <vt:lpstr>Summary!MAT_TRC_HEADER_SALES_ORDER_NO</vt:lpstr>
      <vt:lpstr>Summary!MAT_TRC_HEADER_TAG_NO</vt:lpstr>
      <vt:lpstr>Lbl_Crosstable!MTL_CROSSREF_MATTRACE</vt:lpstr>
      <vt:lpstr>MTL_CROSSREF_MATTRACE</vt:lpstr>
      <vt:lpstr>Lbl_Crosstable!MTL_CROSSREF_PRODUCTCODE</vt:lpstr>
      <vt:lpstr>MTL_CROSSREF_PRODUCTCODE</vt:lpstr>
      <vt:lpstr>PRESS_BARA</vt:lpstr>
      <vt:lpstr>PRESS_USER</vt:lpstr>
      <vt:lpstr>PRESS_USER_UNITS</vt:lpstr>
      <vt:lpstr>Template!Print_Area</vt:lpstr>
      <vt:lpstr>'Dim Matrix'!Print_Titles</vt:lpstr>
      <vt:lpstr>Labels!Print_Titles</vt:lpstr>
      <vt:lpstr>'Material Matrix'!Print_Titles</vt:lpstr>
      <vt:lpstr>Summary!Print_Titles</vt:lpstr>
      <vt:lpstr>PRODUCTCODE_DESCRIPTION</vt:lpstr>
      <vt:lpstr>ProductionOrderNo</vt:lpstr>
      <vt:lpstr>SalesOrderItem</vt:lpstr>
      <vt:lpstr>SalesOrderQty</vt:lpstr>
      <vt:lpstr>SerialNumber</vt:lpstr>
      <vt:lpstr>SolveDPItem</vt:lpstr>
      <vt:lpstr>SolveDPVersion</vt:lpstr>
      <vt:lpstr>SpreadsheetVersion</vt:lpstr>
      <vt:lpstr>TagNumber</vt:lpstr>
      <vt:lpstr>TEMP_DEGC</vt:lpstr>
      <vt:lpstr>TEMP_USER</vt:lpstr>
      <vt:lpstr>TEMP_USER_UNITS</vt:lpstr>
      <vt:lpstr>USER_DENSITY</vt:lpstr>
      <vt:lpstr>USER_DENSITY_UNITS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Dye</dc:creator>
  <cp:lastModifiedBy>Greg Millar</cp:lastModifiedBy>
  <cp:lastPrinted>2018-12-19T10:07:32Z</cp:lastPrinted>
  <dcterms:created xsi:type="dcterms:W3CDTF">2015-10-06T11:08:55Z</dcterms:created>
  <dcterms:modified xsi:type="dcterms:W3CDTF">2020-09-18T12:54:33Z</dcterms:modified>
</cp:coreProperties>
</file>